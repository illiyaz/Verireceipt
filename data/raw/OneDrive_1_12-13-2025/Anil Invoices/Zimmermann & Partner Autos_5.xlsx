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nil Invoices/"/>
    </mc:Choice>
  </mc:AlternateContent>
  <xr:revisionPtr revIDLastSave="177" documentId="13_ncr:1_{2EC71CA1-05D5-4D8C-BB55-ACBA3FFF9E9D}" xr6:coauthVersionLast="47" xr6:coauthVersionMax="47" xr10:uidLastSave="{A8D117C0-16D4-4A98-BAB2-B32BAA84FDFB}"/>
  <bookViews>
    <workbookView xWindow="-108" yWindow="-108" windowWidth="23256" windowHeight="12456" activeTab="4" xr2:uid="{00000000-000D-0000-FFFF-FFFF00000000}"/>
  </bookViews>
  <sheets>
    <sheet name="4006-24 ZI&amp; " sheetId="2" r:id="rId1"/>
    <sheet name="62278-24 ZI&amp; " sheetId="7" r:id="rId2"/>
    <sheet name="71063-24 ZI&amp; " sheetId="8" r:id="rId3"/>
    <sheet name="19573-24 ZI&amp; " sheetId="9" r:id="rId4"/>
    <sheet name="81794-24 ZI&amp; 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0" l="1"/>
  <c r="H27" i="10" s="1"/>
  <c r="H28" i="10" s="1"/>
  <c r="G19" i="9"/>
  <c r="H19" i="9"/>
  <c r="H18" i="10"/>
  <c r="H17" i="10"/>
  <c r="E13" i="10"/>
  <c r="E12" i="10"/>
  <c r="E11" i="10"/>
  <c r="H18" i="9"/>
  <c r="H17" i="9"/>
  <c r="E13" i="9"/>
  <c r="E12" i="9"/>
  <c r="E11" i="9"/>
  <c r="H18" i="8"/>
  <c r="H17" i="8"/>
  <c r="H26" i="8" s="1"/>
  <c r="H27" i="8" s="1"/>
  <c r="E13" i="8"/>
  <c r="E12" i="8"/>
  <c r="E11" i="8"/>
  <c r="H19" i="7"/>
  <c r="H18" i="7"/>
  <c r="H17" i="7"/>
  <c r="E13" i="7"/>
  <c r="E12" i="7"/>
  <c r="E11" i="7"/>
  <c r="G19" i="7"/>
  <c r="H30" i="10" l="1"/>
  <c r="H32" i="10" s="1"/>
  <c r="H35" i="10" s="1"/>
  <c r="H27" i="9"/>
  <c r="H28" i="9" s="1"/>
  <c r="H29" i="8"/>
  <c r="H31" i="8" s="1"/>
  <c r="H34" i="8" s="1"/>
  <c r="H27" i="7"/>
  <c r="H28" i="7" s="1"/>
  <c r="H30" i="7" s="1"/>
  <c r="H32" i="7" s="1"/>
  <c r="H35" i="7" s="1"/>
  <c r="H18" i="2"/>
  <c r="H17" i="2"/>
  <c r="E13" i="2"/>
  <c r="E12" i="2"/>
  <c r="E11" i="2"/>
  <c r="H30" i="9" l="1"/>
  <c r="H32" i="9" s="1"/>
  <c r="H35" i="9" s="1"/>
  <c r="H27" i="2"/>
  <c r="H28" i="2" s="1"/>
  <c r="H30" i="2" l="1"/>
  <c r="H32" i="2" s="1"/>
  <c r="H3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tc={95503E17-1723-4A56-84D2-034BB4A493FA}</author>
    <author>tc={AD6DDEE6-5C23-47EB-8A4C-FE5CA511E11B}</author>
    <author>tc={B3E030B5-FA43-4FA1-BB63-66547348A803}</author>
  </authors>
  <commentList>
    <comment ref="B17" authorId="0" shapeId="0" xr:uid="{95503E17-1723-4A56-84D2-034BB4A493FA}">
      <text>
        <t>[Threaded comment]
Your version of Excel allows you to read this threaded comment; however, any edits to it will get removed if the file is opened in a newer version of Excel. Learn more: https://go.microsoft.com/fwlink/?linkid=870924
Comment:
    Gearbox</t>
      </text>
    </comment>
    <comment ref="B18" authorId="1" shapeId="0" xr:uid="{AD6DDEE6-5C23-47EB-8A4C-FE5CA511E11B}">
      <text>
        <t>[Threaded comment]
Your version of Excel allows you to read this threaded comment; however, any edits to it will get removed if the file is opened in a newer version of Excel. Learn more: https://go.microsoft.com/fwlink/?linkid=870924
Comment:
    Catalytic Converter</t>
      </text>
    </comment>
    <comment ref="B19" authorId="2" shapeId="0" xr:uid="{B3E030B5-FA43-4FA1-BB63-66547348A8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Premium-Verpackungskosten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tc={A0576612-034B-4C0C-931E-772DCA3B5B98}</author>
    <author>tc={7AF37FDB-5F8F-4BFA-BFEB-EE42028A6CF7}</author>
    <author>tc={A2D384B3-2C58-4DFA-81B4-14F680E7DC95}</author>
  </authors>
  <commentList>
    <comment ref="B17" authorId="0" shapeId="0" xr:uid="{A0576612-034B-4C0C-931E-772DCA3B5B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Precision Sensors</t>
      </text>
    </comment>
    <comment ref="B18" authorId="1" shapeId="0" xr:uid="{7AF37FDB-5F8F-4BFA-BFEB-EE42028A6CF7}">
      <text>
        <t>[Threaded comment]
Your version of Excel allows you to read this threaded comment; however, any edits to it will get removed if the file is opened in a newer version of Excel. Learn more: https://go.microsoft.com/fwlink/?linkid=870924
Comment:
    Fragile Item Packing Charge</t>
      </text>
    </comment>
    <comment ref="B19" authorId="2" shapeId="0" xr:uid="{A2D384B3-2C58-4DFA-81B4-14F680E7DC9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Trade-In Program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tc={0B159752-0BCD-4763-A81A-25E7C2847EC4}</author>
    <author>tc={6AB9AA3E-E759-4344-9B21-AD12C92897E3}</author>
  </authors>
  <commentList>
    <comment ref="B17" authorId="0" shapeId="0" xr:uid="{0B159752-0BCD-4763-A81A-25E7C2847EC4}">
      <text>
        <t>[Threaded comment]
Your version of Excel allows you to read this threaded comment; however, any edits to it will get removed if the file is opened in a newer version of Excel. Learn more: https://go.microsoft.com/fwlink/?linkid=870924
Comment:
    Throttle Body</t>
      </text>
    </comment>
    <comment ref="B18" authorId="1" shapeId="0" xr:uid="{6AB9AA3E-E759-4344-9B21-AD12C92897E3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Heavy-Duty Packing Charge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tc={38EE7D67-7CB2-4189-A8C8-852C53D7139A}</author>
    <author>tc={75D14FED-47AF-4CFD-A7E9-BCB5C93C7C06}</author>
    <author>tc={C6DDD95D-BD69-4B43-ACAF-BA3A12429230}</author>
  </authors>
  <commentList>
    <comment ref="B17" authorId="0" shapeId="0" xr:uid="{38EE7D67-7CB2-4189-A8C8-852C53D7139A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Windshield</t>
      </text>
    </comment>
    <comment ref="B18" authorId="1" shapeId="0" xr:uid="{75D14FED-47AF-4CFD-A7E9-BCB5C93C7C06}">
      <text>
        <t>[Threaded comment]
Your version of Excel allows you to read this threaded comment; however, any edits to it will get removed if the file is opened in a newer version of Excel. Learn more: https://go.microsoft.com/fwlink/?linkid=870924
Comment:
    Fragile Item Packing Charge</t>
      </text>
    </comment>
    <comment ref="B19" authorId="2" shapeId="0" xr:uid="{C6DDD95D-BD69-4B43-ACAF-BA3A12429230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Discount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tc={90A51E00-0ECD-4901-9D0E-A894AEFE2A18}</author>
    <author>tc={994208AC-6E22-4C99-BF8E-177D270EC2E8}</author>
    <author>tc={CD88E669-17C2-46D1-B6DC-85D43BBD741E}</author>
  </authors>
  <commentList>
    <comment ref="B17" authorId="0" shapeId="0" xr:uid="{90A51E00-0ECD-4901-9D0E-A894AEFE2A18}">
      <text>
        <t>[Threaded comment]
Your version of Excel allows you to read this threaded comment; however, any edits to it will get removed if the file is opened in a newer version of Excel. Learn more: https://go.microsoft.com/fwlink/?linkid=870924
Comment:
    Seats</t>
      </text>
    </comment>
    <comment ref="B18" authorId="1" shapeId="0" xr:uid="{994208AC-6E22-4C99-BF8E-177D270EC2E8}">
      <text>
        <t>[Threaded comment]
Your version of Excel allows you to read this threaded comment; however, any edits to it will get removed if the file is opened in a newer version of Excel. Learn more: https://go.microsoft.com/fwlink/?linkid=870924
Comment:
    Center Console</t>
      </text>
    </comment>
    <comment ref="B19" authorId="2" shapeId="0" xr:uid="{CD88E669-17C2-46D1-B6DC-85D43BBD741E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Discount</t>
      </text>
    </comment>
  </commentList>
</comments>
</file>

<file path=xl/sharedStrings.xml><?xml version="1.0" encoding="utf-8"?>
<sst xmlns="http://schemas.openxmlformats.org/spreadsheetml/2006/main" count="148" uniqueCount="48">
  <si>
    <t>RECHNUNG</t>
  </si>
  <si>
    <t>RECHNUNG No.:</t>
  </si>
  <si>
    <t>Date:</t>
  </si>
  <si>
    <t>Zimmermann &amp; Partner Autos</t>
  </si>
  <si>
    <t>19178 Mack Port, Hamburg, Hessen, Deutschland, 58375</t>
  </si>
  <si>
    <t>GESETZESENTWURF FÜR:</t>
  </si>
  <si>
    <t>AUSLIEFERN:</t>
  </si>
  <si>
    <t>Steel Horse Auto Inc</t>
  </si>
  <si>
    <t xml:space="preserve">265 Lopez Orchard, East John, </t>
  </si>
  <si>
    <t>Michigan, United States, 43306</t>
  </si>
  <si>
    <t>No.</t>
  </si>
  <si>
    <t>BESCHREIBUNG</t>
  </si>
  <si>
    <t>MENGE</t>
  </si>
  <si>
    <t>STÜCKPREIS</t>
  </si>
  <si>
    <t>BETRAG</t>
  </si>
  <si>
    <t>Getriebe</t>
  </si>
  <si>
    <t>Katalysator</t>
  </si>
  <si>
    <t>Zwischensumme:</t>
  </si>
  <si>
    <t>Steuer</t>
  </si>
  <si>
    <t>Gesamt</t>
  </si>
  <si>
    <t>Erhalten</t>
  </si>
  <si>
    <t>Gleichgewicht</t>
  </si>
  <si>
    <t>Geschäftsbedingungen:</t>
  </si>
  <si>
    <t>1. Die Zahlung ist innerhalb von 30 Tagen ab Rechnungsdatum fällig.</t>
  </si>
  <si>
    <t xml:space="preserve">2. Etwaige Streitigkeiten oder Rückerstattungsanträge müssen innerhalb von 30 Tagen </t>
  </si>
  <si>
    <t xml:space="preserve">    nach Erhalt eingereicht werden. Nach diesem Zeitraum erfolgt keine Rückerstattung mehr.</t>
  </si>
  <si>
    <t>3. Für diese Rechnung gilt das Recht der Bundesrepublik Deutschland.</t>
  </si>
  <si>
    <t>Steel Horse Auto Assembly Chennai Ltd</t>
  </si>
  <si>
    <t xml:space="preserve">House No 249,Road No 11,Rajiv Gandhi </t>
  </si>
  <si>
    <t>Nagar,Chennai,Tamil Nadu,India</t>
  </si>
  <si>
    <t>Präzisionssensoren</t>
  </si>
  <si>
    <t>Verpackungskosten für zerbrechliche Artikel</t>
  </si>
  <si>
    <t>Eintauschprogramm</t>
  </si>
  <si>
    <t>Drosselklappengehäuse</t>
  </si>
  <si>
    <t>Schwerlastverpackungskosten</t>
  </si>
  <si>
    <t>Volumenrabatt</t>
  </si>
  <si>
    <t>19573-24@ZPA</t>
  </si>
  <si>
    <t>Steel Horse Auto Assembly Lincoln Inc</t>
  </si>
  <si>
    <t>Windschutzscheibe</t>
  </si>
  <si>
    <t>Sitze</t>
  </si>
  <si>
    <t>Mittelkonsole</t>
  </si>
  <si>
    <t>-</t>
  </si>
  <si>
    <t>4006-24@ZPA</t>
  </si>
  <si>
    <t>62278-24@ZPA</t>
  </si>
  <si>
    <t>71063-24@ZPA</t>
  </si>
  <si>
    <t>81794-24@ZPA</t>
  </si>
  <si>
    <t xml:space="preserve">21857 Clayton Forges Suite 897,  </t>
  </si>
  <si>
    <t>Sherrybury, Lincoln, United States, 17355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</si>
</sst>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7" formatCode="#,##0.00\ [$€-407];[Red]#,##0.00\ [$€-407]"/>
    <numFmt numFmtId="169" formatCode="_ * #,##0_ ;_ * \-#,##0_ ;_ * &quot;-&quot;??_ ;_ @_ "/>
    <numFmt numFmtId="173" formatCode="0.0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sz val="11"/>
      <color rgb="FF202124"/>
      <name val="Arial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u/>
      <sz val="11"/>
      <color theme="1"/>
      <name val="Arial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5" xfId="0" applyFont="1" applyBorder="1"/>
    <xf numFmtId="0" fontId="3" fillId="0" borderId="0" xfId="0" applyFont="1"/>
    <xf numFmtId="43" fontId="0" fillId="0" borderId="0" xfId="2" applyFont="1"/>
    <xf numFmtId="43" fontId="3" fillId="0" borderId="7" xfId="2" applyFont="1" applyBorder="1"/>
    <xf numFmtId="43" fontId="3" fillId="0" borderId="1" xfId="2" applyFont="1" applyBorder="1"/>
    <xf numFmtId="43" fontId="3" fillId="0" borderId="8" xfId="2" applyFont="1" applyBorder="1"/>
    <xf numFmtId="43" fontId="3" fillId="0" borderId="0" xfId="2" applyFont="1" applyBorder="1" applyAlignment="1">
      <alignment horizontal="center"/>
    </xf>
    <xf numFmtId="43" fontId="3" fillId="0" borderId="5" xfId="2" applyFont="1" applyBorder="1"/>
    <xf numFmtId="43" fontId="3" fillId="0" borderId="0" xfId="2" applyFont="1" applyBorder="1"/>
    <xf numFmtId="43" fontId="2" fillId="5" borderId="5" xfId="2" applyFont="1" applyFill="1" applyBorder="1" applyAlignment="1">
      <alignment horizontal="center" vertical="center"/>
    </xf>
    <xf numFmtId="43" fontId="2" fillId="5" borderId="0" xfId="2" applyFont="1" applyFill="1" applyBorder="1" applyAlignment="1">
      <alignment horizontal="center" vertical="center"/>
    </xf>
    <xf numFmtId="43" fontId="2" fillId="5" borderId="0" xfId="2" applyFont="1" applyFill="1" applyBorder="1" applyAlignment="1">
      <alignment vertical="center"/>
    </xf>
    <xf numFmtId="43" fontId="2" fillId="5" borderId="6" xfId="2" applyFont="1" applyFill="1" applyBorder="1" applyAlignment="1">
      <alignment horizontal="center" vertical="center" wrapText="1"/>
    </xf>
    <xf numFmtId="43" fontId="8" fillId="4" borderId="0" xfId="2" applyFont="1" applyFill="1" applyBorder="1" applyAlignment="1">
      <alignment horizontal="center" vertical="center"/>
    </xf>
    <xf numFmtId="43" fontId="0" fillId="0" borderId="0" xfId="2" applyFont="1" applyBorder="1"/>
    <xf numFmtId="43" fontId="2" fillId="0" borderId="5" xfId="2" applyFont="1" applyBorder="1" applyAlignment="1">
      <alignment vertical="top"/>
    </xf>
    <xf numFmtId="43" fontId="2" fillId="0" borderId="0" xfId="2" applyFont="1" applyBorder="1" applyAlignment="1">
      <alignment vertical="top"/>
    </xf>
    <xf numFmtId="43" fontId="0" fillId="0" borderId="5" xfId="2" applyFont="1" applyBorder="1"/>
    <xf numFmtId="43" fontId="16" fillId="0" borderId="5" xfId="2" applyFont="1" applyBorder="1"/>
    <xf numFmtId="43" fontId="2" fillId="2" borderId="0" xfId="2" applyFont="1" applyFill="1" applyBorder="1" applyAlignment="1"/>
    <xf numFmtId="43" fontId="2" fillId="2" borderId="6" xfId="2" applyFont="1" applyFill="1" applyBorder="1" applyAlignment="1"/>
    <xf numFmtId="43" fontId="15" fillId="0" borderId="5" xfId="2" applyFont="1" applyBorder="1" applyAlignment="1">
      <alignment vertical="top"/>
    </xf>
    <xf numFmtId="43" fontId="3" fillId="0" borderId="10" xfId="2" applyFont="1" applyBorder="1" applyAlignment="1">
      <alignment horizontal="center"/>
    </xf>
    <xf numFmtId="43" fontId="2" fillId="2" borderId="10" xfId="2" applyFont="1" applyFill="1" applyBorder="1" applyAlignment="1"/>
    <xf numFmtId="43" fontId="2" fillId="2" borderId="13" xfId="2" applyFont="1" applyFill="1" applyBorder="1" applyAlignment="1"/>
    <xf numFmtId="167" fontId="13" fillId="4" borderId="6" xfId="2" applyNumberFormat="1" applyFont="1" applyFill="1" applyBorder="1" applyAlignment="1">
      <alignment horizontal="center" vertical="center"/>
    </xf>
    <xf numFmtId="167" fontId="13" fillId="3" borderId="6" xfId="2" applyNumberFormat="1" applyFont="1" applyFill="1" applyBorder="1" applyAlignment="1">
      <alignment horizontal="center"/>
    </xf>
    <xf numFmtId="167" fontId="7" fillId="0" borderId="6" xfId="2" applyNumberFormat="1" applyFont="1" applyBorder="1" applyAlignment="1">
      <alignment horizontal="center"/>
    </xf>
    <xf numFmtId="167" fontId="14" fillId="0" borderId="6" xfId="2" applyNumberFormat="1" applyFont="1" applyBorder="1" applyAlignment="1">
      <alignment horizontal="center"/>
    </xf>
    <xf numFmtId="167" fontId="3" fillId="0" borderId="6" xfId="2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0" fontId="3" fillId="0" borderId="5" xfId="2" applyNumberFormat="1" applyFont="1" applyBorder="1" applyAlignment="1">
      <alignment horizontal="center" vertical="center"/>
    </xf>
    <xf numFmtId="169" fontId="3" fillId="0" borderId="0" xfId="2" applyNumberFormat="1" applyFont="1" applyBorder="1" applyAlignment="1">
      <alignment horizontal="center" vertical="center"/>
    </xf>
    <xf numFmtId="43" fontId="6" fillId="0" borderId="0" xfId="2" applyFont="1" applyBorder="1" applyAlignment="1">
      <alignment horizontal="center"/>
    </xf>
    <xf numFmtId="43" fontId="3" fillId="7" borderId="2" xfId="2" applyFont="1" applyFill="1" applyBorder="1" applyAlignment="1"/>
    <xf numFmtId="43" fontId="3" fillId="7" borderId="3" xfId="2" applyFont="1" applyFill="1" applyBorder="1" applyAlignment="1"/>
    <xf numFmtId="43" fontId="3" fillId="7" borderId="5" xfId="2" applyFont="1" applyFill="1" applyBorder="1" applyAlignment="1"/>
    <xf numFmtId="43" fontId="3" fillId="7" borderId="0" xfId="2" applyFont="1" applyFill="1" applyBorder="1" applyAlignment="1"/>
    <xf numFmtId="43" fontId="9" fillId="7" borderId="3" xfId="2" applyFont="1" applyFill="1" applyBorder="1" applyAlignment="1">
      <alignment horizontal="center" vertical="center"/>
    </xf>
    <xf numFmtId="43" fontId="9" fillId="7" borderId="4" xfId="2" applyFont="1" applyFill="1" applyBorder="1" applyAlignment="1">
      <alignment horizontal="center" vertical="center"/>
    </xf>
    <xf numFmtId="43" fontId="9" fillId="7" borderId="0" xfId="2" applyFont="1" applyFill="1" applyBorder="1" applyAlignment="1">
      <alignment horizontal="center" vertical="center"/>
    </xf>
    <xf numFmtId="43" fontId="9" fillId="7" borderId="6" xfId="2" applyFont="1" applyFill="1" applyBorder="1" applyAlignment="1">
      <alignment horizontal="center" vertical="center"/>
    </xf>
    <xf numFmtId="43" fontId="2" fillId="7" borderId="0" xfId="2" applyFont="1" applyFill="1" applyBorder="1" applyAlignment="1">
      <alignment horizontal="right"/>
    </xf>
    <xf numFmtId="14" fontId="3" fillId="7" borderId="0" xfId="2" applyNumberFormat="1" applyFont="1" applyFill="1" applyBorder="1" applyAlignment="1">
      <alignment horizontal="center"/>
    </xf>
    <xf numFmtId="14" fontId="3" fillId="7" borderId="6" xfId="2" applyNumberFormat="1" applyFont="1" applyFill="1" applyBorder="1" applyAlignment="1">
      <alignment horizontal="center"/>
    </xf>
    <xf numFmtId="43" fontId="5" fillId="0" borderId="5" xfId="2" applyFont="1" applyBorder="1" applyAlignment="1">
      <alignment horizontal="center" vertical="center" wrapText="1"/>
    </xf>
    <xf numFmtId="43" fontId="5" fillId="0" borderId="0" xfId="2" applyFont="1" applyBorder="1" applyAlignment="1">
      <alignment horizontal="center" vertical="center" wrapText="1"/>
    </xf>
    <xf numFmtId="43" fontId="5" fillId="0" borderId="6" xfId="2" applyFont="1" applyBorder="1" applyAlignment="1">
      <alignment horizontal="center" vertical="center" wrapText="1"/>
    </xf>
    <xf numFmtId="43" fontId="7" fillId="0" borderId="5" xfId="2" applyFont="1" applyBorder="1" applyAlignment="1">
      <alignment horizontal="center" wrapText="1"/>
    </xf>
    <xf numFmtId="43" fontId="7" fillId="0" borderId="0" xfId="2" applyFont="1" applyBorder="1" applyAlignment="1">
      <alignment horizontal="center" wrapText="1"/>
    </xf>
    <xf numFmtId="43" fontId="7" fillId="0" borderId="6" xfId="2" applyFont="1" applyBorder="1" applyAlignment="1">
      <alignment horizontal="center" wrapText="1"/>
    </xf>
    <xf numFmtId="43" fontId="3" fillId="0" borderId="5" xfId="2" applyFont="1" applyBorder="1" applyAlignment="1">
      <alignment horizontal="center"/>
    </xf>
    <xf numFmtId="43" fontId="3" fillId="0" borderId="0" xfId="2" applyFont="1" applyBorder="1" applyAlignment="1">
      <alignment horizontal="center"/>
    </xf>
    <xf numFmtId="43" fontId="3" fillId="0" borderId="6" xfId="2" applyFont="1" applyBorder="1" applyAlignment="1">
      <alignment horizontal="center"/>
    </xf>
    <xf numFmtId="43" fontId="3" fillId="6" borderId="5" xfId="2" applyFont="1" applyFill="1" applyBorder="1" applyAlignment="1">
      <alignment horizontal="center"/>
    </xf>
    <xf numFmtId="43" fontId="3" fillId="6" borderId="0" xfId="2" applyFont="1" applyFill="1" applyBorder="1" applyAlignment="1">
      <alignment horizontal="center"/>
    </xf>
    <xf numFmtId="43" fontId="3" fillId="6" borderId="6" xfId="2" applyFont="1" applyFill="1" applyBorder="1" applyAlignment="1">
      <alignment horizontal="center"/>
    </xf>
    <xf numFmtId="43" fontId="2" fillId="0" borderId="0" xfId="2" applyFont="1" applyBorder="1" applyAlignment="1">
      <alignment horizontal="left"/>
    </xf>
    <xf numFmtId="43" fontId="2" fillId="0" borderId="6" xfId="2" applyFont="1" applyBorder="1" applyAlignment="1">
      <alignment horizontal="left"/>
    </xf>
    <xf numFmtId="43" fontId="12" fillId="0" borderId="5" xfId="2" applyFont="1" applyBorder="1" applyAlignment="1">
      <alignment horizontal="left"/>
    </xf>
    <xf numFmtId="43" fontId="12" fillId="0" borderId="0" xfId="2" applyFont="1" applyBorder="1" applyAlignment="1">
      <alignment horizontal="left"/>
    </xf>
    <xf numFmtId="167" fontId="13" fillId="0" borderId="11" xfId="2" applyNumberFormat="1" applyFont="1" applyBorder="1" applyAlignment="1">
      <alignment horizontal="center" vertical="center"/>
    </xf>
    <xf numFmtId="167" fontId="13" fillId="0" borderId="12" xfId="2" applyNumberFormat="1" applyFont="1" applyBorder="1" applyAlignment="1">
      <alignment horizontal="center" vertical="center"/>
    </xf>
    <xf numFmtId="43" fontId="2" fillId="0" borderId="5" xfId="2" applyFont="1" applyBorder="1" applyAlignment="1">
      <alignment horizontal="left" vertical="top"/>
    </xf>
    <xf numFmtId="43" fontId="2" fillId="0" borderId="0" xfId="2" applyFont="1" applyBorder="1" applyAlignment="1">
      <alignment horizontal="left" vertical="top"/>
    </xf>
    <xf numFmtId="43" fontId="3" fillId="0" borderId="5" xfId="2" applyFont="1" applyBorder="1" applyAlignment="1"/>
    <xf numFmtId="43" fontId="3" fillId="0" borderId="0" xfId="2" applyFont="1" applyBorder="1" applyAlignment="1"/>
    <xf numFmtId="43" fontId="3" fillId="0" borderId="6" xfId="2" applyFont="1" applyBorder="1" applyAlignment="1"/>
    <xf numFmtId="43" fontId="8" fillId="4" borderId="5" xfId="2" applyFont="1" applyFill="1" applyBorder="1" applyAlignment="1">
      <alignment horizontal="center" vertical="center"/>
    </xf>
    <xf numFmtId="43" fontId="8" fillId="4" borderId="0" xfId="2" applyFont="1" applyFill="1" applyBorder="1" applyAlignment="1">
      <alignment horizontal="center" vertical="center"/>
    </xf>
    <xf numFmtId="43" fontId="4" fillId="3" borderId="0" xfId="2" applyFont="1" applyFill="1" applyBorder="1" applyAlignment="1">
      <alignment horizontal="left" vertical="center"/>
    </xf>
    <xf numFmtId="43" fontId="11" fillId="0" borderId="0" xfId="2" applyFont="1" applyBorder="1" applyAlignment="1">
      <alignment horizontal="left"/>
    </xf>
    <xf numFmtId="43" fontId="3" fillId="0" borderId="0" xfId="2" applyFont="1" applyBorder="1" applyAlignment="1">
      <alignment horizontal="left"/>
    </xf>
    <xf numFmtId="43" fontId="5" fillId="0" borderId="0" xfId="2" applyFont="1" applyBorder="1" applyAlignment="1">
      <alignment horizontal="left" vertical="center"/>
    </xf>
    <xf numFmtId="43" fontId="6" fillId="0" borderId="0" xfId="2" applyFont="1" applyBorder="1" applyAlignment="1">
      <alignment horizontal="center"/>
    </xf>
    <xf numFmtId="43" fontId="10" fillId="0" borderId="0" xfId="2" applyFont="1" applyBorder="1" applyAlignment="1">
      <alignment horizontal="left"/>
    </xf>
    <xf numFmtId="43" fontId="3" fillId="0" borderId="9" xfId="2" applyFont="1" applyBorder="1" applyAlignment="1">
      <alignment horizontal="center"/>
    </xf>
    <xf numFmtId="43" fontId="3" fillId="0" borderId="10" xfId="2" applyFont="1" applyBorder="1" applyAlignment="1">
      <alignment horizontal="center"/>
    </xf>
    <xf numFmtId="43" fontId="3" fillId="6" borderId="5" xfId="2" applyFont="1" applyFill="1" applyBorder="1" applyAlignment="1"/>
    <xf numFmtId="43" fontId="3" fillId="6" borderId="0" xfId="2" applyFont="1" applyFill="1" applyBorder="1" applyAlignment="1"/>
    <xf numFmtId="43" fontId="3" fillId="6" borderId="6" xfId="2" applyFont="1" applyFill="1" applyBorder="1" applyAlignment="1"/>
    <xf numFmtId="43" fontId="2" fillId="5" borderId="0" xfId="2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7" borderId="6" xfId="0" applyFont="1" applyFill="1" applyBorder="1" applyAlignment="1">
      <alignment horizontal="center"/>
    </xf>
    <xf numFmtId="14" fontId="3" fillId="7" borderId="0" xfId="0" applyNumberFormat="1" applyFont="1" applyFill="1" applyAlignment="1">
      <alignment horizontal="center"/>
    </xf>
    <xf numFmtId="14" fontId="3" fillId="7" borderId="6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6" fillId="0" borderId="0" xfId="0" applyFont="1" applyAlignment="1">
      <alignment horizontal="center"/>
    </xf>
    <xf numFmtId="173" fontId="0" fillId="0" borderId="0" xfId="1" applyNumberFormat="1" applyFont="1"/>
    <xf numFmtId="169" fontId="3" fillId="0" borderId="0" xfId="2" applyNumberFormat="1" applyFont="1" applyBorder="1" applyAlignment="1">
      <alignment horizontal="right" vertical="center"/>
    </xf>
    <xf numFmtId="169" fontId="3" fillId="0" borderId="0" xfId="2" applyNumberFormat="1" applyFont="1" applyAlignment="1">
      <alignment horizontal="right" vertical="center"/>
    </xf>
    <xf numFmtId="14" fontId="3" fillId="7" borderId="14" xfId="0" applyNumberFormat="1" applyFont="1" applyFill="1" applyBorder="1" applyAlignment="1">
      <alignment horizontal="center"/>
    </xf>
    <xf numFmtId="14" fontId="3" fillId="7" borderId="15" xfId="0" applyNumberFormat="1" applyFont="1" applyFill="1" applyBorder="1" applyAlignment="1">
      <alignment horizontal="center"/>
    </xf>
    <xf numFmtId="169" fontId="3" fillId="0" borderId="0" xfId="2" applyNumberFormat="1" applyFont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731520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EBF91-4E48-4B7A-8CAE-26FF401D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3340"/>
          <a:ext cx="13030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731520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2C8B82-3380-4E1D-9620-082331C7C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3340"/>
          <a:ext cx="13030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731520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1BDD86-3BFB-4521-89AC-D7A868CD2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3340"/>
          <a:ext cx="13030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731520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04BD4-D6B1-4071-9DAA-9850922C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3340"/>
          <a:ext cx="13030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731520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E7223-BD0B-4680-A336-13C76E388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3340"/>
          <a:ext cx="13030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51163C80-B761-491A-9F10-8DCAD2BB3C0F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4-09-27T07:18:53.66" personId="{51163C80-B761-491A-9F10-8DCAD2BB3C0F}" id="{95503E17-1723-4A56-84D2-034BB4A493FA}">
    <text>Gearbox</text>
  </threadedComment>
  <threadedComment ref="B18" dT="2024-09-27T07:30:40.16" personId="{51163C80-B761-491A-9F10-8DCAD2BB3C0F}" id="{AD6DDEE6-5C23-47EB-8A4C-FE5CA511E11B}">
    <text>Catalytic Converter</text>
  </threadedComment>
  <threadedComment ref="B19" dT="2024-09-27T07:30:40.16" personId="{51163C80-B761-491A-9F10-8DCAD2BB3C0F}" id="{B3E030B5-FA43-4FA1-BB63-66547348A803}">
    <text>Premium-Verpackungskosten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7" dT="2024-09-27T07:18:53.66" personId="{51163C80-B761-491A-9F10-8DCAD2BB3C0F}" id="{A0576612-034B-4C0C-931E-772DCA3B5B98}">
    <text>Precision Sensors</text>
  </threadedComment>
  <threadedComment ref="B18" dT="2024-09-27T07:30:40.16" personId="{51163C80-B761-491A-9F10-8DCAD2BB3C0F}" id="{7AF37FDB-5F8F-4BFA-BFEB-EE42028A6CF7}">
    <text>Fragile Item Packing Charge</text>
  </threadedComment>
  <threadedComment ref="B19" dT="2024-09-27T07:38:48.24" personId="{51163C80-B761-491A-9F10-8DCAD2BB3C0F}" id="{A2D384B3-2C58-4DFA-81B4-14F680E7DC95}">
    <text>Trade-In Program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7" dT="2024-09-27T07:18:53.66" personId="{51163C80-B761-491A-9F10-8DCAD2BB3C0F}" id="{0B159752-0BCD-4763-A81A-25E7C2847EC4}">
    <text>Throttle Body</text>
  </threadedComment>
  <threadedComment ref="B18" dT="2024-09-27T07:30:40.16" personId="{51163C80-B761-491A-9F10-8DCAD2BB3C0F}" id="{6AB9AA3E-E759-4344-9B21-AD12C92897E3}">
    <text>Heavy-Duty Packing Charge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7" dT="2024-10-02T09:25:07.56" personId="{51163C80-B761-491A-9F10-8DCAD2BB3C0F}" id="{38EE7D67-7CB2-4189-A8C8-852C53D7139A}">
    <text>Windshield</text>
  </threadedComment>
  <threadedComment ref="B18" dT="2024-10-02T09:25:36.73" personId="{51163C80-B761-491A-9F10-8DCAD2BB3C0F}" id="{75D14FED-47AF-4CFD-A7E9-BCB5C93C7C06}">
    <text>Fragile Item Packing Charge</text>
  </threadedComment>
  <threadedComment ref="B19" dT="2024-10-02T09:24:48.89" personId="{51163C80-B761-491A-9F10-8DCAD2BB3C0F}" id="{C6DDD95D-BD69-4B43-ACAF-BA3A12429230}">
    <text>Volume Discount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7" dT="2024-10-02T09:26:04.09" personId="{51163C80-B761-491A-9F10-8DCAD2BB3C0F}" id="{90A51E00-0ECD-4901-9D0E-A894AEFE2A18}">
    <text>Seats</text>
  </threadedComment>
  <threadedComment ref="B18" dT="2024-10-02T09:27:27.98" personId="{51163C80-B761-491A-9F10-8DCAD2BB3C0F}" id="{994208AC-6E22-4C99-BF8E-177D270EC2E8}">
    <text>Center Console</text>
  </threadedComment>
  <threadedComment ref="B19" dT="2024-10-02T09:24:48.89" personId="{51163C80-B761-491A-9F10-8DCAD2BB3C0F}" id="{CD88E669-17C2-46D1-B6DC-85D43BBD741E}">
    <text>Volume Discount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4006-24@ZPA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D410-74E7-468C-995A-C68AF7E1865F}">
  <dimension ref="A1:I43"/>
  <sheetViews>
    <sheetView showGridLines="0" workbookViewId="0">
      <selection activeCell="C1" sqref="C1:H2"/>
    </sheetView>
  </sheetViews>
  <sheetFormatPr defaultColWidth="8.88671875" defaultRowHeight="14.4" x14ac:dyDescent="0.3"/>
  <cols>
    <col min="1" max="1" width="9" style="3" bestFit="1" customWidth="1"/>
    <col min="2" max="2" width="17.44140625" style="3" bestFit="1" customWidth="1"/>
    <col min="3" max="3" width="6.44140625" style="3" customWidth="1"/>
    <col min="4" max="4" width="5.44140625" style="3" customWidth="1"/>
    <col min="5" max="5" width="8.88671875" style="3"/>
    <col min="6" max="6" width="9.88671875" style="3" bestFit="1" customWidth="1"/>
    <col min="7" max="7" width="14.109375" style="3" bestFit="1" customWidth="1"/>
    <col min="8" max="8" width="17.5546875" style="3" customWidth="1"/>
    <col min="9" max="9" width="10" style="3" bestFit="1" customWidth="1"/>
    <col min="10" max="16384" width="8.88671875" style="3"/>
  </cols>
  <sheetData>
    <row r="1" spans="1:8" ht="14.4" customHeight="1" x14ac:dyDescent="0.3">
      <c r="A1" s="35"/>
      <c r="B1" s="36"/>
      <c r="C1" s="39" t="s">
        <v>0</v>
      </c>
      <c r="D1" s="39"/>
      <c r="E1" s="39"/>
      <c r="F1" s="39"/>
      <c r="G1" s="39"/>
      <c r="H1" s="40"/>
    </row>
    <row r="2" spans="1:8" ht="14.4" customHeight="1" x14ac:dyDescent="0.3">
      <c r="A2" s="37"/>
      <c r="B2" s="38"/>
      <c r="C2" s="41"/>
      <c r="D2" s="41"/>
      <c r="E2" s="41"/>
      <c r="F2" s="41"/>
      <c r="G2" s="41"/>
      <c r="H2" s="42"/>
    </row>
    <row r="3" spans="1:8" x14ac:dyDescent="0.3">
      <c r="A3" s="37"/>
      <c r="B3" s="38"/>
      <c r="C3" s="43" t="s">
        <v>1</v>
      </c>
      <c r="D3" s="43"/>
      <c r="E3" s="43"/>
      <c r="F3" s="43"/>
      <c r="G3" s="44" t="s">
        <v>42</v>
      </c>
      <c r="H3" s="45"/>
    </row>
    <row r="4" spans="1:8" x14ac:dyDescent="0.3">
      <c r="A4" s="37"/>
      <c r="B4" s="38"/>
      <c r="C4" s="43" t="s">
        <v>2</v>
      </c>
      <c r="D4" s="43"/>
      <c r="E4" s="43"/>
      <c r="F4" s="43"/>
      <c r="G4" s="44">
        <v>45300</v>
      </c>
      <c r="H4" s="45"/>
    </row>
    <row r="5" spans="1:8" x14ac:dyDescent="0.3">
      <c r="A5" s="4"/>
      <c r="B5" s="5"/>
      <c r="C5" s="5"/>
      <c r="D5" s="5"/>
      <c r="E5" s="5"/>
      <c r="F5" s="5"/>
      <c r="G5" s="5"/>
      <c r="H5" s="6"/>
    </row>
    <row r="6" spans="1:8" ht="21" x14ac:dyDescent="0.3">
      <c r="A6" s="46" t="s">
        <v>3</v>
      </c>
      <c r="B6" s="47"/>
      <c r="C6" s="47"/>
      <c r="D6" s="47"/>
      <c r="E6" s="47"/>
      <c r="F6" s="47"/>
      <c r="G6" s="47"/>
      <c r="H6" s="48"/>
    </row>
    <row r="7" spans="1:8" ht="15.6" x14ac:dyDescent="0.3">
      <c r="A7" s="49" t="s">
        <v>4</v>
      </c>
      <c r="B7" s="50"/>
      <c r="C7" s="50"/>
      <c r="D7" s="50"/>
      <c r="E7" s="50"/>
      <c r="F7" s="50"/>
      <c r="G7" s="50"/>
      <c r="H7" s="51"/>
    </row>
    <row r="8" spans="1:8" x14ac:dyDescent="0.3">
      <c r="A8" s="52"/>
      <c r="B8" s="53"/>
      <c r="C8" s="53"/>
      <c r="D8" s="53"/>
      <c r="E8" s="53"/>
      <c r="F8" s="53"/>
      <c r="G8" s="53"/>
      <c r="H8" s="54"/>
    </row>
    <row r="9" spans="1:8" x14ac:dyDescent="0.3">
      <c r="A9" s="55"/>
      <c r="B9" s="56"/>
      <c r="C9" s="56"/>
      <c r="D9" s="56"/>
      <c r="E9" s="56"/>
      <c r="F9" s="56"/>
      <c r="G9" s="56"/>
      <c r="H9" s="57"/>
    </row>
    <row r="10" spans="1:8" x14ac:dyDescent="0.3">
      <c r="A10" s="60" t="s">
        <v>5</v>
      </c>
      <c r="B10" s="61"/>
      <c r="C10" s="61"/>
      <c r="D10" s="61"/>
      <c r="E10" s="58" t="s">
        <v>6</v>
      </c>
      <c r="F10" s="58"/>
      <c r="G10" s="58"/>
      <c r="H10" s="59"/>
    </row>
    <row r="11" spans="1:8" x14ac:dyDescent="0.3">
      <c r="A11" s="66" t="s">
        <v>7</v>
      </c>
      <c r="B11" s="67"/>
      <c r="C11" s="67"/>
      <c r="D11" s="67"/>
      <c r="E11" s="67" t="str">
        <f>A11</f>
        <v>Steel Horse Auto Inc</v>
      </c>
      <c r="F11" s="67"/>
      <c r="G11" s="67"/>
      <c r="H11" s="68"/>
    </row>
    <row r="12" spans="1:8" x14ac:dyDescent="0.3">
      <c r="A12" s="66" t="s">
        <v>8</v>
      </c>
      <c r="B12" s="67"/>
      <c r="C12" s="67"/>
      <c r="D12" s="67"/>
      <c r="E12" s="67" t="str">
        <f t="shared" ref="E12:E13" si="0">A12</f>
        <v xml:space="preserve">265 Lopez Orchard, East John, </v>
      </c>
      <c r="F12" s="67"/>
      <c r="G12" s="67"/>
      <c r="H12" s="68"/>
    </row>
    <row r="13" spans="1:8" x14ac:dyDescent="0.3">
      <c r="A13" s="8" t="s">
        <v>9</v>
      </c>
      <c r="B13" s="9"/>
      <c r="C13" s="9"/>
      <c r="D13" s="9"/>
      <c r="E13" s="67" t="str">
        <f t="shared" si="0"/>
        <v>Michigan, United States, 43306</v>
      </c>
      <c r="F13" s="67"/>
      <c r="G13" s="67"/>
      <c r="H13" s="68"/>
    </row>
    <row r="14" spans="1:8" x14ac:dyDescent="0.3">
      <c r="A14" s="66"/>
      <c r="B14" s="67"/>
      <c r="C14" s="67"/>
      <c r="D14" s="67"/>
      <c r="E14" s="67"/>
      <c r="F14" s="67"/>
      <c r="G14" s="67"/>
      <c r="H14" s="68"/>
    </row>
    <row r="15" spans="1:8" x14ac:dyDescent="0.3">
      <c r="A15" s="79"/>
      <c r="B15" s="80"/>
      <c r="C15" s="80"/>
      <c r="D15" s="80"/>
      <c r="E15" s="80"/>
      <c r="F15" s="80"/>
      <c r="G15" s="80"/>
      <c r="H15" s="81"/>
    </row>
    <row r="16" spans="1:8" x14ac:dyDescent="0.3">
      <c r="A16" s="10" t="s">
        <v>10</v>
      </c>
      <c r="B16" s="82" t="s">
        <v>11</v>
      </c>
      <c r="C16" s="82"/>
      <c r="D16" s="82"/>
      <c r="E16" s="82"/>
      <c r="F16" s="12" t="s">
        <v>12</v>
      </c>
      <c r="G16" s="11" t="s">
        <v>13</v>
      </c>
      <c r="H16" s="13" t="s">
        <v>14</v>
      </c>
    </row>
    <row r="17" spans="1:9" x14ac:dyDescent="0.3">
      <c r="A17" s="32">
        <v>1</v>
      </c>
      <c r="B17" s="75" t="s">
        <v>15</v>
      </c>
      <c r="C17" s="75"/>
      <c r="D17" s="75"/>
      <c r="E17" s="75"/>
      <c r="F17" s="33">
        <v>1500</v>
      </c>
      <c r="G17" s="33">
        <v>2250</v>
      </c>
      <c r="H17" s="30">
        <f>F17*G17</f>
        <v>3375000</v>
      </c>
    </row>
    <row r="18" spans="1:9" x14ac:dyDescent="0.3">
      <c r="A18" s="32">
        <v>2</v>
      </c>
      <c r="B18" s="75" t="s">
        <v>16</v>
      </c>
      <c r="C18" s="75"/>
      <c r="D18" s="75"/>
      <c r="E18" s="75"/>
      <c r="F18" s="33">
        <v>2134</v>
      </c>
      <c r="G18" s="33">
        <v>2000</v>
      </c>
      <c r="H18" s="30">
        <f>+F18*G18</f>
        <v>4268000</v>
      </c>
    </row>
    <row r="19" spans="1:9" x14ac:dyDescent="0.3">
      <c r="A19" s="32"/>
      <c r="B19" s="34"/>
      <c r="C19" s="34"/>
      <c r="D19" s="34"/>
      <c r="E19" s="34"/>
      <c r="F19" s="33"/>
      <c r="G19" s="33"/>
      <c r="H19" s="30"/>
    </row>
    <row r="20" spans="1:9" x14ac:dyDescent="0.3">
      <c r="A20" s="32"/>
      <c r="B20" s="34"/>
      <c r="C20" s="34"/>
      <c r="D20" s="34"/>
      <c r="E20" s="34"/>
      <c r="F20" s="33"/>
      <c r="G20" s="33"/>
      <c r="H20" s="30"/>
    </row>
    <row r="21" spans="1:9" x14ac:dyDescent="0.3">
      <c r="A21" s="32"/>
      <c r="B21" s="34"/>
      <c r="C21" s="34"/>
      <c r="D21" s="34"/>
      <c r="E21" s="34"/>
      <c r="F21" s="33"/>
      <c r="G21" s="33"/>
      <c r="H21" s="30"/>
    </row>
    <row r="22" spans="1:9" x14ac:dyDescent="0.3">
      <c r="A22" s="32"/>
      <c r="B22" s="34"/>
      <c r="C22" s="34"/>
      <c r="D22" s="34"/>
      <c r="E22" s="34"/>
      <c r="F22" s="33"/>
      <c r="G22" s="33"/>
      <c r="H22" s="30"/>
    </row>
    <row r="23" spans="1:9" x14ac:dyDescent="0.3">
      <c r="A23" s="32"/>
      <c r="B23" s="34"/>
      <c r="C23" s="34"/>
      <c r="D23" s="34"/>
      <c r="E23" s="34"/>
      <c r="F23" s="33"/>
      <c r="G23" s="33"/>
      <c r="H23" s="30"/>
    </row>
    <row r="24" spans="1:9" x14ac:dyDescent="0.3">
      <c r="A24" s="32"/>
      <c r="B24" s="34"/>
      <c r="C24" s="34"/>
      <c r="D24" s="34"/>
      <c r="E24" s="34"/>
      <c r="F24" s="33"/>
      <c r="G24" s="33"/>
      <c r="H24" s="30"/>
    </row>
    <row r="25" spans="1:9" x14ac:dyDescent="0.3">
      <c r="A25" s="32"/>
      <c r="B25" s="34"/>
      <c r="C25" s="34"/>
      <c r="D25" s="34"/>
      <c r="E25" s="34"/>
      <c r="F25" s="33"/>
      <c r="G25" s="33"/>
      <c r="H25" s="30"/>
    </row>
    <row r="26" spans="1:9" x14ac:dyDescent="0.3">
      <c r="A26" s="32"/>
      <c r="B26" s="34"/>
      <c r="C26" s="34"/>
      <c r="D26" s="34"/>
      <c r="E26" s="34"/>
      <c r="F26" s="33"/>
      <c r="G26" s="33"/>
      <c r="H26" s="30"/>
    </row>
    <row r="27" spans="1:9" ht="21" x14ac:dyDescent="0.3">
      <c r="A27" s="69"/>
      <c r="B27" s="70"/>
      <c r="C27" s="14"/>
      <c r="D27" s="14"/>
      <c r="E27" s="14"/>
      <c r="F27" s="14"/>
      <c r="G27" s="14"/>
      <c r="H27" s="26">
        <f>SUM(H17:H26)</f>
        <v>7643000</v>
      </c>
    </row>
    <row r="28" spans="1:9" ht="21" x14ac:dyDescent="0.3">
      <c r="A28" s="64"/>
      <c r="B28" s="65"/>
      <c r="C28" s="65"/>
      <c r="D28" s="7"/>
      <c r="E28" s="71" t="s">
        <v>17</v>
      </c>
      <c r="F28" s="71"/>
      <c r="G28" s="71"/>
      <c r="H28" s="27">
        <f>H27</f>
        <v>7643000</v>
      </c>
    </row>
    <row r="29" spans="1:9" ht="7.95" customHeight="1" x14ac:dyDescent="0.3">
      <c r="A29" s="64"/>
      <c r="B29" s="65"/>
      <c r="C29" s="65"/>
      <c r="D29" s="7"/>
      <c r="E29" s="15"/>
      <c r="F29" s="15"/>
      <c r="G29" s="15"/>
      <c r="H29" s="28"/>
    </row>
    <row r="30" spans="1:9" ht="17.399999999999999" x14ac:dyDescent="0.3">
      <c r="A30" s="64"/>
      <c r="B30" s="65"/>
      <c r="C30" s="65"/>
      <c r="D30" s="7"/>
      <c r="E30" s="72" t="s">
        <v>18</v>
      </c>
      <c r="F30" s="72"/>
      <c r="G30" s="72"/>
      <c r="H30" s="29">
        <f>+H28*18%</f>
        <v>1375740</v>
      </c>
      <c r="I30" s="95"/>
    </row>
    <row r="31" spans="1:9" ht="6" customHeight="1" x14ac:dyDescent="0.3">
      <c r="A31" s="64"/>
      <c r="B31" s="65"/>
      <c r="C31" s="65"/>
      <c r="D31" s="7"/>
      <c r="E31" s="73"/>
      <c r="F31" s="73"/>
      <c r="G31" s="73"/>
      <c r="H31" s="29"/>
    </row>
    <row r="32" spans="1:9" x14ac:dyDescent="0.3">
      <c r="A32" s="64"/>
      <c r="B32" s="65"/>
      <c r="C32" s="65"/>
      <c r="D32" s="7"/>
      <c r="E32" s="74" t="s">
        <v>19</v>
      </c>
      <c r="F32" s="74"/>
      <c r="G32" s="74"/>
      <c r="H32" s="62">
        <f>H28+H30</f>
        <v>9018740</v>
      </c>
    </row>
    <row r="33" spans="1:8" ht="15" thickBot="1" x14ac:dyDescent="0.35">
      <c r="A33" s="64"/>
      <c r="B33" s="65"/>
      <c r="C33" s="65"/>
      <c r="D33" s="7"/>
      <c r="E33" s="74"/>
      <c r="F33" s="74"/>
      <c r="G33" s="74"/>
      <c r="H33" s="63"/>
    </row>
    <row r="34" spans="1:8" ht="18" thickTop="1" x14ac:dyDescent="0.3">
      <c r="A34" s="16"/>
      <c r="B34" s="17"/>
      <c r="C34" s="17"/>
      <c r="D34" s="7"/>
      <c r="E34" s="76" t="s">
        <v>20</v>
      </c>
      <c r="F34" s="76"/>
      <c r="G34" s="76"/>
      <c r="H34" s="29" t="s">
        <v>41</v>
      </c>
    </row>
    <row r="35" spans="1:8" ht="17.399999999999999" x14ac:dyDescent="0.3">
      <c r="A35" s="16"/>
      <c r="B35" s="17"/>
      <c r="C35" s="17"/>
      <c r="D35" s="7"/>
      <c r="E35" s="76" t="s">
        <v>21</v>
      </c>
      <c r="F35" s="76"/>
      <c r="G35" s="76"/>
      <c r="H35" s="29">
        <f>H32</f>
        <v>9018740</v>
      </c>
    </row>
    <row r="36" spans="1:8" x14ac:dyDescent="0.3">
      <c r="A36" s="16"/>
      <c r="B36" s="17"/>
      <c r="C36" s="17"/>
      <c r="D36" s="7"/>
      <c r="E36" s="53"/>
      <c r="F36" s="53"/>
      <c r="G36" s="53"/>
      <c r="H36" s="54"/>
    </row>
    <row r="37" spans="1:8" x14ac:dyDescent="0.3">
      <c r="A37" s="18"/>
      <c r="B37" s="17"/>
      <c r="C37" s="17"/>
      <c r="D37" s="7"/>
      <c r="E37" s="53"/>
      <c r="F37" s="53"/>
      <c r="G37" s="53"/>
      <c r="H37" s="54"/>
    </row>
    <row r="38" spans="1:8" x14ac:dyDescent="0.3">
      <c r="A38" s="19" t="s">
        <v>22</v>
      </c>
      <c r="B38" s="17"/>
      <c r="C38" s="17"/>
      <c r="D38" s="7"/>
      <c r="E38" s="20"/>
      <c r="F38" s="20"/>
      <c r="G38" s="20"/>
      <c r="H38" s="21"/>
    </row>
    <row r="39" spans="1:8" x14ac:dyDescent="0.3">
      <c r="A39" s="16" t="s">
        <v>23</v>
      </c>
      <c r="B39" s="17"/>
      <c r="C39" s="17"/>
      <c r="D39" s="7"/>
      <c r="E39" s="20"/>
      <c r="F39" s="20"/>
      <c r="G39" s="20"/>
      <c r="H39" s="21"/>
    </row>
    <row r="40" spans="1:8" x14ac:dyDescent="0.3">
      <c r="A40" s="16" t="s">
        <v>24</v>
      </c>
      <c r="B40" s="17"/>
      <c r="C40" s="17"/>
      <c r="D40" s="7"/>
      <c r="E40" s="20"/>
      <c r="F40" s="20"/>
      <c r="G40" s="20"/>
      <c r="H40" s="21"/>
    </row>
    <row r="41" spans="1:8" x14ac:dyDescent="0.3">
      <c r="A41" s="22" t="s">
        <v>25</v>
      </c>
      <c r="B41" s="7"/>
      <c r="C41" s="7"/>
      <c r="D41" s="7"/>
      <c r="E41" s="20"/>
      <c r="F41" s="20"/>
      <c r="G41" s="20"/>
      <c r="H41" s="21"/>
    </row>
    <row r="42" spans="1:8" x14ac:dyDescent="0.3">
      <c r="A42" s="16" t="s">
        <v>26</v>
      </c>
      <c r="B42" s="7"/>
      <c r="C42" s="7"/>
      <c r="D42" s="7"/>
      <c r="E42" s="20"/>
      <c r="F42" s="20"/>
      <c r="G42" s="20"/>
      <c r="H42" s="21"/>
    </row>
    <row r="43" spans="1:8" ht="15" thickBot="1" x14ac:dyDescent="0.35">
      <c r="A43" s="77"/>
      <c r="B43" s="78"/>
      <c r="C43" s="78"/>
      <c r="D43" s="23"/>
      <c r="E43" s="24"/>
      <c r="F43" s="24"/>
      <c r="G43" s="24"/>
      <c r="H43" s="25"/>
    </row>
  </sheetData>
  <mergeCells count="37">
    <mergeCell ref="A15:H15"/>
    <mergeCell ref="B16:E16"/>
    <mergeCell ref="B17:E17"/>
    <mergeCell ref="B18:E18"/>
    <mergeCell ref="E34:G34"/>
    <mergeCell ref="E35:G35"/>
    <mergeCell ref="E36:H36"/>
    <mergeCell ref="E37:H37"/>
    <mergeCell ref="A43:C43"/>
    <mergeCell ref="H32:H33"/>
    <mergeCell ref="A33:C33"/>
    <mergeCell ref="A11:D11"/>
    <mergeCell ref="E11:H11"/>
    <mergeCell ref="A12:D12"/>
    <mergeCell ref="E12:H12"/>
    <mergeCell ref="A14:D14"/>
    <mergeCell ref="E14:H14"/>
    <mergeCell ref="A27:B27"/>
    <mergeCell ref="A28:C32"/>
    <mergeCell ref="E28:G28"/>
    <mergeCell ref="E30:G30"/>
    <mergeCell ref="E31:G31"/>
    <mergeCell ref="E32:G33"/>
    <mergeCell ref="E13:H13"/>
    <mergeCell ref="A6:H6"/>
    <mergeCell ref="A7:H7"/>
    <mergeCell ref="A8:H8"/>
    <mergeCell ref="A9:H9"/>
    <mergeCell ref="E10:H10"/>
    <mergeCell ref="A10:B10"/>
    <mergeCell ref="C10:D10"/>
    <mergeCell ref="A1:B4"/>
    <mergeCell ref="C1:H2"/>
    <mergeCell ref="C3:F3"/>
    <mergeCell ref="G3:H3"/>
    <mergeCell ref="C4:F4"/>
    <mergeCell ref="G4:H4"/>
  </mergeCells>
  <hyperlinks>
    <hyperlink ref="G3" r:id="rId1" xr:uid="{FD6CA7AC-5188-48CC-B43B-283B3117EE28}"/>
  </hyperlinks>
  <pageMargins left="0.7" right="0.7" top="0.75" bottom="0.75" header="0.3" footer="0.3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E481-8A3C-49FC-BA9A-954B3EC0A7C3}">
  <dimension ref="A1:I43"/>
  <sheetViews>
    <sheetView showGridLines="0" topLeftCell="A12" workbookViewId="0">
      <selection activeCell="F17" sqref="F17:G19"/>
    </sheetView>
  </sheetViews>
  <sheetFormatPr defaultColWidth="8.88671875" defaultRowHeight="14.4" x14ac:dyDescent="0.3"/>
  <cols>
    <col min="1" max="1" width="9" style="3" bestFit="1" customWidth="1"/>
    <col min="2" max="2" width="18.109375" style="3" customWidth="1"/>
    <col min="3" max="3" width="6.44140625" style="3" customWidth="1"/>
    <col min="4" max="4" width="5.44140625" style="3" customWidth="1"/>
    <col min="5" max="5" width="8.44140625" style="3" customWidth="1"/>
    <col min="6" max="6" width="9.88671875" style="3" bestFit="1" customWidth="1"/>
    <col min="7" max="7" width="14.109375" style="3" bestFit="1" customWidth="1"/>
    <col min="8" max="8" width="17.5546875" style="3" customWidth="1"/>
    <col min="9" max="9" width="10" style="3" bestFit="1" customWidth="1"/>
    <col min="10" max="16384" width="8.88671875" style="3"/>
  </cols>
  <sheetData>
    <row r="1" spans="1:8" ht="14.4" customHeight="1" x14ac:dyDescent="0.3">
      <c r="A1" s="35"/>
      <c r="B1" s="36"/>
      <c r="C1" s="39" t="s">
        <v>0</v>
      </c>
      <c r="D1" s="39"/>
      <c r="E1" s="39"/>
      <c r="F1" s="39"/>
      <c r="G1" s="39"/>
      <c r="H1" s="40"/>
    </row>
    <row r="2" spans="1:8" ht="14.4" customHeight="1" x14ac:dyDescent="0.3">
      <c r="A2" s="37"/>
      <c r="B2" s="38"/>
      <c r="C2" s="41"/>
      <c r="D2" s="41"/>
      <c r="E2" s="41"/>
      <c r="F2" s="41"/>
      <c r="G2" s="41"/>
      <c r="H2" s="42"/>
    </row>
    <row r="3" spans="1:8" x14ac:dyDescent="0.3">
      <c r="A3" s="37"/>
      <c r="B3" s="38"/>
      <c r="C3" s="43" t="s">
        <v>1</v>
      </c>
      <c r="D3" s="43"/>
      <c r="E3" s="43"/>
      <c r="F3" s="43"/>
      <c r="G3" s="83" t="s">
        <v>43</v>
      </c>
      <c r="H3" s="84"/>
    </row>
    <row r="4" spans="1:8" x14ac:dyDescent="0.3">
      <c r="A4" s="37"/>
      <c r="B4" s="38"/>
      <c r="C4" s="43" t="s">
        <v>2</v>
      </c>
      <c r="D4" s="43"/>
      <c r="E4" s="43"/>
      <c r="F4" s="43"/>
      <c r="G4" s="85">
        <v>45577</v>
      </c>
      <c r="H4" s="86"/>
    </row>
    <row r="5" spans="1:8" x14ac:dyDescent="0.3">
      <c r="A5" s="4"/>
      <c r="B5" s="5"/>
      <c r="C5" s="5"/>
      <c r="D5" s="5"/>
      <c r="E5" s="5"/>
      <c r="F5" s="5"/>
      <c r="G5" s="5"/>
      <c r="H5" s="6"/>
    </row>
    <row r="6" spans="1:8" ht="21" x14ac:dyDescent="0.3">
      <c r="A6" s="46" t="s">
        <v>3</v>
      </c>
      <c r="B6" s="47"/>
      <c r="C6" s="47"/>
      <c r="D6" s="47"/>
      <c r="E6" s="47"/>
      <c r="F6" s="47"/>
      <c r="G6" s="47"/>
      <c r="H6" s="48"/>
    </row>
    <row r="7" spans="1:8" ht="15.6" x14ac:dyDescent="0.3">
      <c r="A7" s="49" t="s">
        <v>4</v>
      </c>
      <c r="B7" s="50"/>
      <c r="C7" s="50"/>
      <c r="D7" s="50"/>
      <c r="E7" s="50"/>
      <c r="F7" s="50"/>
      <c r="G7" s="50"/>
      <c r="H7" s="51"/>
    </row>
    <row r="8" spans="1:8" x14ac:dyDescent="0.3">
      <c r="A8" s="52"/>
      <c r="B8" s="53"/>
      <c r="C8" s="53"/>
      <c r="D8" s="53"/>
      <c r="E8" s="53"/>
      <c r="F8" s="53"/>
      <c r="G8" s="53"/>
      <c r="H8" s="54"/>
    </row>
    <row r="9" spans="1:8" x14ac:dyDescent="0.3">
      <c r="A9" s="55"/>
      <c r="B9" s="56"/>
      <c r="C9" s="56"/>
      <c r="D9" s="56"/>
      <c r="E9" s="56"/>
      <c r="F9" s="56"/>
      <c r="G9" s="56"/>
      <c r="H9" s="57"/>
    </row>
    <row r="10" spans="1:8" x14ac:dyDescent="0.3">
      <c r="A10" s="89" t="s">
        <v>5</v>
      </c>
      <c r="B10" s="90"/>
      <c r="C10" s="90"/>
      <c r="D10" s="90"/>
      <c r="E10" s="87" t="s">
        <v>6</v>
      </c>
      <c r="F10" s="87"/>
      <c r="G10" s="87"/>
      <c r="H10" s="88"/>
    </row>
    <row r="11" spans="1:8" x14ac:dyDescent="0.3">
      <c r="A11" s="91" t="s">
        <v>27</v>
      </c>
      <c r="B11" s="92"/>
      <c r="C11" s="92"/>
      <c r="D11" s="92"/>
      <c r="E11" s="92" t="str">
        <f>A11</f>
        <v>Steel Horse Auto Assembly Chennai Ltd</v>
      </c>
      <c r="F11" s="92"/>
      <c r="G11" s="92"/>
      <c r="H11" s="93"/>
    </row>
    <row r="12" spans="1:8" x14ac:dyDescent="0.3">
      <c r="A12" s="91" t="s">
        <v>28</v>
      </c>
      <c r="B12" s="92"/>
      <c r="C12" s="92"/>
      <c r="D12" s="92"/>
      <c r="E12" s="92" t="str">
        <f t="shared" ref="E12:E13" si="0">A12</f>
        <v xml:space="preserve">House No 249,Road No 11,Rajiv Gandhi </v>
      </c>
      <c r="F12" s="92"/>
      <c r="G12" s="92"/>
      <c r="H12" s="93"/>
    </row>
    <row r="13" spans="1:8" x14ac:dyDescent="0.3">
      <c r="A13" s="1" t="s">
        <v>29</v>
      </c>
      <c r="B13" s="2"/>
      <c r="C13" s="2"/>
      <c r="D13" s="2"/>
      <c r="E13" s="92" t="str">
        <f t="shared" si="0"/>
        <v>Nagar,Chennai,Tamil Nadu,India</v>
      </c>
      <c r="F13" s="92"/>
      <c r="G13" s="92"/>
      <c r="H13" s="93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x14ac:dyDescent="0.3">
      <c r="A15" s="79"/>
      <c r="B15" s="80"/>
      <c r="C15" s="80"/>
      <c r="D15" s="80"/>
      <c r="E15" s="80"/>
      <c r="F15" s="80"/>
      <c r="G15" s="80"/>
      <c r="H15" s="81"/>
    </row>
    <row r="16" spans="1:8" x14ac:dyDescent="0.3">
      <c r="A16" s="10" t="s">
        <v>10</v>
      </c>
      <c r="B16" s="82" t="s">
        <v>11</v>
      </c>
      <c r="C16" s="82"/>
      <c r="D16" s="82"/>
      <c r="E16" s="82"/>
      <c r="F16" s="12" t="s">
        <v>12</v>
      </c>
      <c r="G16" s="11" t="s">
        <v>13</v>
      </c>
      <c r="H16" s="13" t="s">
        <v>14</v>
      </c>
    </row>
    <row r="17" spans="1:9" x14ac:dyDescent="0.3">
      <c r="A17" s="32">
        <v>1</v>
      </c>
      <c r="B17" s="94" t="s">
        <v>30</v>
      </c>
      <c r="C17" s="94"/>
      <c r="D17" s="94"/>
      <c r="E17" s="94"/>
      <c r="F17" s="97">
        <v>2000</v>
      </c>
      <c r="G17" s="96">
        <v>2200</v>
      </c>
      <c r="H17" s="31">
        <f>F17*G17</f>
        <v>4400000</v>
      </c>
    </row>
    <row r="18" spans="1:9" x14ac:dyDescent="0.3">
      <c r="A18" s="32">
        <v>2</v>
      </c>
      <c r="B18" s="94" t="s">
        <v>31</v>
      </c>
      <c r="C18" s="94"/>
      <c r="D18" s="94"/>
      <c r="E18" s="94"/>
      <c r="F18" s="97">
        <v>2000</v>
      </c>
      <c r="G18" s="96">
        <v>75</v>
      </c>
      <c r="H18" s="31">
        <f>+F18*G18</f>
        <v>150000</v>
      </c>
    </row>
    <row r="19" spans="1:9" x14ac:dyDescent="0.3">
      <c r="A19" s="32">
        <v>3</v>
      </c>
      <c r="B19" s="94" t="s">
        <v>32</v>
      </c>
      <c r="C19" s="94"/>
      <c r="D19" s="94"/>
      <c r="E19" s="94"/>
      <c r="F19" s="97">
        <v>2000</v>
      </c>
      <c r="G19" s="96">
        <f>G17+G18-2216</f>
        <v>59</v>
      </c>
      <c r="H19" s="31">
        <f>+F19*G19</f>
        <v>118000</v>
      </c>
    </row>
    <row r="20" spans="1:9" x14ac:dyDescent="0.3">
      <c r="A20" s="32"/>
      <c r="B20" s="34"/>
      <c r="C20" s="34"/>
      <c r="D20" s="34"/>
      <c r="E20" s="34"/>
      <c r="F20" s="33"/>
      <c r="G20" s="33"/>
      <c r="H20" s="30"/>
    </row>
    <row r="21" spans="1:9" x14ac:dyDescent="0.3">
      <c r="A21" s="32"/>
      <c r="B21" s="34"/>
      <c r="C21" s="34"/>
      <c r="D21" s="34"/>
      <c r="E21" s="34"/>
      <c r="F21" s="33"/>
      <c r="G21" s="33"/>
      <c r="H21" s="30"/>
    </row>
    <row r="22" spans="1:9" x14ac:dyDescent="0.3">
      <c r="A22" s="32"/>
      <c r="B22" s="34"/>
      <c r="C22" s="34"/>
      <c r="D22" s="34"/>
      <c r="E22" s="34"/>
      <c r="F22" s="33"/>
      <c r="G22" s="33"/>
      <c r="H22" s="30"/>
    </row>
    <row r="23" spans="1:9" x14ac:dyDescent="0.3">
      <c r="A23" s="32"/>
      <c r="B23" s="34"/>
      <c r="C23" s="34"/>
      <c r="D23" s="34"/>
      <c r="E23" s="34"/>
      <c r="F23" s="33"/>
      <c r="G23" s="33"/>
      <c r="H23" s="30"/>
    </row>
    <row r="24" spans="1:9" x14ac:dyDescent="0.3">
      <c r="A24" s="32"/>
      <c r="B24" s="34"/>
      <c r="C24" s="34"/>
      <c r="D24" s="34"/>
      <c r="E24" s="34"/>
      <c r="F24" s="33"/>
      <c r="G24" s="33"/>
      <c r="H24" s="30"/>
    </row>
    <row r="25" spans="1:9" x14ac:dyDescent="0.3">
      <c r="A25" s="32"/>
      <c r="B25" s="34"/>
      <c r="C25" s="34"/>
      <c r="D25" s="34"/>
      <c r="E25" s="34"/>
      <c r="F25" s="33"/>
      <c r="G25" s="33"/>
      <c r="H25" s="30"/>
    </row>
    <row r="26" spans="1:9" x14ac:dyDescent="0.3">
      <c r="A26" s="32"/>
      <c r="B26" s="34"/>
      <c r="C26" s="34"/>
      <c r="D26" s="34"/>
      <c r="E26" s="34"/>
      <c r="F26" s="33"/>
      <c r="G26" s="33"/>
      <c r="H26" s="30"/>
    </row>
    <row r="27" spans="1:9" ht="21" x14ac:dyDescent="0.3">
      <c r="A27" s="69"/>
      <c r="B27" s="70"/>
      <c r="C27" s="14"/>
      <c r="D27" s="14"/>
      <c r="E27" s="14"/>
      <c r="F27" s="14"/>
      <c r="G27" s="14"/>
      <c r="H27" s="26">
        <f>SUM(H17:H26)</f>
        <v>4668000</v>
      </c>
    </row>
    <row r="28" spans="1:9" ht="21" x14ac:dyDescent="0.3">
      <c r="A28" s="64"/>
      <c r="B28" s="65"/>
      <c r="C28" s="65"/>
      <c r="D28" s="7"/>
      <c r="E28" s="71" t="s">
        <v>17</v>
      </c>
      <c r="F28" s="71"/>
      <c r="G28" s="71"/>
      <c r="H28" s="27">
        <f>H27</f>
        <v>4668000</v>
      </c>
    </row>
    <row r="29" spans="1:9" ht="7.95" customHeight="1" x14ac:dyDescent="0.3">
      <c r="A29" s="64"/>
      <c r="B29" s="65"/>
      <c r="C29" s="65"/>
      <c r="D29" s="7"/>
      <c r="E29" s="15"/>
      <c r="F29" s="15"/>
      <c r="G29" s="15"/>
      <c r="H29" s="28"/>
    </row>
    <row r="30" spans="1:9" ht="17.399999999999999" x14ac:dyDescent="0.3">
      <c r="A30" s="64"/>
      <c r="B30" s="65"/>
      <c r="C30" s="65"/>
      <c r="D30" s="7"/>
      <c r="E30" s="72" t="s">
        <v>18</v>
      </c>
      <c r="F30" s="72"/>
      <c r="G30" s="72"/>
      <c r="H30" s="29">
        <f>+H28*18%</f>
        <v>840240</v>
      </c>
      <c r="I30" s="95"/>
    </row>
    <row r="31" spans="1:9" ht="6" customHeight="1" x14ac:dyDescent="0.3">
      <c r="A31" s="64"/>
      <c r="B31" s="65"/>
      <c r="C31" s="65"/>
      <c r="D31" s="7"/>
      <c r="E31" s="73"/>
      <c r="F31" s="73"/>
      <c r="G31" s="73"/>
      <c r="H31" s="29"/>
    </row>
    <row r="32" spans="1:9" x14ac:dyDescent="0.3">
      <c r="A32" s="64"/>
      <c r="B32" s="65"/>
      <c r="C32" s="65"/>
      <c r="D32" s="7"/>
      <c r="E32" s="74" t="s">
        <v>19</v>
      </c>
      <c r="F32" s="74"/>
      <c r="G32" s="74"/>
      <c r="H32" s="62">
        <f>H28+H30</f>
        <v>5508240</v>
      </c>
    </row>
    <row r="33" spans="1:8" ht="15" thickBot="1" x14ac:dyDescent="0.35">
      <c r="A33" s="64"/>
      <c r="B33" s="65"/>
      <c r="C33" s="65"/>
      <c r="D33" s="7"/>
      <c r="E33" s="74"/>
      <c r="F33" s="74"/>
      <c r="G33" s="74"/>
      <c r="H33" s="63"/>
    </row>
    <row r="34" spans="1:8" ht="18" thickTop="1" x14ac:dyDescent="0.3">
      <c r="A34" s="16"/>
      <c r="B34" s="17"/>
      <c r="C34" s="17"/>
      <c r="D34" s="7"/>
      <c r="E34" s="76" t="s">
        <v>20</v>
      </c>
      <c r="F34" s="76"/>
      <c r="G34" s="76"/>
      <c r="H34" s="29" t="s">
        <v>41</v>
      </c>
    </row>
    <row r="35" spans="1:8" ht="17.399999999999999" x14ac:dyDescent="0.3">
      <c r="A35" s="16"/>
      <c r="B35" s="17"/>
      <c r="C35" s="17"/>
      <c r="D35" s="7"/>
      <c r="E35" s="76" t="s">
        <v>21</v>
      </c>
      <c r="F35" s="76"/>
      <c r="G35" s="76"/>
      <c r="H35" s="29">
        <f>H32</f>
        <v>5508240</v>
      </c>
    </row>
    <row r="36" spans="1:8" x14ac:dyDescent="0.3">
      <c r="A36" s="16"/>
      <c r="B36" s="17"/>
      <c r="C36" s="17"/>
      <c r="D36" s="7"/>
      <c r="E36" s="53"/>
      <c r="F36" s="53"/>
      <c r="G36" s="53"/>
      <c r="H36" s="54"/>
    </row>
    <row r="37" spans="1:8" x14ac:dyDescent="0.3">
      <c r="A37" s="18"/>
      <c r="B37" s="17"/>
      <c r="C37" s="17"/>
      <c r="D37" s="7"/>
      <c r="E37" s="53"/>
      <c r="F37" s="53"/>
      <c r="G37" s="53"/>
      <c r="H37" s="54"/>
    </row>
    <row r="38" spans="1:8" x14ac:dyDescent="0.3">
      <c r="A38" s="19" t="s">
        <v>22</v>
      </c>
      <c r="B38" s="17"/>
      <c r="C38" s="17"/>
      <c r="D38" s="7"/>
      <c r="E38" s="20"/>
      <c r="F38" s="20"/>
      <c r="G38" s="20"/>
      <c r="H38" s="21"/>
    </row>
    <row r="39" spans="1:8" x14ac:dyDescent="0.3">
      <c r="A39" s="16" t="s">
        <v>23</v>
      </c>
      <c r="B39" s="17"/>
      <c r="C39" s="17"/>
      <c r="D39" s="7"/>
      <c r="E39" s="20"/>
      <c r="F39" s="20"/>
      <c r="G39" s="20"/>
      <c r="H39" s="21"/>
    </row>
    <row r="40" spans="1:8" x14ac:dyDescent="0.3">
      <c r="A40" s="16" t="s">
        <v>24</v>
      </c>
      <c r="B40" s="17"/>
      <c r="C40" s="17"/>
      <c r="D40" s="7"/>
      <c r="E40" s="20"/>
      <c r="F40" s="20"/>
      <c r="G40" s="20"/>
      <c r="H40" s="21"/>
    </row>
    <row r="41" spans="1:8" x14ac:dyDescent="0.3">
      <c r="A41" s="22" t="s">
        <v>25</v>
      </c>
      <c r="B41" s="7"/>
      <c r="C41" s="7"/>
      <c r="D41" s="7"/>
      <c r="E41" s="20"/>
      <c r="F41" s="20"/>
      <c r="G41" s="20"/>
      <c r="H41" s="21"/>
    </row>
    <row r="42" spans="1:8" x14ac:dyDescent="0.3">
      <c r="A42" s="16" t="s">
        <v>26</v>
      </c>
      <c r="B42" s="7"/>
      <c r="C42" s="7"/>
      <c r="D42" s="7"/>
      <c r="E42" s="20"/>
      <c r="F42" s="20"/>
      <c r="G42" s="20"/>
      <c r="H42" s="21"/>
    </row>
    <row r="43" spans="1:8" ht="15" thickBot="1" x14ac:dyDescent="0.35">
      <c r="A43" s="77"/>
      <c r="B43" s="78"/>
      <c r="C43" s="78"/>
      <c r="D43" s="23"/>
      <c r="E43" s="24"/>
      <c r="F43" s="24"/>
      <c r="G43" s="24"/>
      <c r="H43" s="25"/>
    </row>
  </sheetData>
  <mergeCells count="38">
    <mergeCell ref="A43:C43"/>
    <mergeCell ref="B19:E19"/>
    <mergeCell ref="H32:H33"/>
    <mergeCell ref="A33:C33"/>
    <mergeCell ref="E34:G34"/>
    <mergeCell ref="E35:G35"/>
    <mergeCell ref="E36:H36"/>
    <mergeCell ref="E37:H37"/>
    <mergeCell ref="A15:H15"/>
    <mergeCell ref="B16:E16"/>
    <mergeCell ref="B17:E17"/>
    <mergeCell ref="B18:E18"/>
    <mergeCell ref="A27:B27"/>
    <mergeCell ref="A28:C32"/>
    <mergeCell ref="E28:G28"/>
    <mergeCell ref="E30:G30"/>
    <mergeCell ref="E31:G31"/>
    <mergeCell ref="E32:G33"/>
    <mergeCell ref="A11:D11"/>
    <mergeCell ref="E11:H11"/>
    <mergeCell ref="A12:D12"/>
    <mergeCell ref="E12:H12"/>
    <mergeCell ref="E13:H13"/>
    <mergeCell ref="A14:D14"/>
    <mergeCell ref="E14:H14"/>
    <mergeCell ref="A6:H6"/>
    <mergeCell ref="A7:H7"/>
    <mergeCell ref="A8:H8"/>
    <mergeCell ref="A9:H9"/>
    <mergeCell ref="A10:B10"/>
    <mergeCell ref="C10:D10"/>
    <mergeCell ref="E10:H10"/>
    <mergeCell ref="A1:B4"/>
    <mergeCell ref="C1:H2"/>
    <mergeCell ref="C3:F3"/>
    <mergeCell ref="G3:H3"/>
    <mergeCell ref="C4:F4"/>
    <mergeCell ref="G4:H4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F157-AD9A-4545-A216-787C56F43761}">
  <dimension ref="A1:I42"/>
  <sheetViews>
    <sheetView showGridLines="0" workbookViewId="0">
      <selection activeCell="F17" sqref="F17:G18"/>
    </sheetView>
  </sheetViews>
  <sheetFormatPr defaultColWidth="8.88671875" defaultRowHeight="14.4" x14ac:dyDescent="0.3"/>
  <cols>
    <col min="1" max="1" width="9" style="3" bestFit="1" customWidth="1"/>
    <col min="2" max="2" width="18.33203125" style="3" customWidth="1"/>
    <col min="3" max="3" width="6.44140625" style="3" customWidth="1"/>
    <col min="4" max="4" width="5.44140625" style="3" customWidth="1"/>
    <col min="5" max="5" width="8.44140625" style="3" customWidth="1"/>
    <col min="6" max="6" width="9.88671875" style="3" bestFit="1" customWidth="1"/>
    <col min="7" max="7" width="14.109375" style="3" bestFit="1" customWidth="1"/>
    <col min="8" max="8" width="17.5546875" style="3" customWidth="1"/>
    <col min="9" max="9" width="10" style="3" bestFit="1" customWidth="1"/>
    <col min="10" max="16384" width="8.88671875" style="3"/>
  </cols>
  <sheetData>
    <row r="1" spans="1:8" ht="14.4" customHeight="1" x14ac:dyDescent="0.3">
      <c r="A1" s="35"/>
      <c r="B1" s="36"/>
      <c r="C1" s="39" t="s">
        <v>0</v>
      </c>
      <c r="D1" s="39"/>
      <c r="E1" s="39"/>
      <c r="F1" s="39"/>
      <c r="G1" s="39"/>
      <c r="H1" s="40"/>
    </row>
    <row r="2" spans="1:8" ht="14.4" customHeight="1" x14ac:dyDescent="0.3">
      <c r="A2" s="37"/>
      <c r="B2" s="38"/>
      <c r="C2" s="41"/>
      <c r="D2" s="41"/>
      <c r="E2" s="41"/>
      <c r="F2" s="41"/>
      <c r="G2" s="41"/>
      <c r="H2" s="42"/>
    </row>
    <row r="3" spans="1:8" x14ac:dyDescent="0.3">
      <c r="A3" s="37"/>
      <c r="B3" s="38"/>
      <c r="C3" s="43" t="s">
        <v>1</v>
      </c>
      <c r="D3" s="43"/>
      <c r="E3" s="43"/>
      <c r="F3" s="43"/>
      <c r="G3" s="83" t="s">
        <v>44</v>
      </c>
      <c r="H3" s="84"/>
    </row>
    <row r="4" spans="1:8" x14ac:dyDescent="0.3">
      <c r="A4" s="37"/>
      <c r="B4" s="38"/>
      <c r="C4" s="43" t="s">
        <v>2</v>
      </c>
      <c r="D4" s="43"/>
      <c r="E4" s="43"/>
      <c r="F4" s="43"/>
      <c r="G4" s="85">
        <v>45594</v>
      </c>
      <c r="H4" s="86"/>
    </row>
    <row r="5" spans="1:8" x14ac:dyDescent="0.3">
      <c r="A5" s="4"/>
      <c r="B5" s="5"/>
      <c r="C5" s="5"/>
      <c r="D5" s="5"/>
      <c r="E5" s="5"/>
      <c r="F5" s="5"/>
      <c r="G5" s="5"/>
      <c r="H5" s="6"/>
    </row>
    <row r="6" spans="1:8" ht="21" x14ac:dyDescent="0.3">
      <c r="A6" s="46" t="s">
        <v>3</v>
      </c>
      <c r="B6" s="47"/>
      <c r="C6" s="47"/>
      <c r="D6" s="47"/>
      <c r="E6" s="47"/>
      <c r="F6" s="47"/>
      <c r="G6" s="47"/>
      <c r="H6" s="48"/>
    </row>
    <row r="7" spans="1:8" ht="15.6" x14ac:dyDescent="0.3">
      <c r="A7" s="49" t="s">
        <v>4</v>
      </c>
      <c r="B7" s="50"/>
      <c r="C7" s="50"/>
      <c r="D7" s="50"/>
      <c r="E7" s="50"/>
      <c r="F7" s="50"/>
      <c r="G7" s="50"/>
      <c r="H7" s="51"/>
    </row>
    <row r="8" spans="1:8" x14ac:dyDescent="0.3">
      <c r="A8" s="52"/>
      <c r="B8" s="53"/>
      <c r="C8" s="53"/>
      <c r="D8" s="53"/>
      <c r="E8" s="53"/>
      <c r="F8" s="53"/>
      <c r="G8" s="53"/>
      <c r="H8" s="54"/>
    </row>
    <row r="9" spans="1:8" x14ac:dyDescent="0.3">
      <c r="A9" s="55"/>
      <c r="B9" s="56"/>
      <c r="C9" s="56"/>
      <c r="D9" s="56"/>
      <c r="E9" s="56"/>
      <c r="F9" s="56"/>
      <c r="G9" s="56"/>
      <c r="H9" s="57"/>
    </row>
    <row r="10" spans="1:8" x14ac:dyDescent="0.3">
      <c r="A10" s="89" t="s">
        <v>5</v>
      </c>
      <c r="B10" s="90"/>
      <c r="C10" s="90"/>
      <c r="D10" s="90"/>
      <c r="E10" s="87" t="s">
        <v>6</v>
      </c>
      <c r="F10" s="87"/>
      <c r="G10" s="87"/>
      <c r="H10" s="88"/>
    </row>
    <row r="11" spans="1:8" x14ac:dyDescent="0.3">
      <c r="A11" s="91" t="s">
        <v>7</v>
      </c>
      <c r="B11" s="92"/>
      <c r="C11" s="92"/>
      <c r="D11" s="92"/>
      <c r="E11" s="92" t="str">
        <f>A11</f>
        <v>Steel Horse Auto Inc</v>
      </c>
      <c r="F11" s="92"/>
      <c r="G11" s="92"/>
      <c r="H11" s="93"/>
    </row>
    <row r="12" spans="1:8" x14ac:dyDescent="0.3">
      <c r="A12" s="91" t="s">
        <v>8</v>
      </c>
      <c r="B12" s="92"/>
      <c r="C12" s="92"/>
      <c r="D12" s="92"/>
      <c r="E12" s="92" t="str">
        <f t="shared" ref="E12:E13" si="0">A12</f>
        <v xml:space="preserve">265 Lopez Orchard, East John, </v>
      </c>
      <c r="F12" s="92"/>
      <c r="G12" s="92"/>
      <c r="H12" s="93"/>
    </row>
    <row r="13" spans="1:8" x14ac:dyDescent="0.3">
      <c r="A13" s="1" t="s">
        <v>9</v>
      </c>
      <c r="B13" s="2"/>
      <c r="C13" s="2"/>
      <c r="D13" s="2"/>
      <c r="E13" s="92" t="str">
        <f t="shared" si="0"/>
        <v>Michigan, United States, 43306</v>
      </c>
      <c r="F13" s="92"/>
      <c r="G13" s="92"/>
      <c r="H13" s="93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x14ac:dyDescent="0.3">
      <c r="A15" s="79"/>
      <c r="B15" s="80"/>
      <c r="C15" s="80"/>
      <c r="D15" s="80"/>
      <c r="E15" s="80"/>
      <c r="F15" s="80"/>
      <c r="G15" s="80"/>
      <c r="H15" s="81"/>
    </row>
    <row r="16" spans="1:8" x14ac:dyDescent="0.3">
      <c r="A16" s="10" t="s">
        <v>10</v>
      </c>
      <c r="B16" s="82" t="s">
        <v>11</v>
      </c>
      <c r="C16" s="82"/>
      <c r="D16" s="82"/>
      <c r="E16" s="82"/>
      <c r="F16" s="12" t="s">
        <v>12</v>
      </c>
      <c r="G16" s="11" t="s">
        <v>13</v>
      </c>
      <c r="H16" s="13" t="s">
        <v>14</v>
      </c>
    </row>
    <row r="17" spans="1:9" x14ac:dyDescent="0.3">
      <c r="A17" s="32">
        <v>1</v>
      </c>
      <c r="B17" s="94" t="s">
        <v>33</v>
      </c>
      <c r="C17" s="94"/>
      <c r="D17" s="94"/>
      <c r="E17" s="94"/>
      <c r="F17" s="100">
        <v>1500</v>
      </c>
      <c r="G17" s="33">
        <v>2400</v>
      </c>
      <c r="H17" s="31">
        <f>F17*G17</f>
        <v>3600000</v>
      </c>
    </row>
    <row r="18" spans="1:9" x14ac:dyDescent="0.3">
      <c r="A18" s="32">
        <v>2</v>
      </c>
      <c r="B18" s="94" t="s">
        <v>34</v>
      </c>
      <c r="C18" s="94"/>
      <c r="D18" s="94"/>
      <c r="E18" s="94"/>
      <c r="F18" s="100">
        <v>1500</v>
      </c>
      <c r="G18" s="33">
        <v>75</v>
      </c>
      <c r="H18" s="31">
        <f>+F18*G18</f>
        <v>112500</v>
      </c>
    </row>
    <row r="19" spans="1:9" x14ac:dyDescent="0.3">
      <c r="A19" s="32"/>
      <c r="B19" s="34"/>
      <c r="C19" s="34"/>
      <c r="D19" s="34"/>
      <c r="E19" s="34"/>
      <c r="F19" s="33"/>
      <c r="G19" s="33"/>
      <c r="H19" s="30"/>
    </row>
    <row r="20" spans="1:9" x14ac:dyDescent="0.3">
      <c r="A20" s="32"/>
      <c r="B20" s="34"/>
      <c r="C20" s="34"/>
      <c r="D20" s="34"/>
      <c r="E20" s="34"/>
      <c r="F20" s="33"/>
      <c r="G20" s="33"/>
      <c r="H20" s="30"/>
    </row>
    <row r="21" spans="1:9" x14ac:dyDescent="0.3">
      <c r="A21" s="32"/>
      <c r="B21" s="34"/>
      <c r="C21" s="34"/>
      <c r="D21" s="34"/>
      <c r="E21" s="34"/>
      <c r="F21" s="33"/>
      <c r="G21" s="33"/>
      <c r="H21" s="30"/>
    </row>
    <row r="22" spans="1:9" x14ac:dyDescent="0.3">
      <c r="A22" s="32"/>
      <c r="B22" s="34"/>
      <c r="C22" s="34"/>
      <c r="D22" s="34"/>
      <c r="E22" s="34"/>
      <c r="F22" s="33"/>
      <c r="G22" s="33"/>
      <c r="H22" s="30"/>
    </row>
    <row r="23" spans="1:9" x14ac:dyDescent="0.3">
      <c r="A23" s="32"/>
      <c r="B23" s="34"/>
      <c r="C23" s="34"/>
      <c r="D23" s="34"/>
      <c r="E23" s="34"/>
      <c r="F23" s="33"/>
      <c r="G23" s="33"/>
      <c r="H23" s="30"/>
    </row>
    <row r="24" spans="1:9" x14ac:dyDescent="0.3">
      <c r="A24" s="32"/>
      <c r="B24" s="34"/>
      <c r="C24" s="34"/>
      <c r="D24" s="34"/>
      <c r="E24" s="34"/>
      <c r="F24" s="33"/>
      <c r="G24" s="33"/>
      <c r="H24" s="30"/>
    </row>
    <row r="25" spans="1:9" x14ac:dyDescent="0.3">
      <c r="A25" s="32"/>
      <c r="B25" s="34"/>
      <c r="C25" s="34"/>
      <c r="D25" s="34"/>
      <c r="E25" s="34"/>
      <c r="F25" s="33"/>
      <c r="G25" s="33"/>
      <c r="H25" s="30"/>
    </row>
    <row r="26" spans="1:9" ht="21" x14ac:dyDescent="0.3">
      <c r="A26" s="69"/>
      <c r="B26" s="70"/>
      <c r="C26" s="14"/>
      <c r="D26" s="14"/>
      <c r="E26" s="14"/>
      <c r="F26" s="14"/>
      <c r="G26" s="14"/>
      <c r="H26" s="26">
        <f>SUM(H17:H25)</f>
        <v>3712500</v>
      </c>
    </row>
    <row r="27" spans="1:9" ht="21" x14ac:dyDescent="0.3">
      <c r="A27" s="64"/>
      <c r="B27" s="65"/>
      <c r="C27" s="65"/>
      <c r="D27" s="7"/>
      <c r="E27" s="71" t="s">
        <v>17</v>
      </c>
      <c r="F27" s="71"/>
      <c r="G27" s="71"/>
      <c r="H27" s="27">
        <f>H26</f>
        <v>3712500</v>
      </c>
    </row>
    <row r="28" spans="1:9" ht="7.95" customHeight="1" x14ac:dyDescent="0.3">
      <c r="A28" s="64"/>
      <c r="B28" s="65"/>
      <c r="C28" s="65"/>
      <c r="D28" s="7"/>
      <c r="E28" s="15"/>
      <c r="F28" s="15"/>
      <c r="G28" s="15"/>
      <c r="H28" s="28"/>
    </row>
    <row r="29" spans="1:9" ht="17.399999999999999" x14ac:dyDescent="0.3">
      <c r="A29" s="64"/>
      <c r="B29" s="65"/>
      <c r="C29" s="65"/>
      <c r="D29" s="7"/>
      <c r="E29" s="72" t="s">
        <v>18</v>
      </c>
      <c r="F29" s="72"/>
      <c r="G29" s="72"/>
      <c r="H29" s="29">
        <f>+H27*18%</f>
        <v>668250</v>
      </c>
      <c r="I29" s="95"/>
    </row>
    <row r="30" spans="1:9" ht="6" customHeight="1" x14ac:dyDescent="0.3">
      <c r="A30" s="64"/>
      <c r="B30" s="65"/>
      <c r="C30" s="65"/>
      <c r="D30" s="7"/>
      <c r="E30" s="73"/>
      <c r="F30" s="73"/>
      <c r="G30" s="73"/>
      <c r="H30" s="29"/>
    </row>
    <row r="31" spans="1:9" x14ac:dyDescent="0.3">
      <c r="A31" s="64"/>
      <c r="B31" s="65"/>
      <c r="C31" s="65"/>
      <c r="D31" s="7"/>
      <c r="E31" s="74" t="s">
        <v>19</v>
      </c>
      <c r="F31" s="74"/>
      <c r="G31" s="74"/>
      <c r="H31" s="62">
        <f>H27+H29</f>
        <v>4380750</v>
      </c>
    </row>
    <row r="32" spans="1:9" ht="15" thickBot="1" x14ac:dyDescent="0.35">
      <c r="A32" s="64"/>
      <c r="B32" s="65"/>
      <c r="C32" s="65"/>
      <c r="D32" s="7"/>
      <c r="E32" s="74"/>
      <c r="F32" s="74"/>
      <c r="G32" s="74"/>
      <c r="H32" s="63"/>
    </row>
    <row r="33" spans="1:8" ht="18" thickTop="1" x14ac:dyDescent="0.3">
      <c r="A33" s="16"/>
      <c r="B33" s="17"/>
      <c r="C33" s="17"/>
      <c r="D33" s="7"/>
      <c r="E33" s="76" t="s">
        <v>20</v>
      </c>
      <c r="F33" s="76"/>
      <c r="G33" s="76"/>
      <c r="H33" s="29" t="s">
        <v>41</v>
      </c>
    </row>
    <row r="34" spans="1:8" ht="17.399999999999999" x14ac:dyDescent="0.3">
      <c r="A34" s="16"/>
      <c r="B34" s="17"/>
      <c r="C34" s="17"/>
      <c r="D34" s="7"/>
      <c r="E34" s="76" t="s">
        <v>21</v>
      </c>
      <c r="F34" s="76"/>
      <c r="G34" s="76"/>
      <c r="H34" s="29">
        <f>H31</f>
        <v>4380750</v>
      </c>
    </row>
    <row r="35" spans="1:8" x14ac:dyDescent="0.3">
      <c r="A35" s="16"/>
      <c r="B35" s="17"/>
      <c r="C35" s="17"/>
      <c r="D35" s="7"/>
      <c r="E35" s="53"/>
      <c r="F35" s="53"/>
      <c r="G35" s="53"/>
      <c r="H35" s="54"/>
    </row>
    <row r="36" spans="1:8" x14ac:dyDescent="0.3">
      <c r="A36" s="18"/>
      <c r="B36" s="17"/>
      <c r="C36" s="17"/>
      <c r="D36" s="7"/>
      <c r="E36" s="53"/>
      <c r="F36" s="53"/>
      <c r="G36" s="53"/>
      <c r="H36" s="54"/>
    </row>
    <row r="37" spans="1:8" x14ac:dyDescent="0.3">
      <c r="A37" s="19" t="s">
        <v>22</v>
      </c>
      <c r="B37" s="17"/>
      <c r="C37" s="17"/>
      <c r="D37" s="7"/>
      <c r="E37" s="20"/>
      <c r="F37" s="20"/>
      <c r="G37" s="20"/>
      <c r="H37" s="21"/>
    </row>
    <row r="38" spans="1:8" x14ac:dyDescent="0.3">
      <c r="A38" s="16" t="s">
        <v>23</v>
      </c>
      <c r="B38" s="17"/>
      <c r="C38" s="17"/>
      <c r="D38" s="7"/>
      <c r="E38" s="20"/>
      <c r="F38" s="20"/>
      <c r="G38" s="20"/>
      <c r="H38" s="21"/>
    </row>
    <row r="39" spans="1:8" x14ac:dyDescent="0.3">
      <c r="A39" s="16" t="s">
        <v>24</v>
      </c>
      <c r="B39" s="17"/>
      <c r="C39" s="17"/>
      <c r="D39" s="7"/>
      <c r="E39" s="20"/>
      <c r="F39" s="20"/>
      <c r="G39" s="20"/>
      <c r="H39" s="21"/>
    </row>
    <row r="40" spans="1:8" x14ac:dyDescent="0.3">
      <c r="A40" s="22" t="s">
        <v>25</v>
      </c>
      <c r="B40" s="7"/>
      <c r="C40" s="7"/>
      <c r="D40" s="7"/>
      <c r="E40" s="20"/>
      <c r="F40" s="20"/>
      <c r="G40" s="20"/>
      <c r="H40" s="21"/>
    </row>
    <row r="41" spans="1:8" x14ac:dyDescent="0.3">
      <c r="A41" s="16" t="s">
        <v>26</v>
      </c>
      <c r="B41" s="7"/>
      <c r="C41" s="7"/>
      <c r="D41" s="7"/>
      <c r="E41" s="20"/>
      <c r="F41" s="20"/>
      <c r="G41" s="20"/>
      <c r="H41" s="21"/>
    </row>
    <row r="42" spans="1:8" ht="15" thickBot="1" x14ac:dyDescent="0.35">
      <c r="A42" s="77"/>
      <c r="B42" s="78"/>
      <c r="C42" s="78"/>
      <c r="D42" s="23"/>
      <c r="E42" s="24"/>
      <c r="F42" s="24"/>
      <c r="G42" s="24"/>
      <c r="H42" s="25"/>
    </row>
  </sheetData>
  <mergeCells count="37">
    <mergeCell ref="E33:G33"/>
    <mergeCell ref="E34:G34"/>
    <mergeCell ref="E35:H35"/>
    <mergeCell ref="E36:H36"/>
    <mergeCell ref="A42:C42"/>
    <mergeCell ref="A27:C31"/>
    <mergeCell ref="E27:G27"/>
    <mergeCell ref="E29:G29"/>
    <mergeCell ref="E30:G30"/>
    <mergeCell ref="E31:G32"/>
    <mergeCell ref="H31:H32"/>
    <mergeCell ref="A32:C32"/>
    <mergeCell ref="A15:H15"/>
    <mergeCell ref="B16:E16"/>
    <mergeCell ref="B17:E17"/>
    <mergeCell ref="B18:E18"/>
    <mergeCell ref="A26:B26"/>
    <mergeCell ref="A11:D11"/>
    <mergeCell ref="E11:H11"/>
    <mergeCell ref="A12:D12"/>
    <mergeCell ref="E12:H12"/>
    <mergeCell ref="E13:H13"/>
    <mergeCell ref="A14:D14"/>
    <mergeCell ref="E14:H14"/>
    <mergeCell ref="A6:H6"/>
    <mergeCell ref="A7:H7"/>
    <mergeCell ref="A8:H8"/>
    <mergeCell ref="A9:H9"/>
    <mergeCell ref="A10:B10"/>
    <mergeCell ref="C10:D10"/>
    <mergeCell ref="E10:H10"/>
    <mergeCell ref="A1:B4"/>
    <mergeCell ref="C1:H2"/>
    <mergeCell ref="C3:F3"/>
    <mergeCell ref="G3:H3"/>
    <mergeCell ref="C4:F4"/>
    <mergeCell ref="G4:H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8BA4-8A66-44C1-81F1-7206C378516A}">
  <dimension ref="A1:I43"/>
  <sheetViews>
    <sheetView showGridLines="0" topLeftCell="A4" workbookViewId="0">
      <selection activeCell="B19" sqref="B19:E19"/>
    </sheetView>
  </sheetViews>
  <sheetFormatPr defaultColWidth="8.88671875" defaultRowHeight="14.4" x14ac:dyDescent="0.3"/>
  <cols>
    <col min="1" max="1" width="9" style="3" bestFit="1" customWidth="1"/>
    <col min="2" max="2" width="19" style="3" customWidth="1"/>
    <col min="3" max="3" width="6.44140625" style="3" customWidth="1"/>
    <col min="4" max="4" width="5.44140625" style="3" customWidth="1"/>
    <col min="5" max="5" width="8.44140625" style="3" customWidth="1"/>
    <col min="6" max="6" width="9.88671875" style="3" bestFit="1" customWidth="1"/>
    <col min="7" max="7" width="14.109375" style="3" bestFit="1" customWidth="1"/>
    <col min="8" max="8" width="17.5546875" style="3" customWidth="1"/>
    <col min="9" max="9" width="10" style="3" bestFit="1" customWidth="1"/>
    <col min="10" max="16384" width="8.88671875" style="3"/>
  </cols>
  <sheetData>
    <row r="1" spans="1:8" ht="14.4" customHeight="1" x14ac:dyDescent="0.3">
      <c r="A1" s="35"/>
      <c r="B1" s="36"/>
      <c r="C1" s="39" t="s">
        <v>0</v>
      </c>
      <c r="D1" s="39"/>
      <c r="E1" s="39"/>
      <c r="F1" s="39"/>
      <c r="G1" s="39"/>
      <c r="H1" s="40"/>
    </row>
    <row r="2" spans="1:8" ht="14.4" customHeight="1" x14ac:dyDescent="0.3">
      <c r="A2" s="37"/>
      <c r="B2" s="38"/>
      <c r="C2" s="41"/>
      <c r="D2" s="41"/>
      <c r="E2" s="41"/>
      <c r="F2" s="41"/>
      <c r="G2" s="41"/>
      <c r="H2" s="42"/>
    </row>
    <row r="3" spans="1:8" x14ac:dyDescent="0.3">
      <c r="A3" s="37"/>
      <c r="B3" s="38"/>
      <c r="C3" s="43" t="s">
        <v>1</v>
      </c>
      <c r="D3" s="43"/>
      <c r="E3" s="43"/>
      <c r="F3" s="43"/>
      <c r="G3" s="83" t="s">
        <v>36</v>
      </c>
      <c r="H3" s="84"/>
    </row>
    <row r="4" spans="1:8" x14ac:dyDescent="0.3">
      <c r="A4" s="37"/>
      <c r="B4" s="38"/>
      <c r="C4" s="43" t="s">
        <v>2</v>
      </c>
      <c r="D4" s="43"/>
      <c r="E4" s="43"/>
      <c r="F4" s="43"/>
      <c r="G4" s="85">
        <v>45376</v>
      </c>
      <c r="H4" s="86"/>
    </row>
    <row r="5" spans="1:8" x14ac:dyDescent="0.3">
      <c r="A5" s="4"/>
      <c r="B5" s="5"/>
      <c r="C5" s="5"/>
      <c r="D5" s="5"/>
      <c r="E5" s="5"/>
      <c r="F5" s="5"/>
      <c r="G5" s="5"/>
      <c r="H5" s="6"/>
    </row>
    <row r="6" spans="1:8" ht="21" x14ac:dyDescent="0.3">
      <c r="A6" s="46" t="s">
        <v>3</v>
      </c>
      <c r="B6" s="47"/>
      <c r="C6" s="47"/>
      <c r="D6" s="47"/>
      <c r="E6" s="47"/>
      <c r="F6" s="47"/>
      <c r="G6" s="47"/>
      <c r="H6" s="48"/>
    </row>
    <row r="7" spans="1:8" ht="15.6" x14ac:dyDescent="0.3">
      <c r="A7" s="49" t="s">
        <v>4</v>
      </c>
      <c r="B7" s="50"/>
      <c r="C7" s="50"/>
      <c r="D7" s="50"/>
      <c r="E7" s="50"/>
      <c r="F7" s="50"/>
      <c r="G7" s="50"/>
      <c r="H7" s="51"/>
    </row>
    <row r="8" spans="1:8" x14ac:dyDescent="0.3">
      <c r="A8" s="52"/>
      <c r="B8" s="53"/>
      <c r="C8" s="53"/>
      <c r="D8" s="53"/>
      <c r="E8" s="53"/>
      <c r="F8" s="53"/>
      <c r="G8" s="53"/>
      <c r="H8" s="54"/>
    </row>
    <row r="9" spans="1:8" x14ac:dyDescent="0.3">
      <c r="A9" s="55"/>
      <c r="B9" s="56"/>
      <c r="C9" s="56"/>
      <c r="D9" s="56"/>
      <c r="E9" s="56"/>
      <c r="F9" s="56"/>
      <c r="G9" s="56"/>
      <c r="H9" s="57"/>
    </row>
    <row r="10" spans="1:8" x14ac:dyDescent="0.3">
      <c r="A10" s="89" t="s">
        <v>5</v>
      </c>
      <c r="B10" s="90"/>
      <c r="C10" s="90"/>
      <c r="D10" s="90"/>
      <c r="E10" s="87" t="s">
        <v>6</v>
      </c>
      <c r="F10" s="87"/>
      <c r="G10" s="87"/>
      <c r="H10" s="88"/>
    </row>
    <row r="11" spans="1:8" x14ac:dyDescent="0.3">
      <c r="A11" s="91" t="s">
        <v>37</v>
      </c>
      <c r="B11" s="92"/>
      <c r="C11" s="92"/>
      <c r="D11" s="92"/>
      <c r="E11" s="92" t="str">
        <f>A11</f>
        <v>Steel Horse Auto Assembly Lincoln Inc</v>
      </c>
      <c r="F11" s="92"/>
      <c r="G11" s="92"/>
      <c r="H11" s="93"/>
    </row>
    <row r="12" spans="1:8" x14ac:dyDescent="0.3">
      <c r="A12" s="91" t="s">
        <v>46</v>
      </c>
      <c r="B12" s="92"/>
      <c r="C12" s="92"/>
      <c r="D12" s="92"/>
      <c r="E12" s="92" t="str">
        <f t="shared" ref="E12:E13" si="0">A12</f>
        <v xml:space="preserve">21857 Clayton Forges Suite 897,  </v>
      </c>
      <c r="F12" s="92"/>
      <c r="G12" s="92"/>
      <c r="H12" s="93"/>
    </row>
    <row r="13" spans="1:8" x14ac:dyDescent="0.3">
      <c r="A13" s="1" t="s">
        <v>47</v>
      </c>
      <c r="B13" s="2"/>
      <c r="C13" s="2"/>
      <c r="D13" s="2"/>
      <c r="E13" s="92" t="str">
        <f t="shared" si="0"/>
        <v>Sherrybury, Lincoln, United States, 17355</v>
      </c>
      <c r="F13" s="92"/>
      <c r="G13" s="92"/>
      <c r="H13" s="93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x14ac:dyDescent="0.3">
      <c r="A15" s="79"/>
      <c r="B15" s="80"/>
      <c r="C15" s="80"/>
      <c r="D15" s="80"/>
      <c r="E15" s="80"/>
      <c r="F15" s="80"/>
      <c r="G15" s="80"/>
      <c r="H15" s="81"/>
    </row>
    <row r="16" spans="1:8" x14ac:dyDescent="0.3">
      <c r="A16" s="10" t="s">
        <v>10</v>
      </c>
      <c r="B16" s="82" t="s">
        <v>11</v>
      </c>
      <c r="C16" s="82"/>
      <c r="D16" s="82"/>
      <c r="E16" s="82"/>
      <c r="F16" s="12" t="s">
        <v>12</v>
      </c>
      <c r="G16" s="11" t="s">
        <v>13</v>
      </c>
      <c r="H16" s="13" t="s">
        <v>14</v>
      </c>
    </row>
    <row r="17" spans="1:9" x14ac:dyDescent="0.3">
      <c r="A17" s="32">
        <v>1</v>
      </c>
      <c r="B17" s="94" t="s">
        <v>38</v>
      </c>
      <c r="C17" s="94"/>
      <c r="D17" s="94"/>
      <c r="E17" s="94"/>
      <c r="F17" s="100">
        <v>2000</v>
      </c>
      <c r="G17" s="33">
        <v>1780</v>
      </c>
      <c r="H17" s="31">
        <f>F17*G17</f>
        <v>3560000</v>
      </c>
    </row>
    <row r="18" spans="1:9" x14ac:dyDescent="0.3">
      <c r="A18" s="32">
        <v>2</v>
      </c>
      <c r="B18" s="94" t="s">
        <v>31</v>
      </c>
      <c r="C18" s="94"/>
      <c r="D18" s="94"/>
      <c r="E18" s="94"/>
      <c r="F18" s="100">
        <v>2000</v>
      </c>
      <c r="G18" s="33">
        <v>600</v>
      </c>
      <c r="H18" s="31">
        <f>+F18*G18</f>
        <v>1200000</v>
      </c>
    </row>
    <row r="19" spans="1:9" x14ac:dyDescent="0.3">
      <c r="A19" s="32">
        <v>3</v>
      </c>
      <c r="B19" s="94" t="s">
        <v>35</v>
      </c>
      <c r="C19" s="94"/>
      <c r="D19" s="94"/>
      <c r="E19" s="94"/>
      <c r="F19" s="100">
        <v>2000</v>
      </c>
      <c r="G19" s="33">
        <f>G17+G18-2427</f>
        <v>-47</v>
      </c>
      <c r="H19" s="31">
        <f>+F19*G19</f>
        <v>-94000</v>
      </c>
    </row>
    <row r="20" spans="1:9" x14ac:dyDescent="0.3">
      <c r="A20" s="32"/>
      <c r="B20" s="34"/>
      <c r="C20" s="34"/>
      <c r="D20" s="34"/>
      <c r="E20" s="34"/>
      <c r="F20" s="33"/>
      <c r="G20" s="33"/>
      <c r="H20" s="30"/>
    </row>
    <row r="21" spans="1:9" x14ac:dyDescent="0.3">
      <c r="A21" s="32"/>
      <c r="B21" s="34"/>
      <c r="C21" s="34"/>
      <c r="D21" s="34"/>
      <c r="E21" s="34"/>
      <c r="F21" s="33"/>
      <c r="G21" s="33"/>
      <c r="H21" s="30"/>
    </row>
    <row r="22" spans="1:9" x14ac:dyDescent="0.3">
      <c r="A22" s="32"/>
      <c r="B22" s="34"/>
      <c r="C22" s="34"/>
      <c r="D22" s="34"/>
      <c r="E22" s="34"/>
      <c r="F22" s="33"/>
      <c r="G22" s="33"/>
      <c r="H22" s="30"/>
    </row>
    <row r="23" spans="1:9" x14ac:dyDescent="0.3">
      <c r="A23" s="32"/>
      <c r="B23" s="34"/>
      <c r="C23" s="34"/>
      <c r="D23" s="34"/>
      <c r="E23" s="34"/>
      <c r="F23" s="33"/>
      <c r="G23" s="33"/>
      <c r="H23" s="30"/>
    </row>
    <row r="24" spans="1:9" x14ac:dyDescent="0.3">
      <c r="A24" s="32"/>
      <c r="B24" s="34"/>
      <c r="C24" s="34"/>
      <c r="D24" s="34"/>
      <c r="E24" s="34"/>
      <c r="F24" s="33"/>
      <c r="G24" s="33"/>
      <c r="H24" s="30"/>
    </row>
    <row r="25" spans="1:9" x14ac:dyDescent="0.3">
      <c r="A25" s="32"/>
      <c r="B25" s="34"/>
      <c r="C25" s="34"/>
      <c r="D25" s="34"/>
      <c r="E25" s="34"/>
      <c r="F25" s="33"/>
      <c r="G25" s="33"/>
      <c r="H25" s="30"/>
    </row>
    <row r="26" spans="1:9" x14ac:dyDescent="0.3">
      <c r="A26" s="32"/>
      <c r="B26" s="34"/>
      <c r="C26" s="34"/>
      <c r="D26" s="34"/>
      <c r="E26" s="34"/>
      <c r="F26" s="33"/>
      <c r="G26" s="33"/>
      <c r="H26" s="30"/>
    </row>
    <row r="27" spans="1:9" ht="21" x14ac:dyDescent="0.3">
      <c r="A27" s="69"/>
      <c r="B27" s="70"/>
      <c r="C27" s="14"/>
      <c r="D27" s="14"/>
      <c r="E27" s="14"/>
      <c r="F27" s="14"/>
      <c r="G27" s="14"/>
      <c r="H27" s="26">
        <f>SUM(H17:H26)</f>
        <v>4666000</v>
      </c>
    </row>
    <row r="28" spans="1:9" ht="21" x14ac:dyDescent="0.3">
      <c r="A28" s="64"/>
      <c r="B28" s="65"/>
      <c r="C28" s="65"/>
      <c r="D28" s="7"/>
      <c r="E28" s="71" t="s">
        <v>17</v>
      </c>
      <c r="F28" s="71"/>
      <c r="G28" s="71"/>
      <c r="H28" s="27">
        <f>H27</f>
        <v>4666000</v>
      </c>
    </row>
    <row r="29" spans="1:9" ht="7.95" customHeight="1" x14ac:dyDescent="0.3">
      <c r="A29" s="64"/>
      <c r="B29" s="65"/>
      <c r="C29" s="65"/>
      <c r="D29" s="7"/>
      <c r="E29" s="15"/>
      <c r="F29" s="15"/>
      <c r="G29" s="15"/>
      <c r="H29" s="28"/>
    </row>
    <row r="30" spans="1:9" ht="17.399999999999999" x14ac:dyDescent="0.3">
      <c r="A30" s="64"/>
      <c r="B30" s="65"/>
      <c r="C30" s="65"/>
      <c r="D30" s="7"/>
      <c r="E30" s="72" t="s">
        <v>18</v>
      </c>
      <c r="F30" s="72"/>
      <c r="G30" s="72"/>
      <c r="H30" s="29">
        <f>+H28*18%</f>
        <v>839880</v>
      </c>
      <c r="I30" s="95"/>
    </row>
    <row r="31" spans="1:9" ht="6" customHeight="1" x14ac:dyDescent="0.3">
      <c r="A31" s="64"/>
      <c r="B31" s="65"/>
      <c r="C31" s="65"/>
      <c r="D31" s="7"/>
      <c r="E31" s="73"/>
      <c r="F31" s="73"/>
      <c r="G31" s="73"/>
      <c r="H31" s="29"/>
    </row>
    <row r="32" spans="1:9" x14ac:dyDescent="0.3">
      <c r="A32" s="64"/>
      <c r="B32" s="65"/>
      <c r="C32" s="65"/>
      <c r="D32" s="7"/>
      <c r="E32" s="74" t="s">
        <v>19</v>
      </c>
      <c r="F32" s="74"/>
      <c r="G32" s="74"/>
      <c r="H32" s="62">
        <f>H28+H30</f>
        <v>5505880</v>
      </c>
    </row>
    <row r="33" spans="1:8" ht="15" thickBot="1" x14ac:dyDescent="0.35">
      <c r="A33" s="64"/>
      <c r="B33" s="65"/>
      <c r="C33" s="65"/>
      <c r="D33" s="7"/>
      <c r="E33" s="74"/>
      <c r="F33" s="74"/>
      <c r="G33" s="74"/>
      <c r="H33" s="63"/>
    </row>
    <row r="34" spans="1:8" ht="18" thickTop="1" x14ac:dyDescent="0.3">
      <c r="A34" s="16"/>
      <c r="B34" s="17"/>
      <c r="C34" s="17"/>
      <c r="D34" s="7"/>
      <c r="E34" s="76" t="s">
        <v>20</v>
      </c>
      <c r="F34" s="76"/>
      <c r="G34" s="76"/>
      <c r="H34" s="29" t="s">
        <v>41</v>
      </c>
    </row>
    <row r="35" spans="1:8" ht="17.399999999999999" x14ac:dyDescent="0.3">
      <c r="A35" s="16"/>
      <c r="B35" s="17"/>
      <c r="C35" s="17"/>
      <c r="D35" s="7"/>
      <c r="E35" s="76" t="s">
        <v>21</v>
      </c>
      <c r="F35" s="76"/>
      <c r="G35" s="76"/>
      <c r="H35" s="29">
        <f>H32</f>
        <v>5505880</v>
      </c>
    </row>
    <row r="36" spans="1:8" x14ac:dyDescent="0.3">
      <c r="A36" s="16"/>
      <c r="B36" s="17"/>
      <c r="C36" s="17"/>
      <c r="D36" s="7"/>
      <c r="E36" s="53"/>
      <c r="F36" s="53"/>
      <c r="G36" s="53"/>
      <c r="H36" s="54"/>
    </row>
    <row r="37" spans="1:8" x14ac:dyDescent="0.3">
      <c r="A37" s="18"/>
      <c r="B37" s="17"/>
      <c r="C37" s="17"/>
      <c r="D37" s="7"/>
      <c r="E37" s="53"/>
      <c r="F37" s="53"/>
      <c r="G37" s="53"/>
      <c r="H37" s="54"/>
    </row>
    <row r="38" spans="1:8" x14ac:dyDescent="0.3">
      <c r="A38" s="19" t="s">
        <v>22</v>
      </c>
      <c r="B38" s="17"/>
      <c r="C38" s="17"/>
      <c r="D38" s="7"/>
      <c r="E38" s="20"/>
      <c r="F38" s="20"/>
      <c r="G38" s="20"/>
      <c r="H38" s="21"/>
    </row>
    <row r="39" spans="1:8" x14ac:dyDescent="0.3">
      <c r="A39" s="16" t="s">
        <v>23</v>
      </c>
      <c r="B39" s="17"/>
      <c r="C39" s="17"/>
      <c r="D39" s="7"/>
      <c r="E39" s="20"/>
      <c r="F39" s="20"/>
      <c r="G39" s="20"/>
      <c r="H39" s="21"/>
    </row>
    <row r="40" spans="1:8" x14ac:dyDescent="0.3">
      <c r="A40" s="16" t="s">
        <v>24</v>
      </c>
      <c r="B40" s="17"/>
      <c r="C40" s="17"/>
      <c r="D40" s="7"/>
      <c r="E40" s="20"/>
      <c r="F40" s="20"/>
      <c r="G40" s="20"/>
      <c r="H40" s="21"/>
    </row>
    <row r="41" spans="1:8" x14ac:dyDescent="0.3">
      <c r="A41" s="22" t="s">
        <v>25</v>
      </c>
      <c r="B41" s="7"/>
      <c r="C41" s="7"/>
      <c r="D41" s="7"/>
      <c r="E41" s="20"/>
      <c r="F41" s="20"/>
      <c r="G41" s="20"/>
      <c r="H41" s="21"/>
    </row>
    <row r="42" spans="1:8" x14ac:dyDescent="0.3">
      <c r="A42" s="16" t="s">
        <v>26</v>
      </c>
      <c r="B42" s="7"/>
      <c r="C42" s="7"/>
      <c r="D42" s="7"/>
      <c r="E42" s="20"/>
      <c r="F42" s="20"/>
      <c r="G42" s="20"/>
      <c r="H42" s="21"/>
    </row>
    <row r="43" spans="1:8" ht="15" thickBot="1" x14ac:dyDescent="0.35">
      <c r="A43" s="77"/>
      <c r="B43" s="78"/>
      <c r="C43" s="78"/>
      <c r="D43" s="23"/>
      <c r="E43" s="24"/>
      <c r="F43" s="24"/>
      <c r="G43" s="24"/>
      <c r="H43" s="25"/>
    </row>
  </sheetData>
  <mergeCells count="38">
    <mergeCell ref="E34:G34"/>
    <mergeCell ref="E35:G35"/>
    <mergeCell ref="E36:H36"/>
    <mergeCell ref="E37:H37"/>
    <mergeCell ref="A43:C43"/>
    <mergeCell ref="A28:C32"/>
    <mergeCell ref="E28:G28"/>
    <mergeCell ref="E30:G30"/>
    <mergeCell ref="E31:G31"/>
    <mergeCell ref="E32:G33"/>
    <mergeCell ref="H32:H33"/>
    <mergeCell ref="A33:C33"/>
    <mergeCell ref="A15:H15"/>
    <mergeCell ref="B16:E16"/>
    <mergeCell ref="B17:E17"/>
    <mergeCell ref="B18:E18"/>
    <mergeCell ref="B19:E19"/>
    <mergeCell ref="A27:B27"/>
    <mergeCell ref="A11:D11"/>
    <mergeCell ref="E11:H11"/>
    <mergeCell ref="A12:D12"/>
    <mergeCell ref="E12:H12"/>
    <mergeCell ref="E13:H13"/>
    <mergeCell ref="A14:D14"/>
    <mergeCell ref="E14:H14"/>
    <mergeCell ref="A6:H6"/>
    <mergeCell ref="A7:H7"/>
    <mergeCell ref="A8:H8"/>
    <mergeCell ref="A9:H9"/>
    <mergeCell ref="A10:B10"/>
    <mergeCell ref="C10:D10"/>
    <mergeCell ref="E10:H10"/>
    <mergeCell ref="A1:B4"/>
    <mergeCell ref="C1:H2"/>
    <mergeCell ref="C3:F3"/>
    <mergeCell ref="G3:H3"/>
    <mergeCell ref="C4:F4"/>
    <mergeCell ref="G4:H4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27DD-A95E-4104-969D-02839F8A9C14}">
  <dimension ref="A1:I43"/>
  <sheetViews>
    <sheetView showGridLines="0" tabSelected="1" topLeftCell="A6" workbookViewId="0">
      <selection activeCell="F19" sqref="F19:G19"/>
    </sheetView>
  </sheetViews>
  <sheetFormatPr defaultColWidth="8.88671875" defaultRowHeight="14.4" x14ac:dyDescent="0.3"/>
  <cols>
    <col min="1" max="1" width="9" style="3" bestFit="1" customWidth="1"/>
    <col min="2" max="2" width="19" style="3" customWidth="1"/>
    <col min="3" max="3" width="6.44140625" style="3" customWidth="1"/>
    <col min="4" max="4" width="5.44140625" style="3" customWidth="1"/>
    <col min="5" max="5" width="8.44140625" style="3" customWidth="1"/>
    <col min="6" max="6" width="10.5546875" style="3" bestFit="1" customWidth="1"/>
    <col min="7" max="7" width="14.109375" style="3" bestFit="1" customWidth="1"/>
    <col min="8" max="8" width="17.5546875" style="3" customWidth="1"/>
    <col min="9" max="9" width="10" style="3" bestFit="1" customWidth="1"/>
    <col min="10" max="16384" width="8.88671875" style="3"/>
  </cols>
  <sheetData>
    <row r="1" spans="1:8" ht="14.4" customHeight="1" x14ac:dyDescent="0.3">
      <c r="A1" s="35"/>
      <c r="B1" s="36"/>
      <c r="C1" s="39" t="s">
        <v>0</v>
      </c>
      <c r="D1" s="39"/>
      <c r="E1" s="39"/>
      <c r="F1" s="39"/>
      <c r="G1" s="39"/>
      <c r="H1" s="40"/>
    </row>
    <row r="2" spans="1:8" ht="14.4" customHeight="1" x14ac:dyDescent="0.3">
      <c r="A2" s="37"/>
      <c r="B2" s="38"/>
      <c r="C2" s="41"/>
      <c r="D2" s="41"/>
      <c r="E2" s="41"/>
      <c r="F2" s="41"/>
      <c r="G2" s="41"/>
      <c r="H2" s="42"/>
    </row>
    <row r="3" spans="1:8" x14ac:dyDescent="0.3">
      <c r="A3" s="37"/>
      <c r="B3" s="38"/>
      <c r="C3" s="43" t="s">
        <v>1</v>
      </c>
      <c r="D3" s="43"/>
      <c r="E3" s="43"/>
      <c r="F3" s="43"/>
      <c r="G3" s="83" t="s">
        <v>45</v>
      </c>
      <c r="H3" s="84"/>
    </row>
    <row r="4" spans="1:8" x14ac:dyDescent="0.3">
      <c r="A4" s="37"/>
      <c r="B4" s="38"/>
      <c r="C4" s="43" t="s">
        <v>2</v>
      </c>
      <c r="D4" s="43"/>
      <c r="E4" s="43"/>
      <c r="F4" s="43"/>
      <c r="G4" s="98">
        <v>45622</v>
      </c>
      <c r="H4" s="99"/>
    </row>
    <row r="5" spans="1:8" x14ac:dyDescent="0.3">
      <c r="A5" s="4"/>
      <c r="B5" s="5"/>
      <c r="C5" s="5"/>
      <c r="D5" s="5"/>
      <c r="E5" s="5"/>
      <c r="F5" s="5"/>
      <c r="G5" s="5"/>
      <c r="H5" s="6"/>
    </row>
    <row r="6" spans="1:8" ht="21" x14ac:dyDescent="0.3">
      <c r="A6" s="46" t="s">
        <v>3</v>
      </c>
      <c r="B6" s="47"/>
      <c r="C6" s="47"/>
      <c r="D6" s="47"/>
      <c r="E6" s="47"/>
      <c r="F6" s="47"/>
      <c r="G6" s="47"/>
      <c r="H6" s="48"/>
    </row>
    <row r="7" spans="1:8" ht="15.6" x14ac:dyDescent="0.3">
      <c r="A7" s="49" t="s">
        <v>4</v>
      </c>
      <c r="B7" s="50"/>
      <c r="C7" s="50"/>
      <c r="D7" s="50"/>
      <c r="E7" s="50"/>
      <c r="F7" s="50"/>
      <c r="G7" s="50"/>
      <c r="H7" s="51"/>
    </row>
    <row r="8" spans="1:8" x14ac:dyDescent="0.3">
      <c r="A8" s="52"/>
      <c r="B8" s="53"/>
      <c r="C8" s="53"/>
      <c r="D8" s="53"/>
      <c r="E8" s="53"/>
      <c r="F8" s="53"/>
      <c r="G8" s="53"/>
      <c r="H8" s="54"/>
    </row>
    <row r="9" spans="1:8" x14ac:dyDescent="0.3">
      <c r="A9" s="55"/>
      <c r="B9" s="56"/>
      <c r="C9" s="56"/>
      <c r="D9" s="56"/>
      <c r="E9" s="56"/>
      <c r="F9" s="56"/>
      <c r="G9" s="56"/>
      <c r="H9" s="57"/>
    </row>
    <row r="10" spans="1:8" x14ac:dyDescent="0.3">
      <c r="A10" s="89" t="s">
        <v>5</v>
      </c>
      <c r="B10" s="90"/>
      <c r="C10" s="90"/>
      <c r="D10" s="90"/>
      <c r="E10" s="87" t="s">
        <v>6</v>
      </c>
      <c r="F10" s="87"/>
      <c r="G10" s="87"/>
      <c r="H10" s="88"/>
    </row>
    <row r="11" spans="1:8" x14ac:dyDescent="0.3">
      <c r="A11" s="91" t="s">
        <v>27</v>
      </c>
      <c r="B11" s="92"/>
      <c r="C11" s="92"/>
      <c r="D11" s="92"/>
      <c r="E11" s="92" t="str">
        <f>A11</f>
        <v>Steel Horse Auto Assembly Chennai Ltd</v>
      </c>
      <c r="F11" s="92"/>
      <c r="G11" s="92"/>
      <c r="H11" s="93"/>
    </row>
    <row r="12" spans="1:8" x14ac:dyDescent="0.3">
      <c r="A12" s="91" t="s">
        <v>28</v>
      </c>
      <c r="B12" s="92"/>
      <c r="C12" s="92"/>
      <c r="D12" s="92"/>
      <c r="E12" s="92" t="str">
        <f t="shared" ref="E12:E13" si="0">A12</f>
        <v xml:space="preserve">House No 249,Road No 11,Rajiv Gandhi </v>
      </c>
      <c r="F12" s="92"/>
      <c r="G12" s="92"/>
      <c r="H12" s="93"/>
    </row>
    <row r="13" spans="1:8" x14ac:dyDescent="0.3">
      <c r="A13" s="1" t="s">
        <v>29</v>
      </c>
      <c r="B13" s="2"/>
      <c r="C13" s="2"/>
      <c r="D13" s="2"/>
      <c r="E13" s="92" t="str">
        <f t="shared" si="0"/>
        <v>Nagar,Chennai,Tamil Nadu,India</v>
      </c>
      <c r="F13" s="92"/>
      <c r="G13" s="92"/>
      <c r="H13" s="93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x14ac:dyDescent="0.3">
      <c r="A15" s="79"/>
      <c r="B15" s="80"/>
      <c r="C15" s="80"/>
      <c r="D15" s="80"/>
      <c r="E15" s="80"/>
      <c r="F15" s="80"/>
      <c r="G15" s="80"/>
      <c r="H15" s="81"/>
    </row>
    <row r="16" spans="1:8" x14ac:dyDescent="0.3">
      <c r="A16" s="10" t="s">
        <v>10</v>
      </c>
      <c r="B16" s="82" t="s">
        <v>11</v>
      </c>
      <c r="C16" s="82"/>
      <c r="D16" s="82"/>
      <c r="E16" s="82"/>
      <c r="F16" s="12" t="s">
        <v>12</v>
      </c>
      <c r="G16" s="11" t="s">
        <v>13</v>
      </c>
      <c r="H16" s="13" t="s">
        <v>14</v>
      </c>
    </row>
    <row r="17" spans="1:9" x14ac:dyDescent="0.3">
      <c r="A17" s="32">
        <v>1</v>
      </c>
      <c r="B17" s="94" t="s">
        <v>39</v>
      </c>
      <c r="C17" s="94"/>
      <c r="D17" s="94"/>
      <c r="E17" s="94"/>
      <c r="F17" s="100">
        <v>2000</v>
      </c>
      <c r="G17" s="33">
        <v>2351</v>
      </c>
      <c r="H17" s="31">
        <f>F17*G17</f>
        <v>4702000</v>
      </c>
    </row>
    <row r="18" spans="1:9" x14ac:dyDescent="0.3">
      <c r="A18" s="32">
        <v>2</v>
      </c>
      <c r="B18" s="94" t="s">
        <v>40</v>
      </c>
      <c r="C18" s="94"/>
      <c r="D18" s="94"/>
      <c r="E18" s="94"/>
      <c r="F18" s="100">
        <v>2382</v>
      </c>
      <c r="G18" s="33">
        <v>2000</v>
      </c>
      <c r="H18" s="31">
        <f>F18*G18</f>
        <v>4764000</v>
      </c>
    </row>
    <row r="19" spans="1:9" x14ac:dyDescent="0.3">
      <c r="A19" s="32">
        <v>3</v>
      </c>
      <c r="B19" s="94" t="s">
        <v>35</v>
      </c>
      <c r="C19" s="94"/>
      <c r="D19" s="94"/>
      <c r="E19" s="94"/>
      <c r="F19" s="100">
        <v>2000</v>
      </c>
      <c r="G19" s="33">
        <v>-2</v>
      </c>
      <c r="H19" s="31">
        <f>+F19*G19</f>
        <v>-4000</v>
      </c>
    </row>
    <row r="20" spans="1:9" x14ac:dyDescent="0.3">
      <c r="A20" s="32"/>
      <c r="B20" s="34"/>
      <c r="C20" s="34"/>
      <c r="D20" s="34"/>
      <c r="E20" s="34"/>
      <c r="F20" s="33"/>
      <c r="G20" s="33"/>
      <c r="H20" s="30"/>
    </row>
    <row r="21" spans="1:9" x14ac:dyDescent="0.3">
      <c r="A21" s="32"/>
      <c r="B21" s="34"/>
      <c r="C21" s="34"/>
      <c r="D21" s="34"/>
      <c r="E21" s="34"/>
      <c r="F21" s="33"/>
      <c r="G21" s="33"/>
      <c r="H21" s="30"/>
    </row>
    <row r="22" spans="1:9" x14ac:dyDescent="0.3">
      <c r="A22" s="32"/>
      <c r="B22" s="34"/>
      <c r="C22" s="34"/>
      <c r="D22" s="34"/>
      <c r="E22" s="34"/>
      <c r="F22" s="33"/>
      <c r="G22" s="33"/>
      <c r="H22" s="30"/>
    </row>
    <row r="23" spans="1:9" x14ac:dyDescent="0.3">
      <c r="A23" s="32"/>
      <c r="B23" s="34"/>
      <c r="C23" s="34"/>
      <c r="D23" s="34"/>
      <c r="E23" s="34"/>
      <c r="F23" s="33"/>
      <c r="G23" s="33"/>
      <c r="H23" s="30"/>
    </row>
    <row r="24" spans="1:9" x14ac:dyDescent="0.3">
      <c r="A24" s="32"/>
      <c r="B24" s="34"/>
      <c r="C24" s="34"/>
      <c r="D24" s="34"/>
      <c r="E24" s="34"/>
      <c r="F24" s="33"/>
      <c r="G24" s="33"/>
      <c r="H24" s="30"/>
    </row>
    <row r="25" spans="1:9" x14ac:dyDescent="0.3">
      <c r="A25" s="32"/>
      <c r="B25" s="34"/>
      <c r="C25" s="34"/>
      <c r="D25" s="34"/>
      <c r="E25" s="34"/>
      <c r="F25" s="33"/>
      <c r="G25" s="33"/>
      <c r="H25" s="30"/>
    </row>
    <row r="26" spans="1:9" x14ac:dyDescent="0.3">
      <c r="A26" s="32"/>
      <c r="B26" s="34"/>
      <c r="C26" s="34"/>
      <c r="D26" s="34"/>
      <c r="E26" s="34"/>
      <c r="F26" s="33"/>
      <c r="G26" s="33"/>
      <c r="H26" s="30"/>
    </row>
    <row r="27" spans="1:9" ht="21" x14ac:dyDescent="0.3">
      <c r="A27" s="69"/>
      <c r="B27" s="70"/>
      <c r="C27" s="14"/>
      <c r="D27" s="14"/>
      <c r="E27" s="14"/>
      <c r="F27" s="14"/>
      <c r="G27" s="14"/>
      <c r="H27" s="26">
        <f>SUM(H17:H26)</f>
        <v>9462000</v>
      </c>
    </row>
    <row r="28" spans="1:9" ht="21" x14ac:dyDescent="0.3">
      <c r="A28" s="64"/>
      <c r="B28" s="65"/>
      <c r="C28" s="65"/>
      <c r="D28" s="7"/>
      <c r="E28" s="71" t="s">
        <v>17</v>
      </c>
      <c r="F28" s="71"/>
      <c r="G28" s="71"/>
      <c r="H28" s="27">
        <f>H27</f>
        <v>9462000</v>
      </c>
    </row>
    <row r="29" spans="1:9" ht="7.95" customHeight="1" x14ac:dyDescent="0.3">
      <c r="A29" s="64"/>
      <c r="B29" s="65"/>
      <c r="C29" s="65"/>
      <c r="D29" s="7"/>
      <c r="E29" s="15"/>
      <c r="F29" s="15"/>
      <c r="G29" s="15"/>
      <c r="H29" s="28"/>
    </row>
    <row r="30" spans="1:9" ht="17.399999999999999" x14ac:dyDescent="0.3">
      <c r="A30" s="64"/>
      <c r="B30" s="65"/>
      <c r="C30" s="65"/>
      <c r="D30" s="7"/>
      <c r="E30" s="72" t="s">
        <v>18</v>
      </c>
      <c r="F30" s="72"/>
      <c r="G30" s="72"/>
      <c r="H30" s="29">
        <f>+H28*18%</f>
        <v>1703160</v>
      </c>
      <c r="I30" s="95"/>
    </row>
    <row r="31" spans="1:9" ht="6" customHeight="1" x14ac:dyDescent="0.3">
      <c r="A31" s="64"/>
      <c r="B31" s="65"/>
      <c r="C31" s="65"/>
      <c r="D31" s="7"/>
      <c r="E31" s="73"/>
      <c r="F31" s="73"/>
      <c r="G31" s="73"/>
      <c r="H31" s="29"/>
    </row>
    <row r="32" spans="1:9" x14ac:dyDescent="0.3">
      <c r="A32" s="64"/>
      <c r="B32" s="65"/>
      <c r="C32" s="65"/>
      <c r="D32" s="7"/>
      <c r="E32" s="74" t="s">
        <v>19</v>
      </c>
      <c r="F32" s="74"/>
      <c r="G32" s="74"/>
      <c r="H32" s="62">
        <f>H28+H30</f>
        <v>11165160</v>
      </c>
    </row>
    <row r="33" spans="1:8" ht="15" thickBot="1" x14ac:dyDescent="0.35">
      <c r="A33" s="64"/>
      <c r="B33" s="65"/>
      <c r="C33" s="65"/>
      <c r="D33" s="7"/>
      <c r="E33" s="74"/>
      <c r="F33" s="74"/>
      <c r="G33" s="74"/>
      <c r="H33" s="63"/>
    </row>
    <row r="34" spans="1:8" ht="18" thickTop="1" x14ac:dyDescent="0.3">
      <c r="A34" s="16"/>
      <c r="B34" s="17"/>
      <c r="C34" s="17"/>
      <c r="D34" s="7"/>
      <c r="E34" s="76" t="s">
        <v>20</v>
      </c>
      <c r="F34" s="76"/>
      <c r="G34" s="76"/>
      <c r="H34" s="29" t="s">
        <v>41</v>
      </c>
    </row>
    <row r="35" spans="1:8" ht="17.399999999999999" x14ac:dyDescent="0.3">
      <c r="A35" s="16"/>
      <c r="B35" s="17"/>
      <c r="C35" s="17"/>
      <c r="D35" s="7"/>
      <c r="E35" s="76" t="s">
        <v>21</v>
      </c>
      <c r="F35" s="76"/>
      <c r="G35" s="76"/>
      <c r="H35" s="29">
        <f>H32</f>
        <v>11165160</v>
      </c>
    </row>
    <row r="36" spans="1:8" x14ac:dyDescent="0.3">
      <c r="A36" s="16"/>
      <c r="B36" s="17"/>
      <c r="C36" s="17"/>
      <c r="D36" s="7"/>
      <c r="E36" s="53"/>
      <c r="F36" s="53"/>
      <c r="G36" s="53"/>
      <c r="H36" s="54"/>
    </row>
    <row r="37" spans="1:8" x14ac:dyDescent="0.3">
      <c r="A37" s="18"/>
      <c r="B37" s="17"/>
      <c r="C37" s="17"/>
      <c r="D37" s="7"/>
      <c r="E37" s="53"/>
      <c r="F37" s="53"/>
      <c r="G37" s="53"/>
      <c r="H37" s="54"/>
    </row>
    <row r="38" spans="1:8" x14ac:dyDescent="0.3">
      <c r="A38" s="19" t="s">
        <v>22</v>
      </c>
      <c r="B38" s="17"/>
      <c r="C38" s="17"/>
      <c r="D38" s="7"/>
      <c r="E38" s="20"/>
      <c r="F38" s="20"/>
      <c r="G38" s="20"/>
      <c r="H38" s="21"/>
    </row>
    <row r="39" spans="1:8" x14ac:dyDescent="0.3">
      <c r="A39" s="16" t="s">
        <v>23</v>
      </c>
      <c r="B39" s="17"/>
      <c r="C39" s="17"/>
      <c r="D39" s="7"/>
      <c r="E39" s="20"/>
      <c r="F39" s="20"/>
      <c r="G39" s="20"/>
      <c r="H39" s="21"/>
    </row>
    <row r="40" spans="1:8" x14ac:dyDescent="0.3">
      <c r="A40" s="16" t="s">
        <v>24</v>
      </c>
      <c r="B40" s="17"/>
      <c r="C40" s="17"/>
      <c r="D40" s="7"/>
      <c r="E40" s="20"/>
      <c r="F40" s="20"/>
      <c r="G40" s="20"/>
      <c r="H40" s="21"/>
    </row>
    <row r="41" spans="1:8" x14ac:dyDescent="0.3">
      <c r="A41" s="22" t="s">
        <v>25</v>
      </c>
      <c r="B41" s="7"/>
      <c r="C41" s="7"/>
      <c r="D41" s="7"/>
      <c r="E41" s="20"/>
      <c r="F41" s="20"/>
      <c r="G41" s="20"/>
      <c r="H41" s="21"/>
    </row>
    <row r="42" spans="1:8" x14ac:dyDescent="0.3">
      <c r="A42" s="16" t="s">
        <v>26</v>
      </c>
      <c r="B42" s="7"/>
      <c r="C42" s="7"/>
      <c r="D42" s="7"/>
      <c r="E42" s="20"/>
      <c r="F42" s="20"/>
      <c r="G42" s="20"/>
      <c r="H42" s="21"/>
    </row>
    <row r="43" spans="1:8" ht="15" thickBot="1" x14ac:dyDescent="0.35">
      <c r="A43" s="77"/>
      <c r="B43" s="78"/>
      <c r="C43" s="78"/>
      <c r="D43" s="23"/>
      <c r="E43" s="24"/>
      <c r="F43" s="24"/>
      <c r="G43" s="24"/>
      <c r="H43" s="25"/>
    </row>
  </sheetData>
  <mergeCells count="38">
    <mergeCell ref="E34:G34"/>
    <mergeCell ref="E35:G35"/>
    <mergeCell ref="E36:H36"/>
    <mergeCell ref="E37:H37"/>
    <mergeCell ref="A43:C43"/>
    <mergeCell ref="A28:C32"/>
    <mergeCell ref="E28:G28"/>
    <mergeCell ref="E30:G30"/>
    <mergeCell ref="E31:G31"/>
    <mergeCell ref="E32:G33"/>
    <mergeCell ref="H32:H33"/>
    <mergeCell ref="A33:C33"/>
    <mergeCell ref="A15:H15"/>
    <mergeCell ref="B16:E16"/>
    <mergeCell ref="B17:E17"/>
    <mergeCell ref="B18:E18"/>
    <mergeCell ref="B19:E19"/>
    <mergeCell ref="A27:B27"/>
    <mergeCell ref="A11:D11"/>
    <mergeCell ref="E11:H11"/>
    <mergeCell ref="A12:D12"/>
    <mergeCell ref="E12:H12"/>
    <mergeCell ref="E13:H13"/>
    <mergeCell ref="A14:D14"/>
    <mergeCell ref="E14:H14"/>
    <mergeCell ref="A6:H6"/>
    <mergeCell ref="A7:H7"/>
    <mergeCell ref="A8:H8"/>
    <mergeCell ref="A9:H9"/>
    <mergeCell ref="A10:B10"/>
    <mergeCell ref="C10:D10"/>
    <mergeCell ref="E10:H10"/>
    <mergeCell ref="A1:B4"/>
    <mergeCell ref="C1:H2"/>
    <mergeCell ref="C3:F3"/>
    <mergeCell ref="G3:H3"/>
    <mergeCell ref="C4:F4"/>
    <mergeCell ref="G4:H4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E92282-F46C-4B1A-BE46-70D42ACD9A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055E74-A9E1-4517-A132-0890F9206063}">
  <ds:schemaRefs>
    <ds:schemaRef ds:uri="http://schemas.microsoft.com/office/2006/metadata/properties"/>
    <ds:schemaRef ds:uri="http://schemas.microsoft.com/office/infopath/2007/PartnerControls"/>
    <ds:schemaRef ds:uri="a3ee3419-f813-43ff-8070-dce059c64b7d"/>
    <ds:schemaRef ds:uri="1e3a9498-45e1-4121-9cf9-83f762cff582"/>
  </ds:schemaRefs>
</ds:datastoreItem>
</file>

<file path=customXml/itemProps3.xml><?xml version="1.0" encoding="utf-8"?>
<ds:datastoreItem xmlns:ds="http://schemas.openxmlformats.org/officeDocument/2006/customXml" ds:itemID="{1162F03B-C6DD-4232-99C1-BE93A9120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4006-24 ZI&amp; </vt:lpstr>
      <vt:lpstr>62278-24 ZI&amp; </vt:lpstr>
      <vt:lpstr>71063-24 ZI&amp; </vt:lpstr>
      <vt:lpstr>19573-24 ZI&amp; </vt:lpstr>
      <vt:lpstr>81794-24 ZI&amp;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Krishna Kumar Sharma</cp:lastModifiedBy>
  <cp:revision/>
  <dcterms:created xsi:type="dcterms:W3CDTF">2022-09-26T06:30:17Z</dcterms:created>
  <dcterms:modified xsi:type="dcterms:W3CDTF">2025-03-04T14:59:38Z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