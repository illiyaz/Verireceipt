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nil Invoices/"/>
    </mc:Choice>
  </mc:AlternateContent>
  <xr:revisionPtr revIDLastSave="60" documentId="13_ncr:1_{5570FA24-3A42-4C4B-9647-B14FDA89C136}" xr6:coauthVersionLast="47" xr6:coauthVersionMax="47" xr10:uidLastSave="{6912AD1D-CAFE-4B2E-BABA-100D0D445581}"/>
  <bookViews>
    <workbookView xWindow="-108" yWindow="-108" windowWidth="23256" windowHeight="12456" xr2:uid="{00000000-000D-0000-FFFF-FFFF00000000}"/>
  </bookViews>
  <sheets>
    <sheet name="30561 22 SICH" sheetId="2" r:id="rId1"/>
    <sheet name="26941 22 SICH" sheetId="4" r:id="rId2"/>
    <sheet name="26943 22 SICH" sheetId="5" r:id="rId3"/>
    <sheet name="23162 22 SICH" sheetId="3" r:id="rId4"/>
    <sheet name="26569-24 SICH" sheetId="19" r:id="rId5"/>
    <sheet name="26570-24 SICH" sheetId="20" r:id="rId6"/>
    <sheet name="32105 22 SICH" sheetId="6" r:id="rId7"/>
    <sheet name="26998-23 SICH" sheetId="7" r:id="rId8"/>
    <sheet name="50702-23 SICH" sheetId="8" r:id="rId9"/>
    <sheet name="77637-23 SICH" sheetId="9" r:id="rId10"/>
    <sheet name="83023-23 SICH" sheetId="10" r:id="rId11"/>
    <sheet name="26571-24 SICH_x0009_" sheetId="11" r:id="rId12"/>
    <sheet name="74341 22 SICH" sheetId="12" r:id="rId13"/>
    <sheet name="26572-24 SICH" sheetId="18" r:id="rId14"/>
    <sheet name="75924 22 SICH" sheetId="13" r:id="rId15"/>
    <sheet name="92145-22 SICH" sheetId="14" r:id="rId16"/>
    <sheet name="93410-22 SICH" sheetId="15" r:id="rId17"/>
    <sheet name="38740 22 SICH" sheetId="16" r:id="rId18"/>
    <sheet name="47669 22 SICH" sheetId="17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0" l="1"/>
  <c r="H22" i="19"/>
  <c r="H22" i="18"/>
  <c r="H22" i="17"/>
  <c r="H22" i="16"/>
  <c r="H22" i="15"/>
  <c r="H22" i="14"/>
  <c r="H22" i="13"/>
  <c r="H22" i="12"/>
  <c r="H22" i="11"/>
  <c r="H22" i="10"/>
  <c r="H22" i="9"/>
  <c r="H22" i="8"/>
  <c r="H22" i="7"/>
  <c r="H22" i="6"/>
  <c r="H22" i="5"/>
  <c r="H22" i="4"/>
  <c r="H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tc={75360CDB-D800-46AD-9902-C635B2803647}</author>
    <author>tc={4E8EF338-906F-4E6E-9894-79D7E2B74573}</author>
  </authors>
  <commentList>
    <comment ref="A1" authorId="0" shapeId="0" xr:uid="{75360CDB-D800-46AD-9902-C635B2803647}">
      <text>
        <t>[Threaded comment]
Your version of Excel allows you to read this threaded comment; however, any edits to it will get removed if the file is opened in a newer version of Excel. Learn more: https://go.microsoft.com/fwlink/?linkid=870924
Comment:
    Sichuan Changhong Cargo</t>
      </text>
    </comment>
    <comment ref="B13" authorId="1" shapeId="0" xr:uid="{4E8EF338-906F-4E6E-9894-79D7E2B745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Customs Clearance Services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tc={FB3FA477-0380-4C73-AF44-BA7D1AA6DF4D}</author>
  </authors>
  <commentList>
    <comment ref="B13" authorId="0" shapeId="0" xr:uid="{FB3FA477-0380-4C73-AF44-BA7D1AA6DF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Documentation Charges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tc={0A0DADC7-1A32-43A1-9DCF-DB8EF2B709D0}</author>
  </authors>
  <commentList>
    <comment ref="B13" authorId="0" shapeId="0" xr:uid="{0A0DADC7-1A32-43A1-9DCF-DB8EF2B709D0}">
      <text>
        <t>[Threaded comment]
Your version of Excel allows you to read this threaded comment; however, any edits to it will get removed if the file is opened in a newer version of Excel. Learn more: https://go.microsoft.com/fwlink/?linkid=870924
Comment:
    Demurrage &amp; Detention Charges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tc={72360905-3C0B-43AC-AA59-3248C25BBAFC}</author>
  </authors>
  <commentList>
    <comment ref="B13" authorId="0" shapeId="0" xr:uid="{72360905-3C0B-43AC-AA59-3248C25BBAF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Transportation &amp; Handling Fees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tc={4D524EF7-60A5-4563-AC80-744B28C9F7C1}</author>
  </authors>
  <commentList>
    <comment ref="B13" authorId="0" shapeId="0" xr:uid="{4D524EF7-60A5-4563-AC80-744B28C9F7C1}">
      <text>
        <t>[Threaded comment]
Your version of Excel allows you to read this threaded comment; however, any edits to it will get removed if the file is opened in a newer version of Excel. Learn more: https://go.microsoft.com/fwlink/?linkid=870924
Comment:
    Tax evasion charges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tc={DC23F638-C4F6-490D-9BDE-F58A6898CE66}</author>
  </authors>
  <commentList>
    <comment ref="B13" authorId="0" shapeId="0" xr:uid="{DC23F638-C4F6-490D-9BDE-F58A6898CE66}">
      <text>
        <t>[Threaded comment]
Your version of Excel allows you to read this threaded comment; however, any edits to it will get removed if the file is opened in a newer version of Excel. Learn more: https://go.microsoft.com/fwlink/?linkid=870924
Comment:
    Phantom charges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tc={069B4211-27F8-405A-844E-4FA962897F7C}</author>
  </authors>
  <commentList>
    <comment ref="B13" authorId="0" shapeId="0" xr:uid="{069B4211-27F8-405A-844E-4FA962897F7C}">
      <text>
        <t>[Threaded comment]
Your version of Excel allows you to read this threaded comment; however, any edits to it will get removed if the file is opened in a newer version of Excel. Learn more: https://go.microsoft.com/fwlink/?linkid=870924
Comment:
    Loading &amp; Unloading Charges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tc={C795F051-8A59-4706-8BE5-FDF88AC03561}</author>
  </authors>
  <commentList>
    <comment ref="B13" authorId="0" shapeId="0" xr:uid="{C795F051-8A59-4706-8BE5-FDF88AC03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Port &amp; Terminal Handling Charges (THC)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tc={0D636C26-50B6-4333-A67F-E835C8AB58EB}</author>
  </authors>
  <commentList>
    <comment ref="B13" authorId="0" shapeId="0" xr:uid="{0D636C26-50B6-4333-A67F-E835C8AB58EB}">
      <text>
        <t>[Threaded comment]
Your version of Excel allows you to read this threaded comment; however, any edits to it will get removed if the file is opened in a newer version of Excel. Learn more: https://go.microsoft.com/fwlink/?linkid=870924
Comment:
    Brokerage Fees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tc={D8C3BD3B-1762-492C-8537-83EAC69F55F0}</author>
  </authors>
  <commentList>
    <comment ref="B13" authorId="0" shapeId="0" xr:uid="{D8C3BD3B-1762-492C-8537-83EAC69F55F0}">
      <text>
        <t>[Threaded comment]
Your version of Excel allows you to read this threaded comment; however, any edits to it will get removed if the file is opened in a newer version of Excel. Learn more: https://go.microsoft.com/fwlink/?linkid=870924
Comment:
    Demurrage &amp; Detention Charges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tc={27474C23-2B91-443A-BE0D-C145A93C1902}</author>
  </authors>
  <commentList>
    <comment ref="B13" authorId="0" shapeId="0" xr:uid="{27474C23-2B91-443A-BE0D-C145A93C190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Transportation &amp; Handling Fees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tc={6FCBB0B5-4BC0-4C5E-ABC1-DA4D4F7041B2}</author>
  </authors>
  <commentList>
    <comment ref="B13" authorId="0" shapeId="0" xr:uid="{6FCBB0B5-4BC0-4C5E-ABC1-DA4D4F7041B2}">
      <text>
        <t>[Threaded comment]
Your version of Excel allows you to read this threaded comment; however, any edits to it will get removed if the file is opened in a newer version of Excel. Learn more: https://go.microsoft.com/fwlink/?linkid=870924
Comment:
    Inflated fees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tc={41382DCF-BC7C-432B-BC60-601825643576}</author>
    <author>tc={63413391-8CE1-4738-B97C-60765203CBAE}</author>
  </authors>
  <commentList>
    <comment ref="B13" authorId="0" shapeId="0" xr:uid="{41382DCF-BC7C-432B-BC60-601825643576}">
      <text>
        <t>[Threaded comment]
Your version of Excel allows you to read this threaded comment; however, any edits to it will get removed if the file is opened in a newer version of Excel. Learn more: https://go.microsoft.com/fwlink/?linkid=870924
Comment:
    Duty and Tax Payments</t>
      </text>
    </comment>
    <comment ref="H13" authorId="1" shapeId="0" xr:uid="{63413391-8CE1-4738-B97C-60765203CBA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Tax Amount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tc={2CA21349-539B-4961-BCF4-848D244C3E24}</author>
  </authors>
  <commentList>
    <comment ref="B13" authorId="0" shapeId="0" xr:uid="{2CA21349-539B-4961-BCF4-848D244C3E24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Over-billing for terminal charges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tc={2A2EEA34-553B-4B7E-BAC4-6D62C3434FE0}</author>
  </authors>
  <commentList>
    <comment ref="B13" authorId="0" shapeId="0" xr:uid="{2A2EEA34-553B-4B7E-BAC4-6D62C3434FE0}">
      <text>
        <t>[Threaded comment]
Your version of Excel allows you to read this threaded comment; however, any edits to it will get removed if the file is opened in a newer version of Excel. Learn more: https://go.microsoft.com/fwlink/?linkid=870924
Comment:
    Brokerage Fees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tc={4BB51476-16EE-4949-98AA-E3A6B39BF12F}</author>
  </authors>
  <commentList>
    <comment ref="B13" authorId="0" shapeId="0" xr:uid="{4BB51476-16EE-4949-98AA-E3A6B39BF12F}">
      <text>
        <t>[Threaded comment]
Your version of Excel allows you to read this threaded comment; however, any edits to it will get removed if the file is opened in a newer version of Excel. Learn more: https://go.microsoft.com/fwlink/?linkid=870924
Comment:
    Demurrage &amp; Detention Charges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tc={0BC8A9E0-AF38-411D-ACFF-C36B438AE426}</author>
  </authors>
  <commentList>
    <comment ref="B13" authorId="0" shapeId="0" xr:uid="{0BC8A9E0-AF38-411D-ACFF-C36B438A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Over-billing for terminal charges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tc={CC19F54F-47BB-4EDF-9723-FFC446C956FD}</author>
  </authors>
  <commentList>
    <comment ref="B13" authorId="0" shapeId="0" xr:uid="{CC19F54F-47BB-4EDF-9723-FFC446C956FD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Customs Clearance Services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tc={57ED96FC-906D-4002-AC44-E805AFE108AB}</author>
  </authors>
  <commentList>
    <comment ref="B13" authorId="0" shapeId="0" xr:uid="{57ED96FC-906D-4002-AC44-E805AFE108A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Transportation &amp; Handling Fees</t>
      </text>
    </comment>
  </commentList>
</comments>
</file>

<file path=xl/sharedStrings.xml><?xml version="1.0" encoding="utf-8"?>
<sst xmlns="http://schemas.openxmlformats.org/spreadsheetml/2006/main" count="513" uniqueCount="95">
  <si>
    <t>四川长虹货运</t>
  </si>
  <si>
    <t>夫子庙步行街罗马 9, 都灵, 伦巴第, 中华人民共和国.</t>
  </si>
  <si>
    <t>电话号码 : 6418882557</t>
  </si>
  <si>
    <t xml:space="preserve">税务发票 </t>
  </si>
  <si>
    <t>帐单地址：</t>
  </si>
  <si>
    <t>新泽西钢马汽车装配公司</t>
  </si>
  <si>
    <t>第0015章</t>
  </si>
  <si>
    <t>发票号码 :</t>
  </si>
  <si>
    <t>30561#SICH-FY2022</t>
  </si>
  <si>
    <t>美国新泽西州</t>
  </si>
  <si>
    <t>日期：</t>
  </si>
  <si>
    <t>#</t>
  </si>
  <si>
    <t>发票说明</t>
  </si>
  <si>
    <t>数量</t>
  </si>
  <si>
    <t>清关服务</t>
  </si>
  <si>
    <t>全部的</t>
  </si>
  <si>
    <t>¥.4702000</t>
  </si>
  <si>
    <t>小计</t>
  </si>
  <si>
    <t>税</t>
  </si>
  <si>
    <t>¥.617373</t>
  </si>
  <si>
    <t>¥.5319373</t>
  </si>
  <si>
    <t>条款和条件：</t>
  </si>
  <si>
    <t>1. 付款期限为发票日期起 30 天内。</t>
  </si>
  <si>
    <t>2. 任何争议或退款请求必须在收到后30天内提出。在此期限之后，将不予退款。</t>
  </si>
  <si>
    <t>3. 本发票受德国法律管辖。</t>
  </si>
  <si>
    <t>这是系统生成的发票，不需要签名。</t>
  </si>
  <si>
    <t>26941#SICH-FY2022</t>
  </si>
  <si>
    <t>文件费用</t>
  </si>
  <si>
    <t>¥.49208</t>
  </si>
  <si>
    <t>¥.7455</t>
  </si>
  <si>
    <t>¥.56663</t>
  </si>
  <si>
    <t>26943#SICH-FY2022</t>
  </si>
  <si>
    <t>滞期/滞留费用</t>
  </si>
  <si>
    <t>¥.4366000</t>
  </si>
  <si>
    <t>¥.556665</t>
  </si>
  <si>
    <t>¥.4922665</t>
  </si>
  <si>
    <t>23162#SICH-FY2022</t>
  </si>
  <si>
    <t>运输 - 处理费用</t>
  </si>
  <si>
    <t>¥.4446000</t>
  </si>
  <si>
    <t>¥.566865</t>
  </si>
  <si>
    <t>¥.5012865</t>
  </si>
  <si>
    <t>26569#SICH-FY2024</t>
  </si>
  <si>
    <t>逃税费用</t>
  </si>
  <si>
    <t>26570#SICH-FY2024</t>
  </si>
  <si>
    <t>虚构费用</t>
  </si>
  <si>
    <t>32105#SICH-FY2022</t>
  </si>
  <si>
    <t>装卸费用</t>
  </si>
  <si>
    <t>¥.1542915</t>
  </si>
  <si>
    <t>¥.233752</t>
  </si>
  <si>
    <t>¥.1776667</t>
  </si>
  <si>
    <t>26998#SICH-FY2023</t>
  </si>
  <si>
    <t>港口/码头操作费用</t>
  </si>
  <si>
    <t>¥.3420000</t>
  </si>
  <si>
    <t>¥.331398</t>
  </si>
  <si>
    <t>¥.3751398</t>
  </si>
  <si>
    <t>50702#SICH-FY2023</t>
  </si>
  <si>
    <t>代理费</t>
  </si>
  <si>
    <t>¥.2230000</t>
  </si>
  <si>
    <t>¥.216087</t>
  </si>
  <si>
    <t>¥.2446087</t>
  </si>
  <si>
    <t>77637#SICH-FY2023</t>
  </si>
  <si>
    <t>¥.4220000</t>
  </si>
  <si>
    <t>¥.408918</t>
  </si>
  <si>
    <t>¥.4628918</t>
  </si>
  <si>
    <t>83023#SICH-FY2023</t>
  </si>
  <si>
    <t>运输/处理费用</t>
  </si>
  <si>
    <t>¥.3172500</t>
  </si>
  <si>
    <t>¥.307415</t>
  </si>
  <si>
    <t>¥.3479915</t>
  </si>
  <si>
    <t>26571#SICH-FY2024</t>
  </si>
  <si>
    <t>虚高费用</t>
  </si>
  <si>
    <t>74341#SICH-FY2022</t>
  </si>
  <si>
    <t>税款缴纳</t>
  </si>
  <si>
    <t>¥.4679125</t>
  </si>
  <si>
    <t>26572#SICH-FY2024</t>
  </si>
  <si>
    <t>码头费用过高</t>
  </si>
  <si>
    <t>75924#SICH-FY2022</t>
  </si>
  <si>
    <t>¥.3923920</t>
  </si>
  <si>
    <t>¥.380228</t>
  </si>
  <si>
    <t>¥.4304148</t>
  </si>
  <si>
    <t>92145-22/SICH</t>
  </si>
  <si>
    <t>滞期/滞留费</t>
  </si>
  <si>
    <t>¥.890000</t>
  </si>
  <si>
    <t>¥.113475</t>
  </si>
  <si>
    <t>¥.1003475</t>
  </si>
  <si>
    <t>93410-22/SICH</t>
  </si>
  <si>
    <t>38740#SICH-FY2022</t>
  </si>
  <si>
    <t>报关服务</t>
  </si>
  <si>
    <t>¥.3292500</t>
  </si>
  <si>
    <t>¥.432305</t>
  </si>
  <si>
    <t>¥.3724805</t>
  </si>
  <si>
    <t>47669#SICH-FY2022</t>
  </si>
  <si>
    <t>¥.3303000</t>
  </si>
  <si>
    <t>¥.320061</t>
  </si>
  <si>
    <t>¥.3623061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</si>
</sst>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.00_ ;_ [$₹-4009]\ * \-#,##0.00_ ;_ [$₹-4009]\ * &quot;-&quot;??_ ;_ @_ "/>
    <numFmt numFmtId="165" formatCode="0.0"/>
    <numFmt numFmtId="166" formatCode="&quot;₹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sz val="11"/>
      <color rgb="FF202124"/>
      <name val="Arial"/>
      <family val="2"/>
    </font>
    <font>
      <sz val="12"/>
      <color theme="1"/>
      <name val="Arial"/>
      <family val="2"/>
    </font>
    <font>
      <b/>
      <sz val="16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13"/>
      <color theme="0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left"/>
    </xf>
    <xf numFmtId="9" fontId="3" fillId="0" borderId="1" xfId="1" applyFont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2" fontId="8" fillId="4" borderId="1" xfId="1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9" fontId="3" fillId="7" borderId="1" xfId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0" fillId="0" borderId="20" xfId="0" applyBorder="1"/>
    <xf numFmtId="0" fontId="0" fillId="0" borderId="19" xfId="0" applyBorder="1"/>
    <xf numFmtId="0" fontId="15" fillId="0" borderId="19" xfId="0" applyFont="1" applyBorder="1"/>
    <xf numFmtId="0" fontId="3" fillId="2" borderId="1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7" borderId="1" xfId="0" applyFont="1" applyFill="1" applyBorder="1" applyAlignment="1">
      <alignment horizontal="right" vertical="center"/>
    </xf>
    <xf numFmtId="0" fontId="3" fillId="7" borderId="11" xfId="0" applyFont="1" applyFill="1" applyBorder="1" applyAlignment="1">
      <alignment horizontal="right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6" fontId="11" fillId="4" borderId="1" xfId="0" applyNumberFormat="1" applyFont="1" applyFill="1" applyBorder="1" applyAlignment="1">
      <alignment horizontal="right" vertical="center"/>
    </xf>
    <xf numFmtId="166" fontId="11" fillId="4" borderId="11" xfId="0" applyNumberFormat="1" applyFont="1" applyFill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1" fontId="9" fillId="0" borderId="11" xfId="0" applyNumberFormat="1" applyFont="1" applyBorder="1" applyAlignment="1">
      <alignment horizontal="right" vertical="center"/>
    </xf>
    <xf numFmtId="0" fontId="12" fillId="3" borderId="8" xfId="0" applyFont="1" applyFill="1" applyBorder="1" applyAlignment="1">
      <alignment horizontal="left" vertical="center"/>
    </xf>
    <xf numFmtId="165" fontId="10" fillId="3" borderId="8" xfId="0" applyNumberFormat="1" applyFont="1" applyFill="1" applyBorder="1" applyAlignment="1">
      <alignment horizontal="right"/>
    </xf>
    <xf numFmtId="165" fontId="10" fillId="3" borderId="9" xfId="0" applyNumberFormat="1" applyFont="1" applyFill="1" applyBorder="1" applyAlignment="1">
      <alignment horizontal="right"/>
    </xf>
    <xf numFmtId="0" fontId="13" fillId="0" borderId="1" xfId="0" applyFont="1" applyBorder="1" applyAlignment="1">
      <alignment horizontal="left"/>
    </xf>
    <xf numFmtId="1" fontId="7" fillId="0" borderId="1" xfId="0" applyNumberFormat="1" applyFont="1" applyBorder="1" applyAlignment="1">
      <alignment horizontal="right"/>
    </xf>
    <xf numFmtId="1" fontId="7" fillId="0" borderId="11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14" fontId="3" fillId="0" borderId="17" xfId="0" applyNumberFormat="1" applyFont="1" applyBorder="1" applyAlignment="1">
      <alignment horizontal="left"/>
    </xf>
    <xf numFmtId="0" fontId="3" fillId="0" borderId="10" xfId="0" applyFont="1" applyBorder="1"/>
    <xf numFmtId="0" fontId="3" fillId="0" borderId="1" xfId="0" applyFont="1" applyBorder="1"/>
    <xf numFmtId="0" fontId="3" fillId="0" borderId="11" xfId="0" applyFont="1" applyBorder="1"/>
    <xf numFmtId="0" fontId="3" fillId="6" borderId="10" xfId="0" applyFont="1" applyFill="1" applyBorder="1"/>
    <xf numFmtId="0" fontId="3" fillId="6" borderId="1" xfId="0" applyFont="1" applyFill="1" applyBorder="1"/>
    <xf numFmtId="0" fontId="3" fillId="6" borderId="11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17" xfId="0" applyFont="1" applyBorder="1"/>
    <xf numFmtId="0" fontId="3" fillId="6" borderId="12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3" xfId="0" applyFont="1" applyFill="1" applyBorder="1" applyAlignment="1">
      <alignment horizontal="center" vertical="center"/>
    </xf>
    <xf numFmtId="164" fontId="3" fillId="7" borderId="3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166" fontId="11" fillId="4" borderId="27" xfId="0" applyNumberFormat="1" applyFont="1" applyFill="1" applyBorder="1" applyAlignment="1">
      <alignment horizontal="right" vertical="center"/>
    </xf>
    <xf numFmtId="166" fontId="11" fillId="4" borderId="28" xfId="0" applyNumberFormat="1" applyFont="1" applyFill="1" applyBorder="1" applyAlignment="1">
      <alignment horizontal="right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B56188FB-CED6-4612-88EF-50F5948189F6}" userId="S::abikkineli@konaai.com::58b7245d-aeb2-4f65-85e7-f7ce79c60323" providerId="AD"/>
</personList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0-02T13:29:00.83" personId="{B56188FB-CED6-4612-88EF-50F5948189F6}" id="{75360CDB-D800-46AD-9902-C635B2803647}">
    <text>Sichuan Changhong Cargo</text>
  </threadedComment>
  <threadedComment ref="B13" dT="2024-09-24T05:39:52.08" personId="{B56188FB-CED6-4612-88EF-50F5948189F6}" id="{4E8EF338-906F-4E6E-9894-79D7E2B74573}">
    <text xml:space="preserve">Customs Clearance Services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FB3FA477-0380-4C73-AF44-BA7D1AA6DF4D}">
    <text xml:space="preserve">Documentation Charges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0A0DADC7-1A32-43A1-9DCF-DB8EF2B709D0}">
    <text>Demurrage &amp; Detention Charges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72360905-3C0B-43AC-AA59-3248C25BBAFC}">
    <text>Transportation &amp; Handling Fees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4D524EF7-60A5-4563-AC80-744B28C9F7C1}">
    <text>Tax evasion charges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DC23F638-C4F6-490D-9BDE-F58A6898CE66}">
    <text>Phantom charges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069B4211-27F8-405A-844E-4FA962897F7C}">
    <text>Loading &amp; Unloading Charges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C795F051-8A59-4706-8BE5-FDF88AC03561}">
    <text>Port &amp; Terminal Handling Charges (THC)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0D636C26-50B6-4333-A67F-E835C8AB58EB}">
    <text>Brokerage Fees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D8C3BD3B-1762-492C-8537-83EAC69F55F0}">
    <text>Demurrage &amp; Detention Charges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27474C23-2B91-443A-BE0D-C145A93C1902}">
    <text>Transportation &amp; Handling Fees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6FCBB0B5-4BC0-4C5E-ABC1-DA4D4F7041B2}">
    <text>Inflated fees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41382DCF-BC7C-432B-BC60-601825643576}">
    <text>Duty and Tax Payments</text>
  </threadedComment>
  <threadedComment ref="H13" dT="2024-10-02T13:43:06.25" personId="{B56188FB-CED6-4612-88EF-50F5948189F6}" id="{63413391-8CE1-4738-B97C-60765203CBAE}">
    <text>Including Tax Amount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2CA21349-539B-4961-BCF4-848D244C3E24}">
    <text>Over-billing for terminal charges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2A2EEA34-553B-4B7E-BAC4-6D62C3434FE0}">
    <text>Brokerage Fees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4BB51476-16EE-4949-98AA-E3A6B39BF12F}">
    <text>Demurrage &amp; Detention Charges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0BC8A9E0-AF38-411D-ACFF-C36B438AE426}">
    <text>Over-billing for terminal charges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CC19F54F-47BB-4EDF-9723-FFC446C956FD}">
    <text>Customs Clearance Services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B13" dT="2024-09-24T05:39:52.08" personId="{B56188FB-CED6-4612-88EF-50F5948189F6}" id="{57ED96FC-906D-4002-AC44-E805AFE108AB}">
    <text>Transportation &amp; Handling Fees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D11A-0BA2-499D-96CD-BA26A9F8A0FE}">
  <dimension ref="A1:I41"/>
  <sheetViews>
    <sheetView showGridLines="0" tabSelected="1" zoomScaleNormal="100" zoomScaleSheetLayoutView="87" workbookViewId="0">
      <selection activeCell="H13" sqref="H13:I13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64" t="s">
        <v>8</v>
      </c>
      <c r="H8" s="65"/>
      <c r="I8" s="66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39">
        <v>44701</v>
      </c>
      <c r="H9" s="40"/>
      <c r="I9" s="4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14</v>
      </c>
      <c r="C13" s="21"/>
      <c r="D13" s="21"/>
      <c r="E13" s="21"/>
      <c r="F13" s="22"/>
      <c r="G13" s="2"/>
      <c r="H13" s="50">
        <v>4702000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16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">
        <v>16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19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20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3:I3"/>
    <mergeCell ref="A40:I41"/>
    <mergeCell ref="A1:I1"/>
    <mergeCell ref="A2:I2"/>
    <mergeCell ref="G8:I8"/>
    <mergeCell ref="A4:I4"/>
    <mergeCell ref="A5:I5"/>
    <mergeCell ref="A6:D6"/>
    <mergeCell ref="E6:I6"/>
    <mergeCell ref="A7:D7"/>
    <mergeCell ref="E7:I7"/>
    <mergeCell ref="B12:F12"/>
    <mergeCell ref="B13:F13"/>
    <mergeCell ref="B14:F14"/>
    <mergeCell ref="B15:F15"/>
    <mergeCell ref="A8:D8"/>
    <mergeCell ref="H16:I16"/>
    <mergeCell ref="E9:F9"/>
    <mergeCell ref="G9:I9"/>
    <mergeCell ref="A10:D10"/>
    <mergeCell ref="E10:I10"/>
    <mergeCell ref="A11:I11"/>
    <mergeCell ref="B16:F16"/>
    <mergeCell ref="A9:D9"/>
    <mergeCell ref="H12:I12"/>
    <mergeCell ref="H13:I13"/>
    <mergeCell ref="H14:I14"/>
    <mergeCell ref="H15:I15"/>
    <mergeCell ref="A21:B21"/>
    <mergeCell ref="H21:I21"/>
    <mergeCell ref="B18:F18"/>
    <mergeCell ref="B19:F19"/>
    <mergeCell ref="H24:I25"/>
    <mergeCell ref="E22:G22"/>
    <mergeCell ref="H22:I22"/>
    <mergeCell ref="E23:G23"/>
    <mergeCell ref="H23:I23"/>
    <mergeCell ref="E24:G25"/>
    <mergeCell ref="H17:I17"/>
    <mergeCell ref="B17:F17"/>
    <mergeCell ref="H18:I18"/>
    <mergeCell ref="H19:I19"/>
    <mergeCell ref="H20:I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574C-FF99-435E-98F4-CA06F9C42AED}">
  <dimension ref="A1:I41"/>
  <sheetViews>
    <sheetView showGridLines="0" zoomScaleNormal="100" zoomScaleSheetLayoutView="87" workbookViewId="0">
      <selection activeCell="H13" sqref="H13:I13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26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44688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27</v>
      </c>
      <c r="C13" s="21"/>
      <c r="D13" s="21"/>
      <c r="E13" s="21"/>
      <c r="F13" s="22"/>
      <c r="G13" s="2"/>
      <c r="H13" s="50">
        <v>49208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28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¥.49208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29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30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15BC-1139-4BBC-8CB4-BE384AF7A29A}">
  <dimension ref="A1:I41"/>
  <sheetViews>
    <sheetView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31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44688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32</v>
      </c>
      <c r="C13" s="21"/>
      <c r="D13" s="21"/>
      <c r="E13" s="21"/>
      <c r="F13" s="22"/>
      <c r="G13" s="2"/>
      <c r="H13" s="50">
        <v>4366000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33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¥.4366000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34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35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8B1A-9CC2-438B-AC83-68FD90E12EE7}">
  <dimension ref="A1:I41"/>
  <sheetViews>
    <sheetView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36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44687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37</v>
      </c>
      <c r="C13" s="21"/>
      <c r="D13" s="21"/>
      <c r="E13" s="21"/>
      <c r="F13" s="22"/>
      <c r="G13" s="2"/>
      <c r="H13" s="50">
        <v>4446000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38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¥.4446000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39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40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6317-D6DD-4452-8563-07FC73F0D43B}">
  <dimension ref="A1:I41"/>
  <sheetViews>
    <sheetView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41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45419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42</v>
      </c>
      <c r="C13" s="21"/>
      <c r="D13" s="21"/>
      <c r="E13" s="21"/>
      <c r="F13" s="22"/>
      <c r="G13" s="2"/>
      <c r="H13" s="50">
        <v>49208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28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¥.49208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29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30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CCB7-ED9B-4227-8823-99FF3540A5C5}">
  <dimension ref="A1:I41"/>
  <sheetViews>
    <sheetView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43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45419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44</v>
      </c>
      <c r="C13" s="21"/>
      <c r="D13" s="21"/>
      <c r="E13" s="21"/>
      <c r="F13" s="22"/>
      <c r="G13" s="2"/>
      <c r="H13" s="50">
        <v>49208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28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¥.49208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29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30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3E01-5F0E-47FC-81C3-2BFCFC9D585E}">
  <dimension ref="A1:I41"/>
  <sheetViews>
    <sheetView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45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44710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46</v>
      </c>
      <c r="C13" s="21"/>
      <c r="D13" s="21"/>
      <c r="E13" s="21"/>
      <c r="F13" s="22"/>
      <c r="G13" s="2"/>
      <c r="H13" s="50">
        <v>1542915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47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¥.1542915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48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49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1C08-CD13-430A-AC0A-E5C3CA1021E6}">
  <dimension ref="A1:I41"/>
  <sheetViews>
    <sheetView topLeftCell="A2"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50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45057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51</v>
      </c>
      <c r="C13" s="21"/>
      <c r="D13" s="21"/>
      <c r="E13" s="21"/>
      <c r="F13" s="22"/>
      <c r="G13" s="2"/>
      <c r="H13" s="50">
        <v>3420000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52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¥.3420000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53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54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3CCC-D41E-4133-8CFB-C4744DBC8F29}">
  <dimension ref="A1:I41"/>
  <sheetViews>
    <sheetView topLeftCell="A2"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55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45184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56</v>
      </c>
      <c r="C13" s="21"/>
      <c r="D13" s="21"/>
      <c r="E13" s="21"/>
      <c r="F13" s="22"/>
      <c r="G13" s="2"/>
      <c r="H13" s="50">
        <v>2230000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94" t="s">
        <v>15</v>
      </c>
      <c r="B21" s="95"/>
      <c r="C21" s="6"/>
      <c r="D21" s="6"/>
      <c r="E21" s="6"/>
      <c r="F21" s="6"/>
      <c r="G21" s="7"/>
      <c r="H21" s="92" t="s">
        <v>57</v>
      </c>
      <c r="I21" s="93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¥.2230000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58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59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28E1-3CC9-4A0E-B032-870CCC858071}">
  <dimension ref="A1:I41"/>
  <sheetViews>
    <sheetView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60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45256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32</v>
      </c>
      <c r="C13" s="21"/>
      <c r="D13" s="21"/>
      <c r="E13" s="21"/>
      <c r="F13" s="22"/>
      <c r="G13" s="2"/>
      <c r="H13" s="50">
        <v>4220000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61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¥.4220000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62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63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AA70-7DAB-4C0B-A650-DF851DD3316D}">
  <dimension ref="A1:I41"/>
  <sheetViews>
    <sheetView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64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45270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65</v>
      </c>
      <c r="C13" s="21"/>
      <c r="D13" s="21"/>
      <c r="E13" s="21"/>
      <c r="F13" s="22"/>
      <c r="G13" s="2"/>
      <c r="H13" s="50">
        <v>3172500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66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¥.3172500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67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68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0399-EEFF-4A80-BB72-1B130BB29CCD}">
  <dimension ref="A1:I41"/>
  <sheetViews>
    <sheetView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69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45419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70</v>
      </c>
      <c r="C13" s="21"/>
      <c r="D13" s="21"/>
      <c r="E13" s="21"/>
      <c r="F13" s="22"/>
      <c r="G13" s="2"/>
      <c r="H13" s="50">
        <v>49208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28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¥.49208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29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30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591A-60D2-4C91-9373-7C9854DCE587}">
  <dimension ref="A1:I41"/>
  <sheetViews>
    <sheetView topLeftCell="A2"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71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44870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72</v>
      </c>
      <c r="C13" s="21"/>
      <c r="D13" s="21"/>
      <c r="E13" s="21"/>
      <c r="F13" s="22"/>
      <c r="G13" s="2"/>
      <c r="H13" s="50">
        <v>4679125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73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¥.4679125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>
        <v>0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73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9FB1-8A52-43A6-AD99-246135589A69}">
  <dimension ref="A1:I41"/>
  <sheetViews>
    <sheetView topLeftCell="A5"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74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45419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75</v>
      </c>
      <c r="C13" s="21"/>
      <c r="D13" s="21"/>
      <c r="E13" s="21"/>
      <c r="F13" s="22"/>
      <c r="G13" s="2"/>
      <c r="H13" s="50">
        <v>49208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28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¥.49208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29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30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AF79-5FA8-46F9-BF3F-51FD07F12AC5}">
  <dimension ref="A1:I41"/>
  <sheetViews>
    <sheetView topLeftCell="A4"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76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44878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56</v>
      </c>
      <c r="C13" s="21"/>
      <c r="D13" s="21"/>
      <c r="E13" s="21"/>
      <c r="F13" s="22"/>
      <c r="G13" s="2"/>
      <c r="H13" s="50">
        <v>3923920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77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¥.3923920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78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79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DC3A-8787-4A96-A07F-0057B3F71F91}">
  <dimension ref="A1:I41"/>
  <sheetViews>
    <sheetView topLeftCell="A9"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80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44894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81</v>
      </c>
      <c r="C13" s="21"/>
      <c r="D13" s="21"/>
      <c r="E13" s="21"/>
      <c r="F13" s="22"/>
      <c r="G13" s="2"/>
      <c r="H13" s="50">
        <v>890000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82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¥.890000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83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84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96"/>
      <c r="C40" s="96"/>
      <c r="D40" s="96"/>
      <c r="E40" s="96"/>
      <c r="F40" s="96"/>
      <c r="G40" s="96"/>
      <c r="H40" s="96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5B07-FF5A-4FCA-B8B0-E41FBDE4F6E9}">
  <dimension ref="A1:I41"/>
  <sheetViews>
    <sheetView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85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44905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97" t="s">
        <v>13</v>
      </c>
      <c r="I12" s="98"/>
    </row>
    <row r="13" spans="1:9" x14ac:dyDescent="0.3">
      <c r="A13" s="4">
        <v>1</v>
      </c>
      <c r="B13" s="20" t="s">
        <v>75</v>
      </c>
      <c r="C13" s="21"/>
      <c r="D13" s="21"/>
      <c r="E13" s="21"/>
      <c r="F13" s="22"/>
      <c r="G13" s="2"/>
      <c r="H13" s="50">
        <v>1542915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47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¥.1542915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48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49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17E2-3FA4-4496-B6D6-597B9CE6CBDB}">
  <dimension ref="A1:I41"/>
  <sheetViews>
    <sheetView topLeftCell="A2" zoomScaleNormal="100" zoomScaleSheetLayoutView="87" workbookViewId="0">
      <selection activeCell="H13" sqref="H13:I13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86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44741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87</v>
      </c>
      <c r="C13" s="21"/>
      <c r="D13" s="21"/>
      <c r="E13" s="21"/>
      <c r="F13" s="22"/>
      <c r="G13" s="2"/>
      <c r="H13" s="50">
        <v>3292500</v>
      </c>
      <c r="I13" s="51"/>
    </row>
    <row r="14" spans="1:9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88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¥.3292500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89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90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DBB3-824F-4091-AB88-2ABEA41FEA19}">
  <dimension ref="A1:I41"/>
  <sheetViews>
    <sheetView zoomScaleNormal="100" zoomScaleSheetLayoutView="87" workbookViewId="0">
      <selection activeCell="A13" sqref="A13:I20"/>
    </sheetView>
  </sheetViews>
  <sheetFormatPr defaultRowHeight="14.4" x14ac:dyDescent="0.3"/>
  <cols>
    <col min="3" max="3" width="17.6640625" customWidth="1"/>
    <col min="4" max="4" width="8.88671875" customWidth="1"/>
    <col min="9" max="9" width="8.33203125" customWidth="1"/>
  </cols>
  <sheetData>
    <row r="1" spans="1:9" ht="25.95" customHeigh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9" ht="14.4" customHeight="1" x14ac:dyDescent="0.3">
      <c r="A3" s="82" t="s">
        <v>2</v>
      </c>
      <c r="B3" s="83"/>
      <c r="C3" s="83"/>
      <c r="D3" s="83"/>
      <c r="E3" s="83"/>
      <c r="F3" s="83"/>
      <c r="G3" s="83"/>
      <c r="H3" s="83"/>
      <c r="I3" s="84"/>
    </row>
    <row r="4" spans="1:9" ht="15" thickBot="1" x14ac:dyDescent="0.35">
      <c r="A4" s="67"/>
      <c r="B4" s="68"/>
      <c r="C4" s="68"/>
      <c r="D4" s="68"/>
      <c r="E4" s="68"/>
      <c r="F4" s="68"/>
      <c r="G4" s="69"/>
      <c r="H4" s="69"/>
      <c r="I4" s="70"/>
    </row>
    <row r="5" spans="1:9" ht="30" x14ac:dyDescent="0.3">
      <c r="A5" s="71" t="s">
        <v>3</v>
      </c>
      <c r="B5" s="72"/>
      <c r="C5" s="72"/>
      <c r="D5" s="72"/>
      <c r="E5" s="72"/>
      <c r="F5" s="72"/>
      <c r="G5" s="72"/>
      <c r="H5" s="72"/>
      <c r="I5" s="73"/>
    </row>
    <row r="6" spans="1:9" x14ac:dyDescent="0.3">
      <c r="A6" s="74" t="s">
        <v>4</v>
      </c>
      <c r="B6" s="38"/>
      <c r="C6" s="38"/>
      <c r="D6" s="38"/>
      <c r="E6" s="38"/>
      <c r="F6" s="38"/>
      <c r="G6" s="38"/>
      <c r="H6" s="38"/>
      <c r="I6" s="75"/>
    </row>
    <row r="7" spans="1:9" x14ac:dyDescent="0.3">
      <c r="A7" s="42" t="s">
        <v>5</v>
      </c>
      <c r="B7" s="43"/>
      <c r="C7" s="43"/>
      <c r="D7" s="43"/>
      <c r="E7" s="43"/>
      <c r="F7" s="43"/>
      <c r="G7" s="43"/>
      <c r="H7" s="43"/>
      <c r="I7" s="44"/>
    </row>
    <row r="8" spans="1:9" x14ac:dyDescent="0.3">
      <c r="A8" s="42" t="s">
        <v>6</v>
      </c>
      <c r="B8" s="43"/>
      <c r="C8" s="43"/>
      <c r="D8" s="43"/>
      <c r="E8" s="1" t="s">
        <v>7</v>
      </c>
      <c r="F8" s="1"/>
      <c r="G8" s="43" t="s">
        <v>91</v>
      </c>
      <c r="H8" s="43"/>
      <c r="I8" s="44"/>
    </row>
    <row r="9" spans="1:9" x14ac:dyDescent="0.3">
      <c r="A9" s="42" t="s">
        <v>9</v>
      </c>
      <c r="B9" s="43"/>
      <c r="C9" s="43"/>
      <c r="D9" s="43"/>
      <c r="E9" s="38" t="s">
        <v>10</v>
      </c>
      <c r="F9" s="38"/>
      <c r="G9" s="79">
        <v>44773</v>
      </c>
      <c r="H9" s="80"/>
      <c r="I9" s="81"/>
    </row>
    <row r="10" spans="1:9" x14ac:dyDescent="0.3">
      <c r="A10" s="42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5"/>
      <c r="B11" s="46"/>
      <c r="C11" s="46"/>
      <c r="D11" s="46"/>
      <c r="E11" s="46"/>
      <c r="F11" s="46"/>
      <c r="G11" s="46"/>
      <c r="H11" s="46"/>
      <c r="I11" s="47"/>
    </row>
    <row r="12" spans="1:9" x14ac:dyDescent="0.3">
      <c r="A12" s="10" t="s">
        <v>11</v>
      </c>
      <c r="B12" s="76" t="s">
        <v>12</v>
      </c>
      <c r="C12" s="77"/>
      <c r="D12" s="77"/>
      <c r="E12" s="77"/>
      <c r="F12" s="78"/>
      <c r="G12" s="11"/>
      <c r="H12" s="48" t="s">
        <v>13</v>
      </c>
      <c r="I12" s="49"/>
    </row>
    <row r="13" spans="1:9" x14ac:dyDescent="0.3">
      <c r="A13" s="4">
        <v>1</v>
      </c>
      <c r="B13" s="20" t="s">
        <v>65</v>
      </c>
      <c r="C13" s="21"/>
      <c r="D13" s="21"/>
      <c r="E13" s="21"/>
      <c r="F13" s="22"/>
      <c r="G13" s="2"/>
      <c r="H13" s="50">
        <v>3303000</v>
      </c>
      <c r="I13" s="51"/>
    </row>
    <row r="14" spans="1:9" ht="14.4" customHeight="1" x14ac:dyDescent="0.3">
      <c r="A14" s="8"/>
      <c r="B14" s="85"/>
      <c r="C14" s="86"/>
      <c r="D14" s="86"/>
      <c r="E14" s="86"/>
      <c r="F14" s="87"/>
      <c r="G14" s="9"/>
      <c r="H14" s="23"/>
      <c r="I14" s="24"/>
    </row>
    <row r="15" spans="1:9" x14ac:dyDescent="0.3">
      <c r="A15" s="4"/>
      <c r="B15" s="20"/>
      <c r="C15" s="21"/>
      <c r="D15" s="21"/>
      <c r="E15" s="21"/>
      <c r="F15" s="22"/>
      <c r="G15" s="2"/>
      <c r="H15" s="50"/>
      <c r="I15" s="51"/>
    </row>
    <row r="16" spans="1:9" x14ac:dyDescent="0.3">
      <c r="A16" s="8"/>
      <c r="B16" s="85"/>
      <c r="C16" s="86"/>
      <c r="D16" s="86"/>
      <c r="E16" s="86"/>
      <c r="F16" s="87"/>
      <c r="G16" s="9"/>
      <c r="H16" s="23"/>
      <c r="I16" s="24"/>
    </row>
    <row r="17" spans="1:9" x14ac:dyDescent="0.3">
      <c r="A17" s="5"/>
      <c r="B17" s="20"/>
      <c r="C17" s="21"/>
      <c r="D17" s="21"/>
      <c r="E17" s="21"/>
      <c r="F17" s="22"/>
      <c r="G17" s="3"/>
      <c r="H17" s="18"/>
      <c r="I17" s="19"/>
    </row>
    <row r="18" spans="1:9" x14ac:dyDescent="0.3">
      <c r="A18" s="8"/>
      <c r="B18" s="85"/>
      <c r="C18" s="86"/>
      <c r="D18" s="86"/>
      <c r="E18" s="86"/>
      <c r="F18" s="87"/>
      <c r="G18" s="9"/>
      <c r="H18" s="23"/>
      <c r="I18" s="24"/>
    </row>
    <row r="19" spans="1:9" x14ac:dyDescent="0.3">
      <c r="A19" s="5"/>
      <c r="B19" s="20"/>
      <c r="C19" s="21"/>
      <c r="D19" s="21"/>
      <c r="E19" s="21"/>
      <c r="F19" s="22"/>
      <c r="G19" s="2"/>
      <c r="H19" s="18"/>
      <c r="I19" s="19"/>
    </row>
    <row r="20" spans="1:9" x14ac:dyDescent="0.3">
      <c r="A20" s="8"/>
      <c r="B20" s="88"/>
      <c r="C20" s="89"/>
      <c r="D20" s="89"/>
      <c r="E20" s="90"/>
      <c r="F20" s="91"/>
      <c r="G20" s="9"/>
      <c r="H20" s="23"/>
      <c r="I20" s="24"/>
    </row>
    <row r="21" spans="1:9" ht="21.6" thickBot="1" x14ac:dyDescent="0.35">
      <c r="A21" s="25" t="s">
        <v>15</v>
      </c>
      <c r="B21" s="26"/>
      <c r="C21" s="6"/>
      <c r="D21" s="6"/>
      <c r="E21" s="6"/>
      <c r="F21" s="6"/>
      <c r="G21" s="7"/>
      <c r="H21" s="27" t="s">
        <v>92</v>
      </c>
      <c r="I21" s="28"/>
    </row>
    <row r="22" spans="1:9" ht="16.8" x14ac:dyDescent="0.3">
      <c r="A22" s="12"/>
      <c r="B22" s="13"/>
      <c r="C22" s="13"/>
      <c r="D22" s="14"/>
      <c r="E22" s="31" t="s">
        <v>17</v>
      </c>
      <c r="F22" s="31"/>
      <c r="G22" s="31"/>
      <c r="H22" s="32" t="str">
        <f>H21</f>
        <v>¥.3303000</v>
      </c>
      <c r="I22" s="33"/>
    </row>
    <row r="23" spans="1:9" ht="16.8" x14ac:dyDescent="0.3">
      <c r="A23" s="12"/>
      <c r="B23" s="13"/>
      <c r="C23" s="13"/>
      <c r="D23" s="14"/>
      <c r="E23" s="34" t="s">
        <v>18</v>
      </c>
      <c r="F23" s="34"/>
      <c r="G23" s="34"/>
      <c r="H23" s="35" t="s">
        <v>93</v>
      </c>
      <c r="I23" s="36"/>
    </row>
    <row r="24" spans="1:9" x14ac:dyDescent="0.3">
      <c r="A24" s="12"/>
      <c r="B24" s="13"/>
      <c r="C24" s="13"/>
      <c r="D24" s="14"/>
      <c r="E24" s="37" t="s">
        <v>15</v>
      </c>
      <c r="F24" s="37"/>
      <c r="G24" s="37"/>
      <c r="H24" s="29" t="s">
        <v>94</v>
      </c>
      <c r="I24" s="30"/>
    </row>
    <row r="25" spans="1:9" x14ac:dyDescent="0.3">
      <c r="A25" s="12"/>
      <c r="B25" s="13"/>
      <c r="C25" s="13"/>
      <c r="D25" s="14"/>
      <c r="E25" s="37"/>
      <c r="F25" s="37"/>
      <c r="G25" s="37"/>
      <c r="H25" s="29"/>
      <c r="I25" s="30"/>
    </row>
    <row r="26" spans="1:9" x14ac:dyDescent="0.3">
      <c r="A26" s="12"/>
      <c r="B26" s="13"/>
      <c r="C26" s="13"/>
      <c r="D26" s="14"/>
      <c r="I26" s="15"/>
    </row>
    <row r="27" spans="1:9" x14ac:dyDescent="0.3">
      <c r="A27" s="16"/>
      <c r="I27" s="15"/>
    </row>
    <row r="28" spans="1:9" x14ac:dyDescent="0.3">
      <c r="A28" s="16"/>
      <c r="I28" s="15"/>
    </row>
    <row r="29" spans="1:9" x14ac:dyDescent="0.3">
      <c r="A29" s="16"/>
      <c r="I29" s="15"/>
    </row>
    <row r="30" spans="1:9" x14ac:dyDescent="0.3">
      <c r="A30" s="16"/>
      <c r="I30" s="15"/>
    </row>
    <row r="31" spans="1:9" x14ac:dyDescent="0.3">
      <c r="A31" s="16"/>
      <c r="I31" s="15"/>
    </row>
    <row r="32" spans="1:9" x14ac:dyDescent="0.3">
      <c r="A32" s="16"/>
      <c r="I32" s="15"/>
    </row>
    <row r="33" spans="1:9" x14ac:dyDescent="0.3">
      <c r="A33" s="16"/>
      <c r="I33" s="15"/>
    </row>
    <row r="34" spans="1:9" x14ac:dyDescent="0.3">
      <c r="A34" s="16"/>
      <c r="I34" s="15"/>
    </row>
    <row r="35" spans="1:9" x14ac:dyDescent="0.3">
      <c r="A35" s="17" t="s">
        <v>21</v>
      </c>
      <c r="I35" s="15"/>
    </row>
    <row r="36" spans="1:9" x14ac:dyDescent="0.3">
      <c r="A36" s="16" t="s">
        <v>22</v>
      </c>
      <c r="I36" s="15"/>
    </row>
    <row r="37" spans="1:9" x14ac:dyDescent="0.3">
      <c r="A37" s="16" t="s">
        <v>23</v>
      </c>
      <c r="I37" s="15"/>
    </row>
    <row r="38" spans="1:9" x14ac:dyDescent="0.3">
      <c r="A38" s="16" t="s">
        <v>24</v>
      </c>
      <c r="I38" s="15"/>
    </row>
    <row r="39" spans="1:9" x14ac:dyDescent="0.3">
      <c r="A39" s="16"/>
      <c r="I39" s="15"/>
    </row>
    <row r="40" spans="1:9" x14ac:dyDescent="0.3">
      <c r="A40" s="52" t="s">
        <v>25</v>
      </c>
      <c r="B40" s="53"/>
      <c r="C40" s="53"/>
      <c r="D40" s="53"/>
      <c r="E40" s="53"/>
      <c r="F40" s="53"/>
      <c r="G40" s="53"/>
      <c r="H40" s="53"/>
      <c r="I40" s="54"/>
    </row>
    <row r="41" spans="1:9" ht="15" thickBot="1" x14ac:dyDescent="0.35">
      <c r="A41" s="55"/>
      <c r="B41" s="56"/>
      <c r="C41" s="56"/>
      <c r="D41" s="56"/>
      <c r="E41" s="56"/>
      <c r="F41" s="56"/>
      <c r="G41" s="56"/>
      <c r="H41" s="56"/>
      <c r="I41" s="57"/>
    </row>
  </sheetData>
  <mergeCells count="43">
    <mergeCell ref="A40:I41"/>
    <mergeCell ref="A1:I1"/>
    <mergeCell ref="A2:I2"/>
    <mergeCell ref="E24:G25"/>
    <mergeCell ref="H24:I25"/>
    <mergeCell ref="H20:I20"/>
    <mergeCell ref="A21:B21"/>
    <mergeCell ref="H21:I21"/>
    <mergeCell ref="E22:G22"/>
    <mergeCell ref="H22:I22"/>
    <mergeCell ref="E23:G23"/>
    <mergeCell ref="H23:I23"/>
    <mergeCell ref="B17:F17"/>
    <mergeCell ref="H17:I17"/>
    <mergeCell ref="B18:F18"/>
    <mergeCell ref="H18:I18"/>
    <mergeCell ref="B19:F19"/>
    <mergeCell ref="H19:I19"/>
    <mergeCell ref="B14:F14"/>
    <mergeCell ref="H14:I14"/>
    <mergeCell ref="B15:F15"/>
    <mergeCell ref="H15:I15"/>
    <mergeCell ref="B16:F16"/>
    <mergeCell ref="H16:I16"/>
    <mergeCell ref="B13:F13"/>
    <mergeCell ref="H13:I13"/>
    <mergeCell ref="A7:D7"/>
    <mergeCell ref="E7:I7"/>
    <mergeCell ref="A8:D8"/>
    <mergeCell ref="G8:I8"/>
    <mergeCell ref="A9:D9"/>
    <mergeCell ref="E9:F9"/>
    <mergeCell ref="G9:I9"/>
    <mergeCell ref="A10:D10"/>
    <mergeCell ref="E10:I10"/>
    <mergeCell ref="A11:I11"/>
    <mergeCell ref="B12:F12"/>
    <mergeCell ref="H12:I12"/>
    <mergeCell ref="A4:I4"/>
    <mergeCell ref="A5:I5"/>
    <mergeCell ref="A6:D6"/>
    <mergeCell ref="E6:I6"/>
    <mergeCell ref="A3:I3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87A89119-4ED1-442D-AFCA-24ED3DB728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6FE592-1C1A-48EB-9D04-0E86E2B295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7D97D6-C80C-4754-9BE2-6B6118D55300}">
  <ds:schemaRefs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a3ee3419-f813-43ff-8070-dce059c64b7d"/>
    <ds:schemaRef ds:uri="http://schemas.microsoft.com/office/infopath/2007/PartnerControls"/>
    <ds:schemaRef ds:uri="http://schemas.openxmlformats.org/package/2006/metadata/core-properties"/>
    <ds:schemaRef ds:uri="1e3a9498-45e1-4121-9cf9-83f762cff58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30561 22 SICH</vt:lpstr>
      <vt:lpstr>26941 22 SICH</vt:lpstr>
      <vt:lpstr>26943 22 SICH</vt:lpstr>
      <vt:lpstr>23162 22 SICH</vt:lpstr>
      <vt:lpstr>26569-24 SICH</vt:lpstr>
      <vt:lpstr>26570-24 SICH</vt:lpstr>
      <vt:lpstr>32105 22 SICH</vt:lpstr>
      <vt:lpstr>26998-23 SICH</vt:lpstr>
      <vt:lpstr>50702-23 SICH</vt:lpstr>
      <vt:lpstr>77637-23 SICH</vt:lpstr>
      <vt:lpstr>83023-23 SICH</vt:lpstr>
      <vt:lpstr>26571-24 SICH	</vt:lpstr>
      <vt:lpstr>74341 22 SICH</vt:lpstr>
      <vt:lpstr>26572-24 SICH</vt:lpstr>
      <vt:lpstr>75924 22 SICH</vt:lpstr>
      <vt:lpstr>92145-22 SICH</vt:lpstr>
      <vt:lpstr>93410-22 SICH</vt:lpstr>
      <vt:lpstr>38740 22 SICH</vt:lpstr>
      <vt:lpstr>47669 22 SICH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Banerjee</dc:creator>
  <cp:keywords/>
  <dc:description/>
  <cp:lastModifiedBy>Narender Goud Burri</cp:lastModifiedBy>
  <cp:revision/>
  <cp:lastPrinted>2024-10-09T07:35:19Z</cp:lastPrinted>
  <dcterms:created xsi:type="dcterms:W3CDTF">2022-09-26T06:30:17Z</dcterms:created>
  <dcterms:modified xsi:type="dcterms:W3CDTF">2024-10-09T07:36:56Z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