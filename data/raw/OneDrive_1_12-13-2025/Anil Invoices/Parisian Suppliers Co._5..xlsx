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Anil Invoices/"/>
    </mc:Choice>
  </mc:AlternateContent>
  <xr:revisionPtr revIDLastSave="177" documentId="13_ncr:1_{A99A110C-F31F-4EA5-B5C4-33527A418E16}" xr6:coauthVersionLast="47" xr6:coauthVersionMax="47" xr10:uidLastSave="{D94EA9B9-9085-43DB-AE41-0490D85BD24D}"/>
  <bookViews>
    <workbookView xWindow="28680" yWindow="-120" windowWidth="29040" windowHeight="16440" activeTab="4" xr2:uid="{00000000-000D-0000-FFFF-FFFF00000000}"/>
  </bookViews>
  <sheets>
    <sheet name="11094 22 PASU" sheetId="3" r:id="rId1"/>
    <sheet name="11081 22 PASU" sheetId="2" r:id="rId2"/>
    <sheet name="12950 22 PASU" sheetId="4" r:id="rId3"/>
    <sheet name="13606 22 PASU" sheetId="5" r:id="rId4"/>
    <sheet name="21771 22 PASU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6" l="1"/>
  <c r="G37" i="5"/>
  <c r="G37" i="4"/>
  <c r="G37" i="3"/>
  <c r="G37" i="2"/>
  <c r="G18" i="6" l="1"/>
  <c r="G17" i="6"/>
  <c r="G17" i="5"/>
  <c r="G18" i="5"/>
  <c r="G17" i="4"/>
  <c r="G18" i="4"/>
  <c r="G17" i="3"/>
  <c r="G18" i="3"/>
  <c r="G19" i="3"/>
  <c r="G17" i="2"/>
  <c r="E9" i="6"/>
  <c r="E8" i="6"/>
  <c r="E7" i="6"/>
  <c r="E9" i="5"/>
  <c r="E8" i="5"/>
  <c r="E7" i="5"/>
  <c r="E9" i="4"/>
  <c r="E8" i="4"/>
  <c r="E7" i="4"/>
  <c r="E9" i="3"/>
  <c r="E8" i="3"/>
  <c r="E7" i="3"/>
  <c r="G39" i="2"/>
  <c r="G42" i="2" s="1"/>
  <c r="E9" i="2"/>
  <c r="E8" i="2"/>
  <c r="E7" i="2"/>
  <c r="G39" i="5" l="1"/>
  <c r="G42" i="5" s="1"/>
  <c r="G39" i="4"/>
  <c r="G42" i="4" s="1"/>
  <c r="G39" i="3"/>
  <c r="G42" i="3" s="1"/>
  <c r="G39" i="6"/>
  <c r="G42" i="6" s="1"/>
</calcChain>
</file>

<file path=xl/sharedStrings.xml><?xml version="1.0" encoding="utf-8"?>
<sst xmlns="http://schemas.openxmlformats.org/spreadsheetml/2006/main" count="107" uniqueCount="38">
  <si>
    <t>Parisian Suppliers Co.</t>
  </si>
  <si>
    <t>6650 Reed Trail Suite 613, Nice, Occitanie, FR, 66534</t>
  </si>
  <si>
    <t>INVOICE</t>
  </si>
  <si>
    <t>Facturer à:</t>
  </si>
  <si>
    <t>Expédition à :</t>
  </si>
  <si>
    <t>Steel Horse Auto Assembly NJ Inc</t>
  </si>
  <si>
    <t xml:space="preserve">0015 Angela Mission, Kathyborough, </t>
  </si>
  <si>
    <t>New Jersey, United States</t>
  </si>
  <si>
    <t>INVOICE NUM : 11094/22</t>
  </si>
  <si>
    <t>DATE : 01-03-2022</t>
  </si>
  <si>
    <t>Sl. No.</t>
  </si>
  <si>
    <t>Item name</t>
  </si>
  <si>
    <t xml:space="preserve">Quantity </t>
  </si>
  <si>
    <t>Price</t>
  </si>
  <si>
    <t>Amount</t>
  </si>
  <si>
    <t>Batterie</t>
  </si>
  <si>
    <t>Pompe à huile</t>
  </si>
  <si>
    <t>Promotion Saisonnière</t>
  </si>
  <si>
    <t>Totale</t>
  </si>
  <si>
    <t>Sous-Totale:</t>
  </si>
  <si>
    <t>IMPÔT</t>
  </si>
  <si>
    <t>INVOICE NUM : 11081/22</t>
  </si>
  <si>
    <t>DATE  : 01-03-2022</t>
  </si>
  <si>
    <t>Sièges de luxe</t>
  </si>
  <si>
    <t>INVOICE : 12950/22</t>
  </si>
  <si>
    <t>DATE :06-03-2022</t>
  </si>
  <si>
    <t>Moteur électrique</t>
  </si>
  <si>
    <t>Culasse</t>
  </si>
  <si>
    <t>Récompenses du Programme de Fidélité</t>
  </si>
  <si>
    <t>INVOICE : 13606/22</t>
  </si>
  <si>
    <t>DATE : 11-03-2022</t>
  </si>
  <si>
    <t>Arbre à cames</t>
  </si>
  <si>
    <t>Capteurs de stationnement haut de gamme</t>
  </si>
  <si>
    <t>Programme de Reprise</t>
  </si>
  <si>
    <t>INVOICE : 21711/22</t>
  </si>
  <si>
    <t>DATE : 31-03-2022</t>
  </si>
  <si>
    <t>Panneaux de carrosserie</t>
  </si>
  <si>
    <t>Remise pour Achat en Gros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</si>
</sst>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FRF]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sz val="11"/>
      <color rgb="FF202124"/>
      <name val="Arial"/>
      <family val="2"/>
    </font>
    <font>
      <sz val="12"/>
      <color theme="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9"/>
      <color theme="1"/>
      <name val="Segoe UI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24"/>
      <color theme="0"/>
      <name val="Arial"/>
      <family val="2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vertical="center"/>
    </xf>
    <xf numFmtId="0" fontId="3" fillId="0" borderId="8" xfId="0" applyFont="1" applyBorder="1" applyAlignment="1">
      <alignment horizontal="center"/>
    </xf>
    <xf numFmtId="0" fontId="2" fillId="0" borderId="4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5" fillId="0" borderId="8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vertical="top"/>
    </xf>
    <xf numFmtId="0" fontId="14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164" fontId="8" fillId="0" borderId="5" xfId="0" applyNumberFormat="1" applyFont="1" applyBorder="1"/>
    <xf numFmtId="0" fontId="3" fillId="2" borderId="10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vertical="center"/>
    </xf>
    <xf numFmtId="0" fontId="16" fillId="8" borderId="0" xfId="0" applyFont="1" applyFill="1" applyAlignment="1">
      <alignment vertical="center"/>
    </xf>
    <xf numFmtId="0" fontId="17" fillId="8" borderId="4" xfId="0" applyFont="1" applyFill="1" applyBorder="1" applyAlignment="1">
      <alignment wrapText="1"/>
    </xf>
    <xf numFmtId="0" fontId="17" fillId="8" borderId="0" xfId="0" applyFont="1" applyFill="1" applyAlignment="1">
      <alignment wrapText="1"/>
    </xf>
    <xf numFmtId="0" fontId="17" fillId="8" borderId="4" xfId="0" applyFont="1" applyFill="1" applyBorder="1" applyAlignment="1">
      <alignment horizontal="center"/>
    </xf>
    <xf numFmtId="0" fontId="17" fillId="8" borderId="0" xfId="0" applyFont="1" applyFill="1" applyAlignment="1">
      <alignment horizontal="center"/>
    </xf>
    <xf numFmtId="0" fontId="2" fillId="0" borderId="0" xfId="0" applyFont="1"/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4" fontId="0" fillId="0" borderId="0" xfId="0" applyNumberFormat="1"/>
    <xf numFmtId="0" fontId="6" fillId="8" borderId="3" xfId="0" applyFont="1" applyFill="1" applyBorder="1" applyAlignment="1">
      <alignment vertical="center"/>
    </xf>
    <xf numFmtId="0" fontId="6" fillId="8" borderId="5" xfId="0" applyFont="1" applyFill="1" applyBorder="1" applyAlignment="1">
      <alignment vertical="center"/>
    </xf>
    <xf numFmtId="164" fontId="8" fillId="2" borderId="12" xfId="1" applyNumberFormat="1" applyFont="1" applyFill="1" applyBorder="1" applyAlignment="1">
      <alignment horizontal="center" vertical="center"/>
    </xf>
    <xf numFmtId="164" fontId="8" fillId="2" borderId="13" xfId="1" applyNumberFormat="1" applyFont="1" applyFill="1" applyBorder="1" applyAlignment="1">
      <alignment horizontal="center" vertical="center"/>
    </xf>
    <xf numFmtId="164" fontId="8" fillId="2" borderId="14" xfId="1" applyNumberFormat="1" applyFont="1" applyFill="1" applyBorder="1" applyAlignment="1">
      <alignment horizontal="center" vertical="center"/>
    </xf>
    <xf numFmtId="164" fontId="8" fillId="0" borderId="12" xfId="1" applyNumberFormat="1" applyFont="1" applyBorder="1" applyAlignment="1">
      <alignment horizontal="center" vertical="center"/>
    </xf>
    <xf numFmtId="164" fontId="8" fillId="0" borderId="13" xfId="1" applyNumberFormat="1" applyFont="1" applyBorder="1" applyAlignment="1">
      <alignment horizontal="center" vertical="center"/>
    </xf>
    <xf numFmtId="164" fontId="8" fillId="0" borderId="14" xfId="1" applyNumberFormat="1" applyFont="1" applyBorder="1" applyAlignment="1">
      <alignment horizontal="center" vertical="center"/>
    </xf>
    <xf numFmtId="0" fontId="3" fillId="7" borderId="6" xfId="0" applyFont="1" applyFill="1" applyBorder="1" applyAlignment="1">
      <alignment horizontal="left" vertical="center"/>
    </xf>
    <xf numFmtId="164" fontId="8" fillId="7" borderId="6" xfId="1" applyNumberFormat="1" applyFont="1" applyFill="1" applyBorder="1" applyAlignment="1">
      <alignment horizontal="center" vertical="center"/>
    </xf>
    <xf numFmtId="164" fontId="8" fillId="7" borderId="21" xfId="1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3" fillId="2" borderId="6" xfId="0" applyFont="1" applyFill="1" applyBorder="1" applyAlignment="1">
      <alignment horizontal="left" vertical="center"/>
    </xf>
    <xf numFmtId="0" fontId="3" fillId="7" borderId="12" xfId="0" applyFont="1" applyFill="1" applyBorder="1" applyAlignment="1">
      <alignment horizontal="left" vertical="center"/>
    </xf>
    <xf numFmtId="0" fontId="3" fillId="7" borderId="13" xfId="0" applyFont="1" applyFill="1" applyBorder="1" applyAlignment="1">
      <alignment horizontal="left" vertical="center"/>
    </xf>
    <xf numFmtId="0" fontId="3" fillId="7" borderId="15" xfId="0" applyFont="1" applyFill="1" applyBorder="1" applyAlignment="1">
      <alignment horizontal="left" vertical="center"/>
    </xf>
    <xf numFmtId="164" fontId="8" fillId="7" borderId="12" xfId="1" applyNumberFormat="1" applyFont="1" applyFill="1" applyBorder="1" applyAlignment="1">
      <alignment horizontal="center" vertical="center"/>
    </xf>
    <xf numFmtId="164" fontId="8" fillId="7" borderId="13" xfId="1" applyNumberFormat="1" applyFont="1" applyFill="1" applyBorder="1" applyAlignment="1">
      <alignment horizontal="center" vertical="center"/>
    </xf>
    <xf numFmtId="164" fontId="8" fillId="7" borderId="14" xfId="1" applyNumberFormat="1" applyFont="1" applyFill="1" applyBorder="1" applyAlignment="1">
      <alignment horizontal="center" vertical="center"/>
    </xf>
    <xf numFmtId="164" fontId="8" fillId="2" borderId="6" xfId="1" applyNumberFormat="1" applyFont="1" applyFill="1" applyBorder="1" applyAlignment="1">
      <alignment horizontal="center" vertical="center"/>
    </xf>
    <xf numFmtId="164" fontId="8" fillId="2" borderId="21" xfId="1" applyNumberFormat="1" applyFont="1" applyFill="1" applyBorder="1" applyAlignment="1">
      <alignment horizontal="center" vertical="center"/>
    </xf>
    <xf numFmtId="164" fontId="8" fillId="0" borderId="6" xfId="1" applyNumberFormat="1" applyFont="1" applyBorder="1" applyAlignment="1">
      <alignment horizontal="center" vertical="center"/>
    </xf>
    <xf numFmtId="164" fontId="8" fillId="0" borderId="21" xfId="1" applyNumberFormat="1" applyFont="1" applyBorder="1" applyAlignment="1">
      <alignment horizontal="center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164" fontId="12" fillId="0" borderId="0" xfId="0" applyNumberFormat="1" applyFont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164" fontId="12" fillId="0" borderId="8" xfId="0" applyNumberFormat="1" applyFont="1" applyBorder="1" applyAlignment="1">
      <alignment horizontal="center" vertical="center"/>
    </xf>
    <xf numFmtId="164" fontId="12" fillId="0" borderId="9" xfId="0" applyNumberFormat="1" applyFont="1" applyBorder="1" applyAlignment="1">
      <alignment horizontal="center" vertical="center"/>
    </xf>
    <xf numFmtId="164" fontId="10" fillId="4" borderId="16" xfId="1" applyNumberFormat="1" applyFont="1" applyFill="1" applyBorder="1" applyAlignment="1">
      <alignment horizontal="center" vertical="center"/>
    </xf>
    <xf numFmtId="164" fontId="10" fillId="4" borderId="17" xfId="1" applyNumberFormat="1" applyFont="1" applyFill="1" applyBorder="1" applyAlignment="1">
      <alignment horizontal="center" vertical="center"/>
    </xf>
    <xf numFmtId="164" fontId="10" fillId="4" borderId="18" xfId="1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11" fillId="3" borderId="0" xfId="0" applyNumberFormat="1" applyFont="1" applyFill="1" applyAlignment="1">
      <alignment horizontal="center"/>
    </xf>
    <xf numFmtId="164" fontId="11" fillId="3" borderId="5" xfId="0" applyNumberFormat="1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3" fillId="6" borderId="4" xfId="0" applyFont="1" applyFill="1" applyBorder="1"/>
    <xf numFmtId="0" fontId="3" fillId="6" borderId="0" xfId="0" applyFont="1" applyFill="1"/>
    <xf numFmtId="0" fontId="3" fillId="6" borderId="5" xfId="0" applyFont="1" applyFill="1" applyBorder="1"/>
    <xf numFmtId="0" fontId="3" fillId="0" borderId="4" xfId="0" applyFont="1" applyBorder="1"/>
    <xf numFmtId="0" fontId="3" fillId="0" borderId="0" xfId="0" applyFont="1"/>
    <xf numFmtId="0" fontId="3" fillId="0" borderId="11" xfId="0" applyFont="1" applyBorder="1"/>
    <xf numFmtId="0" fontId="3" fillId="0" borderId="5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6" fillId="5" borderId="4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wrapText="1"/>
    </xf>
    <xf numFmtId="0" fontId="17" fillId="8" borderId="0" xfId="0" applyFont="1" applyFill="1" applyAlignment="1">
      <alignment horizontal="center" wrapText="1"/>
    </xf>
    <xf numFmtId="0" fontId="9" fillId="4" borderId="27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7" fillId="0" borderId="12" xfId="0" applyFont="1" applyBorder="1"/>
    <xf numFmtId="0" fontId="7" fillId="0" borderId="13" xfId="0" applyFont="1" applyBorder="1"/>
    <xf numFmtId="0" fontId="7" fillId="0" borderId="15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28" xfId="0" applyFont="1" applyBorder="1"/>
    <xf numFmtId="0" fontId="3" fillId="0" borderId="9" xfId="0" applyFont="1" applyBorder="1"/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77544</xdr:colOff>
      <xdr:row>0</xdr:row>
      <xdr:rowOff>-1905</xdr:rowOff>
    </xdr:from>
    <xdr:to>
      <xdr:col>8</xdr:col>
      <xdr:colOff>600879</xdr:colOff>
      <xdr:row>3</xdr:row>
      <xdr:rowOff>179069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4292C0-C34F-4ACF-D326-9CA6C4F52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3369" y="-1905"/>
          <a:ext cx="1132935" cy="885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95250</xdr:colOff>
      <xdr:row>0</xdr:row>
      <xdr:rowOff>0</xdr:rowOff>
    </xdr:from>
    <xdr:ext cx="1123950" cy="885825"/>
    <xdr:pic>
      <xdr:nvPicPr>
        <xdr:cNvPr id="3" name="Picture 2">
          <a:extLst>
            <a:ext uri="{FF2B5EF4-FFF2-40B4-BE49-F238E27FC236}">
              <a16:creationId xmlns:a16="http://schemas.microsoft.com/office/drawing/2014/main" id="{944FD671-AFF2-4323-A026-9D0CF0039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9150" y="0"/>
          <a:ext cx="1123950" cy="88582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95250</xdr:colOff>
      <xdr:row>0</xdr:row>
      <xdr:rowOff>0</xdr:rowOff>
    </xdr:from>
    <xdr:ext cx="1114425" cy="876300"/>
    <xdr:pic>
      <xdr:nvPicPr>
        <xdr:cNvPr id="4" name="Picture 3">
          <a:extLst>
            <a:ext uri="{FF2B5EF4-FFF2-40B4-BE49-F238E27FC236}">
              <a16:creationId xmlns:a16="http://schemas.microsoft.com/office/drawing/2014/main" id="{E1480683-59DA-4FEF-9CB2-070C87D68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7775" y="0"/>
          <a:ext cx="1114425" cy="8763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247650</xdr:colOff>
      <xdr:row>0</xdr:row>
      <xdr:rowOff>0</xdr:rowOff>
    </xdr:from>
    <xdr:ext cx="1123950" cy="866775"/>
    <xdr:pic>
      <xdr:nvPicPr>
        <xdr:cNvPr id="4" name="Picture 3">
          <a:extLst>
            <a:ext uri="{FF2B5EF4-FFF2-40B4-BE49-F238E27FC236}">
              <a16:creationId xmlns:a16="http://schemas.microsoft.com/office/drawing/2014/main" id="{275BA844-B61F-4B78-BEC8-DB6387CC8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4425" y="0"/>
          <a:ext cx="1123950" cy="8667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66675</xdr:colOff>
      <xdr:row>0</xdr:row>
      <xdr:rowOff>0</xdr:rowOff>
    </xdr:from>
    <xdr:ext cx="1133475" cy="866775"/>
    <xdr:pic>
      <xdr:nvPicPr>
        <xdr:cNvPr id="4" name="Picture 3">
          <a:extLst>
            <a:ext uri="{FF2B5EF4-FFF2-40B4-BE49-F238E27FC236}">
              <a16:creationId xmlns:a16="http://schemas.microsoft.com/office/drawing/2014/main" id="{82DD2791-810C-4D8A-82B3-89E0084D9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1525" y="0"/>
          <a:ext cx="1133475" cy="866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74ED-44D7-424E-B91D-1B5132015F33}">
  <dimension ref="A1:K42"/>
  <sheetViews>
    <sheetView showGridLines="0" view="pageBreakPreview" topLeftCell="A6" zoomScale="60" zoomScaleNormal="100" workbookViewId="0">
      <selection activeCell="G37" sqref="G37:I37"/>
    </sheetView>
  </sheetViews>
  <sheetFormatPr defaultRowHeight="15" x14ac:dyDescent="0.25"/>
  <cols>
    <col min="4" max="4" width="15.5703125" customWidth="1"/>
    <col min="11" max="11" width="10.28515625" bestFit="1" customWidth="1"/>
  </cols>
  <sheetData>
    <row r="1" spans="1:11" ht="25.9" customHeight="1" x14ac:dyDescent="0.25">
      <c r="A1" s="105" t="s">
        <v>0</v>
      </c>
      <c r="B1" s="106"/>
      <c r="C1" s="106"/>
      <c r="D1" s="106"/>
      <c r="E1" s="106"/>
      <c r="F1" s="106"/>
      <c r="G1" s="106"/>
      <c r="H1" s="23"/>
      <c r="I1" s="33"/>
    </row>
    <row r="2" spans="1:11" ht="15.6" customHeight="1" x14ac:dyDescent="0.25">
      <c r="A2" s="107" t="s">
        <v>1</v>
      </c>
      <c r="B2" s="108"/>
      <c r="C2" s="108"/>
      <c r="D2" s="108"/>
      <c r="E2" s="108"/>
      <c r="F2" s="108"/>
      <c r="G2" s="108"/>
      <c r="H2" s="24"/>
      <c r="I2" s="34"/>
    </row>
    <row r="3" spans="1:11" ht="15.6" customHeight="1" x14ac:dyDescent="0.25">
      <c r="A3" s="27"/>
      <c r="B3" s="28"/>
      <c r="C3" s="28"/>
      <c r="D3" s="28"/>
      <c r="E3" s="28"/>
      <c r="F3" s="28"/>
      <c r="G3" s="24"/>
      <c r="H3" s="24"/>
      <c r="I3" s="34"/>
    </row>
    <row r="4" spans="1:11" ht="15.6" customHeight="1" x14ac:dyDescent="0.25">
      <c r="A4" s="25"/>
      <c r="B4" s="26"/>
      <c r="C4" s="26"/>
      <c r="D4" s="26"/>
      <c r="E4" s="26"/>
      <c r="F4" s="26"/>
      <c r="G4" s="24"/>
      <c r="H4" s="24"/>
      <c r="I4" s="34"/>
    </row>
    <row r="5" spans="1:11" ht="30" x14ac:dyDescent="0.25">
      <c r="A5" s="102" t="s">
        <v>2</v>
      </c>
      <c r="B5" s="103"/>
      <c r="C5" s="103"/>
      <c r="D5" s="103"/>
      <c r="E5" s="103"/>
      <c r="F5" s="103"/>
      <c r="G5" s="103"/>
      <c r="H5" s="103"/>
      <c r="I5" s="104"/>
    </row>
    <row r="6" spans="1:11" x14ac:dyDescent="0.25">
      <c r="A6" s="98" t="s">
        <v>3</v>
      </c>
      <c r="B6" s="99"/>
      <c r="C6" s="99"/>
      <c r="D6" s="100"/>
      <c r="E6" s="99" t="s">
        <v>4</v>
      </c>
      <c r="F6" s="99"/>
      <c r="G6" s="99"/>
      <c r="H6" s="99"/>
      <c r="I6" s="101"/>
    </row>
    <row r="7" spans="1:11" x14ac:dyDescent="0.25">
      <c r="A7" s="84" t="s">
        <v>5</v>
      </c>
      <c r="B7" s="85"/>
      <c r="C7" s="85"/>
      <c r="D7" s="86"/>
      <c r="E7" s="85" t="str">
        <f>A7</f>
        <v>Steel Horse Auto Assembly NJ Inc</v>
      </c>
      <c r="F7" s="85"/>
      <c r="G7" s="85"/>
      <c r="H7" s="85"/>
      <c r="I7" s="87"/>
    </row>
    <row r="8" spans="1:11" x14ac:dyDescent="0.25">
      <c r="A8" s="84" t="s">
        <v>6</v>
      </c>
      <c r="B8" s="85"/>
      <c r="C8" s="85"/>
      <c r="D8" s="86"/>
      <c r="E8" s="85" t="str">
        <f t="shared" ref="E8:E9" si="0">A8</f>
        <v xml:space="preserve">0015 Angela Mission, Kathyborough, </v>
      </c>
      <c r="F8" s="85"/>
      <c r="G8" s="85"/>
      <c r="H8" s="85"/>
      <c r="I8" s="87"/>
    </row>
    <row r="9" spans="1:11" ht="15.75" thickBot="1" x14ac:dyDescent="0.3">
      <c r="A9" s="84" t="s">
        <v>7</v>
      </c>
      <c r="B9" s="85"/>
      <c r="C9" s="85"/>
      <c r="D9" s="86"/>
      <c r="E9" s="85" t="str">
        <f t="shared" si="0"/>
        <v>New Jersey, United States</v>
      </c>
      <c r="F9" s="85"/>
      <c r="G9" s="85"/>
      <c r="H9" s="85"/>
      <c r="I9" s="87"/>
    </row>
    <row r="10" spans="1:11" x14ac:dyDescent="0.25">
      <c r="A10" s="88" t="s">
        <v>8</v>
      </c>
      <c r="B10" s="89"/>
      <c r="C10" s="89"/>
      <c r="D10" s="90"/>
      <c r="E10" s="94" t="s">
        <v>9</v>
      </c>
      <c r="F10" s="89"/>
      <c r="G10" s="89"/>
      <c r="H10" s="89"/>
      <c r="I10" s="95"/>
    </row>
    <row r="11" spans="1:11" x14ac:dyDescent="0.25">
      <c r="A11" s="91"/>
      <c r="B11" s="92"/>
      <c r="C11" s="92"/>
      <c r="D11" s="93"/>
      <c r="E11" s="96"/>
      <c r="F11" s="92"/>
      <c r="G11" s="92"/>
      <c r="H11" s="92"/>
      <c r="I11" s="97"/>
    </row>
    <row r="12" spans="1:11" x14ac:dyDescent="0.25">
      <c r="A12" s="91"/>
      <c r="B12" s="92"/>
      <c r="C12" s="92"/>
      <c r="D12" s="93"/>
      <c r="E12" s="96"/>
      <c r="F12" s="92"/>
      <c r="G12" s="92"/>
      <c r="H12" s="92"/>
      <c r="I12" s="97"/>
      <c r="K12" s="32"/>
    </row>
    <row r="13" spans="1:11" x14ac:dyDescent="0.25">
      <c r="A13" s="81"/>
      <c r="B13" s="82"/>
      <c r="C13" s="82"/>
      <c r="D13" s="82"/>
      <c r="E13" s="82"/>
      <c r="F13" s="82"/>
      <c r="G13" s="82"/>
      <c r="H13" s="82"/>
      <c r="I13" s="83"/>
    </row>
    <row r="14" spans="1:11" x14ac:dyDescent="0.25">
      <c r="A14" s="5" t="s">
        <v>10</v>
      </c>
      <c r="B14" s="78" t="s">
        <v>11</v>
      </c>
      <c r="C14" s="78"/>
      <c r="D14" s="78"/>
      <c r="E14" s="7" t="s">
        <v>12</v>
      </c>
      <c r="F14" s="6" t="s">
        <v>13</v>
      </c>
      <c r="G14" s="79" t="s">
        <v>14</v>
      </c>
      <c r="H14" s="79"/>
      <c r="I14" s="80"/>
    </row>
    <row r="15" spans="1:11" x14ac:dyDescent="0.25">
      <c r="A15" s="2"/>
      <c r="B15" s="44"/>
      <c r="C15" s="44"/>
      <c r="D15" s="44"/>
      <c r="E15" s="1"/>
      <c r="F15" s="1"/>
      <c r="G15" s="58"/>
      <c r="H15" s="58"/>
      <c r="I15" s="59"/>
    </row>
    <row r="16" spans="1:11" x14ac:dyDescent="0.25">
      <c r="A16" s="3"/>
      <c r="B16" s="41"/>
      <c r="C16" s="41"/>
      <c r="D16" s="41"/>
      <c r="E16" s="4"/>
      <c r="F16" s="4"/>
      <c r="G16" s="42"/>
      <c r="H16" s="42"/>
      <c r="I16" s="43"/>
    </row>
    <row r="17" spans="1:9" x14ac:dyDescent="0.25">
      <c r="A17" s="2">
        <v>1</v>
      </c>
      <c r="B17" s="44" t="s">
        <v>15</v>
      </c>
      <c r="C17" s="44"/>
      <c r="D17" s="44"/>
      <c r="E17" s="1">
        <v>1000</v>
      </c>
      <c r="F17" s="1">
        <v>2556</v>
      </c>
      <c r="G17" s="58">
        <f>E17*F17</f>
        <v>2556000</v>
      </c>
      <c r="H17" s="58"/>
      <c r="I17" s="59"/>
    </row>
    <row r="18" spans="1:9" x14ac:dyDescent="0.25">
      <c r="A18" s="3">
        <v>2</v>
      </c>
      <c r="B18" s="41" t="s">
        <v>16</v>
      </c>
      <c r="C18" s="41"/>
      <c r="D18" s="41"/>
      <c r="E18" s="4">
        <v>2000</v>
      </c>
      <c r="F18" s="4">
        <v>2198</v>
      </c>
      <c r="G18" s="42">
        <f>+E18*F18</f>
        <v>4396000</v>
      </c>
      <c r="H18" s="42"/>
      <c r="I18" s="43"/>
    </row>
    <row r="19" spans="1:9" x14ac:dyDescent="0.25">
      <c r="A19" s="22">
        <v>3</v>
      </c>
      <c r="B19" s="60" t="s">
        <v>17</v>
      </c>
      <c r="C19" s="61"/>
      <c r="D19" s="62"/>
      <c r="E19" s="19">
        <v>1000</v>
      </c>
      <c r="F19" s="19">
        <v>200</v>
      </c>
      <c r="G19" s="35">
        <f>+E19*F19</f>
        <v>200000</v>
      </c>
      <c r="H19" s="36"/>
      <c r="I19" s="37"/>
    </row>
    <row r="20" spans="1:9" x14ac:dyDescent="0.25">
      <c r="A20" s="3"/>
      <c r="B20" s="41"/>
      <c r="C20" s="41"/>
      <c r="D20" s="41"/>
      <c r="E20" s="4"/>
      <c r="F20" s="4"/>
      <c r="G20" s="42"/>
      <c r="H20" s="42"/>
      <c r="I20" s="43"/>
    </row>
    <row r="21" spans="1:9" x14ac:dyDescent="0.25">
      <c r="A21" s="22"/>
      <c r="B21" s="49"/>
      <c r="C21" s="49"/>
      <c r="D21" s="49"/>
      <c r="E21" s="19"/>
      <c r="F21" s="19"/>
      <c r="G21" s="56"/>
      <c r="H21" s="56"/>
      <c r="I21" s="57"/>
    </row>
    <row r="22" spans="1:9" x14ac:dyDescent="0.25">
      <c r="A22" s="30"/>
      <c r="B22" s="44"/>
      <c r="C22" s="44"/>
      <c r="D22" s="44"/>
      <c r="E22" s="31"/>
      <c r="F22" s="31"/>
      <c r="G22" s="44"/>
      <c r="H22" s="44"/>
      <c r="I22" s="45"/>
    </row>
    <row r="23" spans="1:9" x14ac:dyDescent="0.25">
      <c r="A23" s="2"/>
      <c r="B23" s="44"/>
      <c r="C23" s="44"/>
      <c r="D23" s="44"/>
      <c r="E23" s="1"/>
      <c r="F23" s="1"/>
      <c r="G23" s="58"/>
      <c r="H23" s="58"/>
      <c r="I23" s="59"/>
    </row>
    <row r="24" spans="1:9" x14ac:dyDescent="0.25">
      <c r="A24" s="3"/>
      <c r="B24" s="41"/>
      <c r="C24" s="41"/>
      <c r="D24" s="41"/>
      <c r="E24" s="4"/>
      <c r="F24" s="4"/>
      <c r="G24" s="42"/>
      <c r="H24" s="42"/>
      <c r="I24" s="43"/>
    </row>
    <row r="25" spans="1:9" x14ac:dyDescent="0.25">
      <c r="A25" s="22"/>
      <c r="B25" s="49"/>
      <c r="C25" s="49"/>
      <c r="D25" s="49"/>
      <c r="E25" s="19"/>
      <c r="F25" s="19"/>
      <c r="G25" s="56"/>
      <c r="H25" s="56"/>
      <c r="I25" s="57"/>
    </row>
    <row r="26" spans="1:9" x14ac:dyDescent="0.25">
      <c r="A26" s="30"/>
      <c r="B26" s="44"/>
      <c r="C26" s="44"/>
      <c r="D26" s="44"/>
      <c r="E26" s="31"/>
      <c r="F26" s="31"/>
      <c r="G26" s="44"/>
      <c r="H26" s="44"/>
      <c r="I26" s="45"/>
    </row>
    <row r="27" spans="1:9" x14ac:dyDescent="0.25">
      <c r="A27" s="2"/>
      <c r="B27" s="44"/>
      <c r="C27" s="44"/>
      <c r="D27" s="44"/>
      <c r="E27" s="1"/>
      <c r="F27" s="1"/>
      <c r="G27" s="38"/>
      <c r="H27" s="39"/>
      <c r="I27" s="40"/>
    </row>
    <row r="28" spans="1:9" x14ac:dyDescent="0.25">
      <c r="A28" s="3"/>
      <c r="B28" s="41"/>
      <c r="C28" s="41"/>
      <c r="D28" s="41"/>
      <c r="E28" s="4"/>
      <c r="F28" s="4"/>
      <c r="G28" s="53"/>
      <c r="H28" s="54"/>
      <c r="I28" s="55"/>
    </row>
    <row r="29" spans="1:9" x14ac:dyDescent="0.25">
      <c r="A29" s="22"/>
      <c r="B29" s="49"/>
      <c r="C29" s="49"/>
      <c r="D29" s="49"/>
      <c r="E29" s="19"/>
      <c r="F29" s="19"/>
      <c r="G29" s="35"/>
      <c r="H29" s="36"/>
      <c r="I29" s="37"/>
    </row>
    <row r="30" spans="1:9" x14ac:dyDescent="0.25">
      <c r="A30" s="30"/>
      <c r="B30" s="46"/>
      <c r="C30" s="47"/>
      <c r="D30" s="48"/>
      <c r="E30" s="31"/>
      <c r="F30" s="31"/>
      <c r="G30" s="44"/>
      <c r="H30" s="44"/>
      <c r="I30" s="45"/>
    </row>
    <row r="31" spans="1:9" x14ac:dyDescent="0.25">
      <c r="A31" s="2"/>
      <c r="B31" s="46"/>
      <c r="C31" s="47"/>
      <c r="D31" s="48"/>
      <c r="E31" s="1"/>
      <c r="F31" s="1"/>
      <c r="G31" s="38"/>
      <c r="H31" s="39"/>
      <c r="I31" s="40"/>
    </row>
    <row r="32" spans="1:9" x14ac:dyDescent="0.25">
      <c r="A32" s="3"/>
      <c r="B32" s="50"/>
      <c r="C32" s="51"/>
      <c r="D32" s="52"/>
      <c r="E32" s="4"/>
      <c r="F32" s="4"/>
      <c r="G32" s="53"/>
      <c r="H32" s="54"/>
      <c r="I32" s="55"/>
    </row>
    <row r="33" spans="1:9" x14ac:dyDescent="0.25">
      <c r="A33" s="22"/>
      <c r="B33" s="60"/>
      <c r="C33" s="61"/>
      <c r="D33" s="62"/>
      <c r="E33" s="19"/>
      <c r="F33" s="19"/>
      <c r="G33" s="35"/>
      <c r="H33" s="36"/>
      <c r="I33" s="37"/>
    </row>
    <row r="34" spans="1:9" x14ac:dyDescent="0.25">
      <c r="A34" s="30"/>
      <c r="B34" s="44"/>
      <c r="C34" s="44"/>
      <c r="D34" s="44"/>
      <c r="E34" s="31"/>
      <c r="F34" s="31"/>
      <c r="G34" s="44"/>
      <c r="H34" s="44"/>
      <c r="I34" s="45"/>
    </row>
    <row r="35" spans="1:9" x14ac:dyDescent="0.25">
      <c r="A35" s="2"/>
      <c r="B35" s="46"/>
      <c r="C35" s="47"/>
      <c r="D35" s="48"/>
      <c r="E35" s="1"/>
      <c r="F35" s="1"/>
      <c r="G35" s="38"/>
      <c r="H35" s="39"/>
      <c r="I35" s="40"/>
    </row>
    <row r="36" spans="1:9" x14ac:dyDescent="0.25">
      <c r="A36" s="3"/>
      <c r="B36" s="50"/>
      <c r="C36" s="51"/>
      <c r="D36" s="52"/>
      <c r="E36" s="4"/>
      <c r="F36" s="4"/>
      <c r="G36" s="53"/>
      <c r="H36" s="54"/>
      <c r="I36" s="55"/>
    </row>
    <row r="37" spans="1:9" ht="20.25" x14ac:dyDescent="0.25">
      <c r="A37" s="75" t="s">
        <v>18</v>
      </c>
      <c r="B37" s="76"/>
      <c r="C37" s="76"/>
      <c r="D37" s="76"/>
      <c r="E37" s="76"/>
      <c r="F37" s="77"/>
      <c r="G37" s="67">
        <f>SUM(G17:I36)</f>
        <v>7152000</v>
      </c>
      <c r="H37" s="68"/>
      <c r="I37" s="69"/>
    </row>
    <row r="38" spans="1:9" x14ac:dyDescent="0.25">
      <c r="A38" s="70"/>
      <c r="B38" s="71"/>
      <c r="C38" s="71"/>
      <c r="D38" s="71"/>
      <c r="E38" s="71"/>
      <c r="F38" s="71"/>
      <c r="G38" s="71"/>
      <c r="H38" s="71"/>
      <c r="I38" s="72"/>
    </row>
    <row r="39" spans="1:9" ht="20.25" x14ac:dyDescent="0.25">
      <c r="A39" s="9"/>
      <c r="B39" s="16"/>
      <c r="C39" s="16"/>
      <c r="D39" s="14"/>
      <c r="E39" s="17" t="s">
        <v>19</v>
      </c>
      <c r="F39" s="18"/>
      <c r="G39" s="73">
        <f>G37</f>
        <v>7152000</v>
      </c>
      <c r="H39" s="73"/>
      <c r="I39" s="74"/>
    </row>
    <row r="40" spans="1:9" ht="15.75" x14ac:dyDescent="0.25">
      <c r="A40" s="9"/>
      <c r="B40" s="16"/>
      <c r="C40" s="16"/>
      <c r="D40" s="14"/>
      <c r="E40" s="29" t="s">
        <v>20</v>
      </c>
      <c r="F40" s="29"/>
      <c r="G40" s="63">
        <v>726362</v>
      </c>
      <c r="H40" s="63"/>
      <c r="I40" s="64"/>
    </row>
    <row r="41" spans="1:9" ht="3.6" customHeight="1" x14ac:dyDescent="0.25">
      <c r="A41" s="9"/>
      <c r="B41" s="16"/>
      <c r="C41" s="16"/>
      <c r="D41" s="14"/>
      <c r="E41" s="15"/>
      <c r="F41" s="15"/>
      <c r="G41" s="20"/>
      <c r="H41" s="20"/>
      <c r="I41" s="21"/>
    </row>
    <row r="42" spans="1:9" ht="21" thickBot="1" x14ac:dyDescent="0.3">
      <c r="A42" s="10"/>
      <c r="B42" s="11"/>
      <c r="C42" s="11"/>
      <c r="D42" s="8"/>
      <c r="E42" s="12" t="s">
        <v>18</v>
      </c>
      <c r="F42" s="12"/>
      <c r="G42" s="65">
        <f>G39+G40</f>
        <v>7878362</v>
      </c>
      <c r="H42" s="65"/>
      <c r="I42" s="66"/>
    </row>
  </sheetData>
  <mergeCells count="66">
    <mergeCell ref="A6:D6"/>
    <mergeCell ref="E6:I6"/>
    <mergeCell ref="A5:I5"/>
    <mergeCell ref="A1:G1"/>
    <mergeCell ref="A2:G2"/>
    <mergeCell ref="A13:I13"/>
    <mergeCell ref="A7:D7"/>
    <mergeCell ref="E7:I7"/>
    <mergeCell ref="A8:D8"/>
    <mergeCell ref="E8:I8"/>
    <mergeCell ref="A9:D9"/>
    <mergeCell ref="E9:I9"/>
    <mergeCell ref="A10:D12"/>
    <mergeCell ref="E10:I12"/>
    <mergeCell ref="B14:D14"/>
    <mergeCell ref="G14:I14"/>
    <mergeCell ref="B15:D15"/>
    <mergeCell ref="G15:I15"/>
    <mergeCell ref="B16:D16"/>
    <mergeCell ref="G16:I16"/>
    <mergeCell ref="G40:I40"/>
    <mergeCell ref="G42:I42"/>
    <mergeCell ref="B36:D36"/>
    <mergeCell ref="G36:I36"/>
    <mergeCell ref="G37:I37"/>
    <mergeCell ref="A38:I38"/>
    <mergeCell ref="G39:I39"/>
    <mergeCell ref="A37:F37"/>
    <mergeCell ref="B35:D35"/>
    <mergeCell ref="B17:D17"/>
    <mergeCell ref="G17:I17"/>
    <mergeCell ref="B34:D34"/>
    <mergeCell ref="G34:I34"/>
    <mergeCell ref="B33:D33"/>
    <mergeCell ref="B19:D19"/>
    <mergeCell ref="G19:I19"/>
    <mergeCell ref="B20:D20"/>
    <mergeCell ref="G20:I20"/>
    <mergeCell ref="B21:D21"/>
    <mergeCell ref="G21:I21"/>
    <mergeCell ref="B23:D23"/>
    <mergeCell ref="G23:I23"/>
    <mergeCell ref="B24:D24"/>
    <mergeCell ref="G24:I24"/>
    <mergeCell ref="B25:D25"/>
    <mergeCell ref="G25:I25"/>
    <mergeCell ref="B27:D27"/>
    <mergeCell ref="G27:I27"/>
    <mergeCell ref="B28:D28"/>
    <mergeCell ref="G28:I28"/>
    <mergeCell ref="G33:I33"/>
    <mergeCell ref="G35:I35"/>
    <mergeCell ref="B18:D18"/>
    <mergeCell ref="G18:I18"/>
    <mergeCell ref="G22:I22"/>
    <mergeCell ref="B22:D22"/>
    <mergeCell ref="B26:D26"/>
    <mergeCell ref="B30:D30"/>
    <mergeCell ref="G26:I26"/>
    <mergeCell ref="G30:I30"/>
    <mergeCell ref="B29:D29"/>
    <mergeCell ref="G29:I29"/>
    <mergeCell ref="B31:D31"/>
    <mergeCell ref="G31:I31"/>
    <mergeCell ref="B32:D32"/>
    <mergeCell ref="G32:I3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359D-76C6-4E7F-9412-9D18E5C8348E}">
  <dimension ref="A1:K42"/>
  <sheetViews>
    <sheetView showGridLines="0" view="pageBreakPreview" zoomScale="60" zoomScaleNormal="100" workbookViewId="0">
      <selection sqref="A1:G1"/>
    </sheetView>
  </sheetViews>
  <sheetFormatPr defaultRowHeight="15" x14ac:dyDescent="0.25"/>
  <cols>
    <col min="4" max="4" width="13.140625" customWidth="1"/>
  </cols>
  <sheetData>
    <row r="1" spans="1:11" ht="25.9" customHeight="1" x14ac:dyDescent="0.25">
      <c r="A1" s="105" t="s">
        <v>0</v>
      </c>
      <c r="B1" s="106"/>
      <c r="C1" s="106"/>
      <c r="D1" s="106"/>
      <c r="E1" s="106"/>
      <c r="F1" s="106"/>
      <c r="G1" s="106"/>
      <c r="H1" s="23"/>
      <c r="I1" s="33"/>
    </row>
    <row r="2" spans="1:11" ht="15.6" customHeight="1" x14ac:dyDescent="0.25">
      <c r="A2" s="107" t="s">
        <v>1</v>
      </c>
      <c r="B2" s="108"/>
      <c r="C2" s="108"/>
      <c r="D2" s="108"/>
      <c r="E2" s="108"/>
      <c r="F2" s="108"/>
      <c r="G2" s="108"/>
      <c r="H2" s="24"/>
      <c r="I2" s="34"/>
    </row>
    <row r="3" spans="1:11" ht="15.6" customHeight="1" x14ac:dyDescent="0.25">
      <c r="A3" s="27"/>
      <c r="B3" s="28"/>
      <c r="C3" s="28"/>
      <c r="D3" s="28"/>
      <c r="E3" s="28"/>
      <c r="F3" s="28"/>
      <c r="G3" s="24"/>
      <c r="H3" s="24"/>
      <c r="I3" s="34"/>
    </row>
    <row r="4" spans="1:11" ht="15.6" customHeight="1" x14ac:dyDescent="0.25">
      <c r="A4" s="25"/>
      <c r="B4" s="26"/>
      <c r="C4" s="26"/>
      <c r="D4" s="26"/>
      <c r="E4" s="26"/>
      <c r="F4" s="26"/>
      <c r="G4" s="24"/>
      <c r="H4" s="24"/>
      <c r="I4" s="34"/>
    </row>
    <row r="5" spans="1:11" ht="30" x14ac:dyDescent="0.25">
      <c r="A5" s="102" t="s">
        <v>2</v>
      </c>
      <c r="B5" s="103"/>
      <c r="C5" s="103"/>
      <c r="D5" s="103"/>
      <c r="E5" s="103"/>
      <c r="F5" s="103"/>
      <c r="G5" s="103"/>
      <c r="H5" s="103"/>
      <c r="I5" s="104"/>
    </row>
    <row r="6" spans="1:11" x14ac:dyDescent="0.25">
      <c r="A6" s="98" t="s">
        <v>3</v>
      </c>
      <c r="B6" s="99"/>
      <c r="C6" s="99"/>
      <c r="D6" s="100"/>
      <c r="E6" s="99" t="s">
        <v>4</v>
      </c>
      <c r="F6" s="99"/>
      <c r="G6" s="99"/>
      <c r="H6" s="99"/>
      <c r="I6" s="101"/>
    </row>
    <row r="7" spans="1:11" x14ac:dyDescent="0.25">
      <c r="A7" s="84" t="s">
        <v>5</v>
      </c>
      <c r="B7" s="85"/>
      <c r="C7" s="85"/>
      <c r="D7" s="86"/>
      <c r="E7" s="85" t="str">
        <f>A7</f>
        <v>Steel Horse Auto Assembly NJ Inc</v>
      </c>
      <c r="F7" s="85"/>
      <c r="G7" s="85"/>
      <c r="H7" s="85"/>
      <c r="I7" s="87"/>
    </row>
    <row r="8" spans="1:11" x14ac:dyDescent="0.25">
      <c r="A8" s="84" t="s">
        <v>6</v>
      </c>
      <c r="B8" s="85"/>
      <c r="C8" s="85"/>
      <c r="D8" s="86"/>
      <c r="E8" s="85" t="str">
        <f t="shared" ref="E8:E9" si="0">A8</f>
        <v xml:space="preserve">0015 Angela Mission, Kathyborough, </v>
      </c>
      <c r="F8" s="85"/>
      <c r="G8" s="85"/>
      <c r="H8" s="85"/>
      <c r="I8" s="87"/>
    </row>
    <row r="9" spans="1:11" ht="15.75" thickBot="1" x14ac:dyDescent="0.3">
      <c r="A9" s="84" t="s">
        <v>7</v>
      </c>
      <c r="B9" s="85"/>
      <c r="C9" s="85"/>
      <c r="D9" s="86"/>
      <c r="E9" s="85" t="str">
        <f t="shared" si="0"/>
        <v>New Jersey, United States</v>
      </c>
      <c r="F9" s="85"/>
      <c r="G9" s="85"/>
      <c r="H9" s="85"/>
      <c r="I9" s="87"/>
    </row>
    <row r="10" spans="1:11" x14ac:dyDescent="0.25">
      <c r="A10" s="88" t="s">
        <v>21</v>
      </c>
      <c r="B10" s="89"/>
      <c r="C10" s="89"/>
      <c r="D10" s="90"/>
      <c r="E10" s="94" t="s">
        <v>22</v>
      </c>
      <c r="F10" s="89"/>
      <c r="G10" s="89"/>
      <c r="H10" s="89"/>
      <c r="I10" s="95"/>
    </row>
    <row r="11" spans="1:11" x14ac:dyDescent="0.25">
      <c r="A11" s="91"/>
      <c r="B11" s="92"/>
      <c r="C11" s="92"/>
      <c r="D11" s="93"/>
      <c r="E11" s="96"/>
      <c r="F11" s="92"/>
      <c r="G11" s="92"/>
      <c r="H11" s="92"/>
      <c r="I11" s="97"/>
    </row>
    <row r="12" spans="1:11" x14ac:dyDescent="0.25">
      <c r="A12" s="91"/>
      <c r="B12" s="92"/>
      <c r="C12" s="92"/>
      <c r="D12" s="93"/>
      <c r="E12" s="96"/>
      <c r="F12" s="92"/>
      <c r="G12" s="92"/>
      <c r="H12" s="92"/>
      <c r="I12" s="97"/>
    </row>
    <row r="13" spans="1:11" x14ac:dyDescent="0.25">
      <c r="A13" s="81"/>
      <c r="B13" s="82"/>
      <c r="C13" s="82"/>
      <c r="D13" s="82"/>
      <c r="E13" s="82"/>
      <c r="F13" s="82"/>
      <c r="G13" s="82"/>
      <c r="H13" s="82"/>
      <c r="I13" s="83"/>
    </row>
    <row r="14" spans="1:11" x14ac:dyDescent="0.25">
      <c r="A14" s="5" t="s">
        <v>10</v>
      </c>
      <c r="B14" s="78" t="s">
        <v>11</v>
      </c>
      <c r="C14" s="78"/>
      <c r="D14" s="78"/>
      <c r="E14" s="7" t="s">
        <v>12</v>
      </c>
      <c r="F14" s="6" t="s">
        <v>13</v>
      </c>
      <c r="G14" s="112" t="s">
        <v>14</v>
      </c>
      <c r="H14" s="113"/>
      <c r="I14" s="114"/>
    </row>
    <row r="15" spans="1:11" x14ac:dyDescent="0.25">
      <c r="A15" s="2"/>
      <c r="B15" s="44"/>
      <c r="C15" s="44"/>
      <c r="D15" s="44"/>
      <c r="E15" s="1"/>
      <c r="F15" s="1"/>
      <c r="G15" s="58"/>
      <c r="H15" s="58"/>
      <c r="I15" s="59"/>
      <c r="K15" s="13"/>
    </row>
    <row r="16" spans="1:11" x14ac:dyDescent="0.25">
      <c r="A16" s="3"/>
      <c r="B16" s="41"/>
      <c r="C16" s="41"/>
      <c r="D16" s="41"/>
      <c r="E16" s="4"/>
      <c r="F16" s="4"/>
      <c r="G16" s="42"/>
      <c r="H16" s="42"/>
      <c r="I16" s="43"/>
    </row>
    <row r="17" spans="1:9" x14ac:dyDescent="0.25">
      <c r="A17" s="2">
        <v>1</v>
      </c>
      <c r="B17" s="44" t="s">
        <v>23</v>
      </c>
      <c r="C17" s="44"/>
      <c r="D17" s="44"/>
      <c r="E17" s="1">
        <v>2000</v>
      </c>
      <c r="F17" s="1">
        <v>2112</v>
      </c>
      <c r="G17" s="58">
        <f>E17*F17</f>
        <v>4224000</v>
      </c>
      <c r="H17" s="58"/>
      <c r="I17" s="59"/>
    </row>
    <row r="18" spans="1:9" x14ac:dyDescent="0.25">
      <c r="A18" s="30"/>
      <c r="B18" s="44"/>
      <c r="C18" s="44"/>
      <c r="D18" s="44"/>
      <c r="E18" s="31"/>
      <c r="F18" s="31"/>
      <c r="G18" s="44"/>
      <c r="H18" s="44"/>
      <c r="I18" s="45"/>
    </row>
    <row r="19" spans="1:9" x14ac:dyDescent="0.25">
      <c r="A19" s="2"/>
      <c r="B19" s="44"/>
      <c r="C19" s="44"/>
      <c r="D19" s="44"/>
      <c r="E19" s="1"/>
      <c r="F19" s="1"/>
      <c r="G19" s="58"/>
      <c r="H19" s="58"/>
      <c r="I19" s="59"/>
    </row>
    <row r="20" spans="1:9" x14ac:dyDescent="0.25">
      <c r="A20" s="3"/>
      <c r="B20" s="41"/>
      <c r="C20" s="41"/>
      <c r="D20" s="41"/>
      <c r="E20" s="4"/>
      <c r="F20" s="4"/>
      <c r="G20" s="42"/>
      <c r="H20" s="42"/>
      <c r="I20" s="43"/>
    </row>
    <row r="21" spans="1:9" x14ac:dyDescent="0.25">
      <c r="A21" s="22"/>
      <c r="B21" s="49"/>
      <c r="C21" s="49"/>
      <c r="D21" s="49"/>
      <c r="E21" s="19"/>
      <c r="F21" s="19"/>
      <c r="G21" s="56"/>
      <c r="H21" s="56"/>
      <c r="I21" s="57"/>
    </row>
    <row r="22" spans="1:9" x14ac:dyDescent="0.25">
      <c r="A22" s="30"/>
      <c r="B22" s="44"/>
      <c r="C22" s="44"/>
      <c r="D22" s="44"/>
      <c r="E22" s="31"/>
      <c r="F22" s="31"/>
      <c r="G22" s="44"/>
      <c r="H22" s="44"/>
      <c r="I22" s="45"/>
    </row>
    <row r="23" spans="1:9" x14ac:dyDescent="0.25">
      <c r="A23" s="2"/>
      <c r="B23" s="44"/>
      <c r="C23" s="44"/>
      <c r="D23" s="44"/>
      <c r="E23" s="1"/>
      <c r="F23" s="1"/>
      <c r="G23" s="58"/>
      <c r="H23" s="58"/>
      <c r="I23" s="59"/>
    </row>
    <row r="24" spans="1:9" x14ac:dyDescent="0.25">
      <c r="A24" s="3"/>
      <c r="B24" s="41"/>
      <c r="C24" s="41"/>
      <c r="D24" s="41"/>
      <c r="E24" s="4"/>
      <c r="F24" s="4"/>
      <c r="G24" s="42"/>
      <c r="H24" s="42"/>
      <c r="I24" s="43"/>
    </row>
    <row r="25" spans="1:9" x14ac:dyDescent="0.25">
      <c r="A25" s="22"/>
      <c r="B25" s="49"/>
      <c r="C25" s="49"/>
      <c r="D25" s="49"/>
      <c r="E25" s="19"/>
      <c r="F25" s="19"/>
      <c r="G25" s="56"/>
      <c r="H25" s="56"/>
      <c r="I25" s="57"/>
    </row>
    <row r="26" spans="1:9" x14ac:dyDescent="0.25">
      <c r="A26" s="30"/>
      <c r="B26" s="44"/>
      <c r="C26" s="44"/>
      <c r="D26" s="44"/>
      <c r="E26" s="31"/>
      <c r="F26" s="31"/>
      <c r="G26" s="44"/>
      <c r="H26" s="44"/>
      <c r="I26" s="45"/>
    </row>
    <row r="27" spans="1:9" x14ac:dyDescent="0.25">
      <c r="A27" s="2"/>
      <c r="B27" s="44"/>
      <c r="C27" s="44"/>
      <c r="D27" s="44"/>
      <c r="E27" s="1"/>
      <c r="F27" s="1"/>
      <c r="G27" s="38"/>
      <c r="H27" s="39"/>
      <c r="I27" s="40"/>
    </row>
    <row r="28" spans="1:9" x14ac:dyDescent="0.25">
      <c r="A28" s="3"/>
      <c r="B28" s="41"/>
      <c r="C28" s="41"/>
      <c r="D28" s="41"/>
      <c r="E28" s="4"/>
      <c r="F28" s="4"/>
      <c r="G28" s="53"/>
      <c r="H28" s="54"/>
      <c r="I28" s="55"/>
    </row>
    <row r="29" spans="1:9" x14ac:dyDescent="0.25">
      <c r="A29" s="22"/>
      <c r="B29" s="49"/>
      <c r="C29" s="49"/>
      <c r="D29" s="49"/>
      <c r="E29" s="19"/>
      <c r="F29" s="19"/>
      <c r="G29" s="35"/>
      <c r="H29" s="36"/>
      <c r="I29" s="37"/>
    </row>
    <row r="30" spans="1:9" x14ac:dyDescent="0.25">
      <c r="A30" s="30"/>
      <c r="B30" s="46"/>
      <c r="C30" s="47"/>
      <c r="D30" s="48"/>
      <c r="E30" s="31"/>
      <c r="F30" s="31"/>
      <c r="G30" s="44"/>
      <c r="H30" s="44"/>
      <c r="I30" s="45"/>
    </row>
    <row r="31" spans="1:9" x14ac:dyDescent="0.25">
      <c r="A31" s="2"/>
      <c r="B31" s="46"/>
      <c r="C31" s="47"/>
      <c r="D31" s="48"/>
      <c r="E31" s="1"/>
      <c r="F31" s="1"/>
      <c r="G31" s="38"/>
      <c r="H31" s="39"/>
      <c r="I31" s="40"/>
    </row>
    <row r="32" spans="1:9" x14ac:dyDescent="0.25">
      <c r="A32" s="3"/>
      <c r="B32" s="50"/>
      <c r="C32" s="51"/>
      <c r="D32" s="52"/>
      <c r="E32" s="4"/>
      <c r="F32" s="4"/>
      <c r="G32" s="53"/>
      <c r="H32" s="54"/>
      <c r="I32" s="55"/>
    </row>
    <row r="33" spans="1:9" x14ac:dyDescent="0.25">
      <c r="A33" s="22"/>
      <c r="B33" s="60"/>
      <c r="C33" s="61"/>
      <c r="D33" s="62"/>
      <c r="E33" s="19"/>
      <c r="F33" s="19"/>
      <c r="G33" s="35"/>
      <c r="H33" s="36"/>
      <c r="I33" s="37"/>
    </row>
    <row r="34" spans="1:9" x14ac:dyDescent="0.25">
      <c r="A34" s="30"/>
      <c r="B34" s="44"/>
      <c r="C34" s="44"/>
      <c r="D34" s="44"/>
      <c r="E34" s="31"/>
      <c r="F34" s="31"/>
      <c r="G34" s="44"/>
      <c r="H34" s="44"/>
      <c r="I34" s="45"/>
    </row>
    <row r="35" spans="1:9" x14ac:dyDescent="0.25">
      <c r="A35" s="2"/>
      <c r="B35" s="46"/>
      <c r="C35" s="47"/>
      <c r="D35" s="48"/>
      <c r="E35" s="1"/>
      <c r="F35" s="1"/>
      <c r="G35" s="38"/>
      <c r="H35" s="39"/>
      <c r="I35" s="40"/>
    </row>
    <row r="36" spans="1:9" x14ac:dyDescent="0.25">
      <c r="A36" s="3"/>
      <c r="B36" s="50"/>
      <c r="C36" s="51"/>
      <c r="D36" s="52"/>
      <c r="E36" s="4"/>
      <c r="F36" s="4"/>
      <c r="G36" s="53"/>
      <c r="H36" s="54"/>
      <c r="I36" s="55"/>
    </row>
    <row r="37" spans="1:9" ht="20.25" x14ac:dyDescent="0.25">
      <c r="A37" s="109" t="s">
        <v>18</v>
      </c>
      <c r="B37" s="110"/>
      <c r="C37" s="110"/>
      <c r="D37" s="110"/>
      <c r="E37" s="110"/>
      <c r="F37" s="111"/>
      <c r="G37" s="67">
        <f>SUM(G17:I36)</f>
        <v>4224000</v>
      </c>
      <c r="H37" s="68"/>
      <c r="I37" s="69"/>
    </row>
    <row r="38" spans="1:9" x14ac:dyDescent="0.25">
      <c r="A38" s="70"/>
      <c r="B38" s="71"/>
      <c r="C38" s="71"/>
      <c r="D38" s="71"/>
      <c r="E38" s="71"/>
      <c r="F38" s="71"/>
      <c r="G38" s="71"/>
      <c r="H38" s="71"/>
      <c r="I38" s="72"/>
    </row>
    <row r="39" spans="1:9" ht="20.25" x14ac:dyDescent="0.25">
      <c r="A39" s="9"/>
      <c r="B39" s="16"/>
      <c r="C39" s="16"/>
      <c r="D39" s="14"/>
      <c r="E39" s="17" t="s">
        <v>19</v>
      </c>
      <c r="F39" s="18"/>
      <c r="G39" s="73">
        <f>G37</f>
        <v>4224000</v>
      </c>
      <c r="H39" s="73"/>
      <c r="I39" s="74"/>
    </row>
    <row r="40" spans="1:9" ht="15.75" x14ac:dyDescent="0.25">
      <c r="A40" s="9"/>
      <c r="B40" s="16"/>
      <c r="C40" s="16"/>
      <c r="D40" s="14"/>
      <c r="E40" s="29" t="s">
        <v>20</v>
      </c>
      <c r="F40" s="29"/>
      <c r="G40" s="63">
        <v>639936</v>
      </c>
      <c r="H40" s="63"/>
      <c r="I40" s="64"/>
    </row>
    <row r="41" spans="1:9" ht="3.6" customHeight="1" x14ac:dyDescent="0.25">
      <c r="A41" s="9"/>
      <c r="B41" s="16"/>
      <c r="C41" s="16"/>
      <c r="D41" s="14"/>
      <c r="E41" s="15"/>
      <c r="F41" s="15"/>
      <c r="G41" s="20"/>
      <c r="H41" s="20"/>
      <c r="I41" s="21"/>
    </row>
    <row r="42" spans="1:9" ht="21" thickBot="1" x14ac:dyDescent="0.3">
      <c r="A42" s="10"/>
      <c r="B42" s="11"/>
      <c r="C42" s="11"/>
      <c r="D42" s="8"/>
      <c r="E42" s="12" t="s">
        <v>18</v>
      </c>
      <c r="F42" s="12"/>
      <c r="G42" s="65">
        <f>G39+G40</f>
        <v>4863936</v>
      </c>
      <c r="H42" s="65"/>
      <c r="I42" s="66"/>
    </row>
  </sheetData>
  <mergeCells count="66">
    <mergeCell ref="A5:I5"/>
    <mergeCell ref="A1:G1"/>
    <mergeCell ref="A2:G2"/>
    <mergeCell ref="A6:D6"/>
    <mergeCell ref="E6:I6"/>
    <mergeCell ref="B16:D16"/>
    <mergeCell ref="G16:I16"/>
    <mergeCell ref="A10:D12"/>
    <mergeCell ref="A7:D7"/>
    <mergeCell ref="E7:I7"/>
    <mergeCell ref="A8:D8"/>
    <mergeCell ref="E8:I8"/>
    <mergeCell ref="A13:I13"/>
    <mergeCell ref="E10:I12"/>
    <mergeCell ref="B14:D14"/>
    <mergeCell ref="B15:D15"/>
    <mergeCell ref="A9:D9"/>
    <mergeCell ref="E9:I9"/>
    <mergeCell ref="G14:I14"/>
    <mergeCell ref="G15:I15"/>
    <mergeCell ref="G40:I40"/>
    <mergeCell ref="G42:I42"/>
    <mergeCell ref="B36:D36"/>
    <mergeCell ref="A38:I38"/>
    <mergeCell ref="G39:I39"/>
    <mergeCell ref="G36:I36"/>
    <mergeCell ref="G37:I37"/>
    <mergeCell ref="B33:D33"/>
    <mergeCell ref="B35:D35"/>
    <mergeCell ref="B34:D34"/>
    <mergeCell ref="G34:I34"/>
    <mergeCell ref="G33:I33"/>
    <mergeCell ref="G35:I35"/>
    <mergeCell ref="B18:D18"/>
    <mergeCell ref="G18:I18"/>
    <mergeCell ref="B19:D19"/>
    <mergeCell ref="G19:I19"/>
    <mergeCell ref="B20:D20"/>
    <mergeCell ref="G20:I20"/>
    <mergeCell ref="B21:D21"/>
    <mergeCell ref="G21:I21"/>
    <mergeCell ref="B22:D22"/>
    <mergeCell ref="G22:I22"/>
    <mergeCell ref="B23:D23"/>
    <mergeCell ref="G23:I23"/>
    <mergeCell ref="G24:I24"/>
    <mergeCell ref="B25:D25"/>
    <mergeCell ref="G25:I25"/>
    <mergeCell ref="B26:D26"/>
    <mergeCell ref="G26:I26"/>
    <mergeCell ref="G17:I17"/>
    <mergeCell ref="B17:D17"/>
    <mergeCell ref="A37:F37"/>
    <mergeCell ref="B30:D30"/>
    <mergeCell ref="G30:I30"/>
    <mergeCell ref="B31:D31"/>
    <mergeCell ref="G31:I31"/>
    <mergeCell ref="B32:D32"/>
    <mergeCell ref="G32:I32"/>
    <mergeCell ref="B27:D27"/>
    <mergeCell ref="G27:I27"/>
    <mergeCell ref="B28:D28"/>
    <mergeCell ref="G28:I28"/>
    <mergeCell ref="B29:D29"/>
    <mergeCell ref="G29:I29"/>
    <mergeCell ref="B24:D2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95C1-FAA1-4137-9EFA-3F6E48C03C7C}">
  <dimension ref="A1:I42"/>
  <sheetViews>
    <sheetView showGridLines="0" view="pageBreakPreview" topLeftCell="A6" zoomScale="60" zoomScaleNormal="100" workbookViewId="0">
      <selection activeCell="G43" sqref="G43"/>
    </sheetView>
  </sheetViews>
  <sheetFormatPr defaultRowHeight="15" x14ac:dyDescent="0.25"/>
  <cols>
    <col min="4" max="4" width="19.5703125" customWidth="1"/>
  </cols>
  <sheetData>
    <row r="1" spans="1:9" ht="25.9" customHeight="1" x14ac:dyDescent="0.25">
      <c r="A1" s="105" t="s">
        <v>0</v>
      </c>
      <c r="B1" s="106"/>
      <c r="C1" s="106"/>
      <c r="D1" s="106"/>
      <c r="E1" s="106"/>
      <c r="F1" s="106"/>
      <c r="G1" s="106"/>
      <c r="H1" s="23"/>
      <c r="I1" s="33"/>
    </row>
    <row r="2" spans="1:9" ht="15.6" customHeight="1" x14ac:dyDescent="0.25">
      <c r="A2" s="107" t="s">
        <v>1</v>
      </c>
      <c r="B2" s="108"/>
      <c r="C2" s="108"/>
      <c r="D2" s="108"/>
      <c r="E2" s="108"/>
      <c r="F2" s="108"/>
      <c r="G2" s="108"/>
      <c r="H2" s="24"/>
      <c r="I2" s="34"/>
    </row>
    <row r="3" spans="1:9" ht="15.6" customHeight="1" x14ac:dyDescent="0.25">
      <c r="A3" s="27"/>
      <c r="B3" s="28"/>
      <c r="C3" s="28"/>
      <c r="D3" s="28"/>
      <c r="E3" s="28"/>
      <c r="F3" s="28"/>
      <c r="G3" s="24"/>
      <c r="H3" s="24"/>
      <c r="I3" s="34"/>
    </row>
    <row r="4" spans="1:9" ht="15.6" customHeight="1" x14ac:dyDescent="0.25">
      <c r="A4" s="25"/>
      <c r="B4" s="26"/>
      <c r="C4" s="26"/>
      <c r="D4" s="26"/>
      <c r="E4" s="26"/>
      <c r="F4" s="26"/>
      <c r="G4" s="24"/>
      <c r="H4" s="24"/>
      <c r="I4" s="34"/>
    </row>
    <row r="5" spans="1:9" ht="30" x14ac:dyDescent="0.25">
      <c r="A5" s="102" t="s">
        <v>2</v>
      </c>
      <c r="B5" s="103"/>
      <c r="C5" s="103"/>
      <c r="D5" s="103"/>
      <c r="E5" s="103"/>
      <c r="F5" s="103"/>
      <c r="G5" s="103"/>
      <c r="H5" s="103"/>
      <c r="I5" s="104"/>
    </row>
    <row r="6" spans="1:9" x14ac:dyDescent="0.25">
      <c r="A6" s="98" t="s">
        <v>3</v>
      </c>
      <c r="B6" s="99"/>
      <c r="C6" s="99"/>
      <c r="D6" s="100"/>
      <c r="E6" s="99" t="s">
        <v>4</v>
      </c>
      <c r="F6" s="99"/>
      <c r="G6" s="99"/>
      <c r="H6" s="99"/>
      <c r="I6" s="101"/>
    </row>
    <row r="7" spans="1:9" x14ac:dyDescent="0.25">
      <c r="A7" s="84" t="s">
        <v>5</v>
      </c>
      <c r="B7" s="85"/>
      <c r="C7" s="85"/>
      <c r="D7" s="86"/>
      <c r="E7" s="85" t="str">
        <f>A7</f>
        <v>Steel Horse Auto Assembly NJ Inc</v>
      </c>
      <c r="F7" s="85"/>
      <c r="G7" s="85"/>
      <c r="H7" s="85"/>
      <c r="I7" s="87"/>
    </row>
    <row r="8" spans="1:9" x14ac:dyDescent="0.25">
      <c r="A8" s="84" t="s">
        <v>6</v>
      </c>
      <c r="B8" s="85"/>
      <c r="C8" s="85"/>
      <c r="D8" s="86"/>
      <c r="E8" s="85" t="str">
        <f t="shared" ref="E8:E9" si="0">A8</f>
        <v xml:space="preserve">0015 Angela Mission, Kathyborough, </v>
      </c>
      <c r="F8" s="85"/>
      <c r="G8" s="85"/>
      <c r="H8" s="85"/>
      <c r="I8" s="87"/>
    </row>
    <row r="9" spans="1:9" ht="15.75" thickBot="1" x14ac:dyDescent="0.3">
      <c r="A9" s="118" t="s">
        <v>7</v>
      </c>
      <c r="B9" s="119"/>
      <c r="C9" s="119"/>
      <c r="D9" s="120"/>
      <c r="E9" s="119" t="str">
        <f t="shared" si="0"/>
        <v>New Jersey, United States</v>
      </c>
      <c r="F9" s="119"/>
      <c r="G9" s="119"/>
      <c r="H9" s="119"/>
      <c r="I9" s="121"/>
    </row>
    <row r="10" spans="1:9" x14ac:dyDescent="0.25">
      <c r="A10" s="88" t="s">
        <v>24</v>
      </c>
      <c r="B10" s="89"/>
      <c r="C10" s="89"/>
      <c r="D10" s="90"/>
      <c r="E10" s="94" t="s">
        <v>25</v>
      </c>
      <c r="F10" s="89"/>
      <c r="G10" s="89"/>
      <c r="H10" s="89"/>
      <c r="I10" s="95"/>
    </row>
    <row r="11" spans="1:9" x14ac:dyDescent="0.25">
      <c r="A11" s="91"/>
      <c r="B11" s="92"/>
      <c r="C11" s="92"/>
      <c r="D11" s="93"/>
      <c r="E11" s="96"/>
      <c r="F11" s="92"/>
      <c r="G11" s="92"/>
      <c r="H11" s="92"/>
      <c r="I11" s="97"/>
    </row>
    <row r="12" spans="1:9" x14ac:dyDescent="0.25">
      <c r="A12" s="91"/>
      <c r="B12" s="92"/>
      <c r="C12" s="92"/>
      <c r="D12" s="93"/>
      <c r="E12" s="96"/>
      <c r="F12" s="92"/>
      <c r="G12" s="92"/>
      <c r="H12" s="92"/>
      <c r="I12" s="97"/>
    </row>
    <row r="13" spans="1:9" x14ac:dyDescent="0.25">
      <c r="A13" s="81"/>
      <c r="B13" s="82"/>
      <c r="C13" s="82"/>
      <c r="D13" s="82"/>
      <c r="E13" s="82"/>
      <c r="F13" s="82"/>
      <c r="G13" s="82"/>
      <c r="H13" s="82"/>
      <c r="I13" s="83"/>
    </row>
    <row r="14" spans="1:9" x14ac:dyDescent="0.25">
      <c r="A14" s="5" t="s">
        <v>10</v>
      </c>
      <c r="B14" s="78" t="s">
        <v>11</v>
      </c>
      <c r="C14" s="78"/>
      <c r="D14" s="78"/>
      <c r="E14" s="7" t="s">
        <v>12</v>
      </c>
      <c r="F14" s="6" t="s">
        <v>13</v>
      </c>
      <c r="G14" s="112" t="s">
        <v>14</v>
      </c>
      <c r="H14" s="113"/>
      <c r="I14" s="114"/>
    </row>
    <row r="15" spans="1:9" x14ac:dyDescent="0.25">
      <c r="A15" s="2"/>
      <c r="B15" s="44"/>
      <c r="C15" s="44"/>
      <c r="D15" s="44"/>
      <c r="E15" s="1"/>
      <c r="F15" s="1"/>
      <c r="G15" s="58"/>
      <c r="H15" s="58"/>
      <c r="I15" s="59"/>
    </row>
    <row r="16" spans="1:9" x14ac:dyDescent="0.25">
      <c r="A16" s="3"/>
      <c r="B16" s="41"/>
      <c r="C16" s="41"/>
      <c r="D16" s="41"/>
      <c r="E16" s="4"/>
      <c r="F16" s="4"/>
      <c r="G16" s="42"/>
      <c r="H16" s="42"/>
      <c r="I16" s="43"/>
    </row>
    <row r="17" spans="1:9" x14ac:dyDescent="0.25">
      <c r="A17" s="2">
        <v>1</v>
      </c>
      <c r="B17" s="44" t="s">
        <v>26</v>
      </c>
      <c r="C17" s="44"/>
      <c r="D17" s="44"/>
      <c r="E17" s="1">
        <v>500</v>
      </c>
      <c r="F17" s="1">
        <v>3503.65</v>
      </c>
      <c r="G17" s="58">
        <f>E17*F17</f>
        <v>1751825</v>
      </c>
      <c r="H17" s="58"/>
      <c r="I17" s="59"/>
    </row>
    <row r="18" spans="1:9" x14ac:dyDescent="0.25">
      <c r="A18" s="3">
        <v>2</v>
      </c>
      <c r="B18" s="41" t="s">
        <v>27</v>
      </c>
      <c r="C18" s="41"/>
      <c r="D18" s="41"/>
      <c r="E18" s="4">
        <v>1950</v>
      </c>
      <c r="F18" s="4">
        <v>1000</v>
      </c>
      <c r="G18" s="42">
        <f>+E18*F18</f>
        <v>1950000</v>
      </c>
      <c r="H18" s="42"/>
      <c r="I18" s="43"/>
    </row>
    <row r="19" spans="1:9" x14ac:dyDescent="0.25">
      <c r="A19" s="2">
        <v>3</v>
      </c>
      <c r="B19" s="115" t="s">
        <v>28</v>
      </c>
      <c r="C19" s="116"/>
      <c r="D19" s="117"/>
      <c r="E19" s="1">
        <v>500</v>
      </c>
      <c r="F19" s="1">
        <v>400</v>
      </c>
      <c r="G19" s="38">
        <v>200000</v>
      </c>
      <c r="H19" s="39"/>
      <c r="I19" s="40"/>
    </row>
    <row r="20" spans="1:9" x14ac:dyDescent="0.25">
      <c r="A20" s="3"/>
      <c r="B20" s="41"/>
      <c r="C20" s="41"/>
      <c r="D20" s="41"/>
      <c r="E20" s="4"/>
      <c r="F20" s="4"/>
      <c r="G20" s="42"/>
      <c r="H20" s="42"/>
      <c r="I20" s="43"/>
    </row>
    <row r="21" spans="1:9" x14ac:dyDescent="0.25">
      <c r="A21" s="22"/>
      <c r="B21" s="49"/>
      <c r="C21" s="49"/>
      <c r="D21" s="49"/>
      <c r="E21" s="19"/>
      <c r="F21" s="19"/>
      <c r="G21" s="56"/>
      <c r="H21" s="56"/>
      <c r="I21" s="57"/>
    </row>
    <row r="22" spans="1:9" x14ac:dyDescent="0.25">
      <c r="A22" s="30"/>
      <c r="B22" s="44"/>
      <c r="C22" s="44"/>
      <c r="D22" s="44"/>
      <c r="E22" s="31"/>
      <c r="F22" s="31"/>
      <c r="G22" s="44"/>
      <c r="H22" s="44"/>
      <c r="I22" s="45"/>
    </row>
    <row r="23" spans="1:9" x14ac:dyDescent="0.25">
      <c r="A23" s="2"/>
      <c r="B23" s="44"/>
      <c r="C23" s="44"/>
      <c r="D23" s="44"/>
      <c r="E23" s="1"/>
      <c r="F23" s="1"/>
      <c r="G23" s="58"/>
      <c r="H23" s="58"/>
      <c r="I23" s="59"/>
    </row>
    <row r="24" spans="1:9" x14ac:dyDescent="0.25">
      <c r="A24" s="3"/>
      <c r="B24" s="41"/>
      <c r="C24" s="41"/>
      <c r="D24" s="41"/>
      <c r="E24" s="4"/>
      <c r="F24" s="4"/>
      <c r="G24" s="42"/>
      <c r="H24" s="42"/>
      <c r="I24" s="43"/>
    </row>
    <row r="25" spans="1:9" x14ac:dyDescent="0.25">
      <c r="A25" s="22"/>
      <c r="B25" s="49"/>
      <c r="C25" s="49"/>
      <c r="D25" s="49"/>
      <c r="E25" s="19"/>
      <c r="F25" s="19"/>
      <c r="G25" s="56"/>
      <c r="H25" s="56"/>
      <c r="I25" s="57"/>
    </row>
    <row r="26" spans="1:9" x14ac:dyDescent="0.25">
      <c r="A26" s="30"/>
      <c r="B26" s="44"/>
      <c r="C26" s="44"/>
      <c r="D26" s="44"/>
      <c r="E26" s="31"/>
      <c r="F26" s="31"/>
      <c r="G26" s="44"/>
      <c r="H26" s="44"/>
      <c r="I26" s="45"/>
    </row>
    <row r="27" spans="1:9" x14ac:dyDescent="0.25">
      <c r="A27" s="2"/>
      <c r="B27" s="44"/>
      <c r="C27" s="44"/>
      <c r="D27" s="44"/>
      <c r="E27" s="1"/>
      <c r="F27" s="1"/>
      <c r="G27" s="38"/>
      <c r="H27" s="39"/>
      <c r="I27" s="40"/>
    </row>
    <row r="28" spans="1:9" x14ac:dyDescent="0.25">
      <c r="A28" s="3"/>
      <c r="B28" s="41"/>
      <c r="C28" s="41"/>
      <c r="D28" s="41"/>
      <c r="E28" s="4"/>
      <c r="F28" s="4"/>
      <c r="G28" s="53"/>
      <c r="H28" s="54"/>
      <c r="I28" s="55"/>
    </row>
    <row r="29" spans="1:9" x14ac:dyDescent="0.25">
      <c r="A29" s="22"/>
      <c r="B29" s="49"/>
      <c r="C29" s="49"/>
      <c r="D29" s="49"/>
      <c r="E29" s="19"/>
      <c r="F29" s="19"/>
      <c r="G29" s="35"/>
      <c r="H29" s="36"/>
      <c r="I29" s="37"/>
    </row>
    <row r="30" spans="1:9" x14ac:dyDescent="0.25">
      <c r="A30" s="30"/>
      <c r="B30" s="46"/>
      <c r="C30" s="47"/>
      <c r="D30" s="48"/>
      <c r="E30" s="31"/>
      <c r="F30" s="31"/>
      <c r="G30" s="44"/>
      <c r="H30" s="44"/>
      <c r="I30" s="45"/>
    </row>
    <row r="31" spans="1:9" x14ac:dyDescent="0.25">
      <c r="A31" s="2"/>
      <c r="B31" s="46"/>
      <c r="C31" s="47"/>
      <c r="D31" s="48"/>
      <c r="E31" s="1"/>
      <c r="F31" s="1"/>
      <c r="G31" s="38"/>
      <c r="H31" s="39"/>
      <c r="I31" s="40"/>
    </row>
    <row r="32" spans="1:9" x14ac:dyDescent="0.25">
      <c r="A32" s="3"/>
      <c r="B32" s="50"/>
      <c r="C32" s="51"/>
      <c r="D32" s="52"/>
      <c r="E32" s="4"/>
      <c r="F32" s="4"/>
      <c r="G32" s="53"/>
      <c r="H32" s="54"/>
      <c r="I32" s="55"/>
    </row>
    <row r="33" spans="1:9" x14ac:dyDescent="0.25">
      <c r="A33" s="22"/>
      <c r="B33" s="60"/>
      <c r="C33" s="61"/>
      <c r="D33" s="62"/>
      <c r="E33" s="19"/>
      <c r="F33" s="19"/>
      <c r="G33" s="35"/>
      <c r="H33" s="36"/>
      <c r="I33" s="37"/>
    </row>
    <row r="34" spans="1:9" x14ac:dyDescent="0.25">
      <c r="A34" s="30"/>
      <c r="B34" s="44"/>
      <c r="C34" s="44"/>
      <c r="D34" s="44"/>
      <c r="E34" s="31"/>
      <c r="F34" s="31"/>
      <c r="G34" s="44"/>
      <c r="H34" s="44"/>
      <c r="I34" s="45"/>
    </row>
    <row r="35" spans="1:9" x14ac:dyDescent="0.25">
      <c r="A35" s="2"/>
      <c r="B35" s="46"/>
      <c r="C35" s="47"/>
      <c r="D35" s="48"/>
      <c r="E35" s="1"/>
      <c r="F35" s="1"/>
      <c r="G35" s="38"/>
      <c r="H35" s="39"/>
      <c r="I35" s="40"/>
    </row>
    <row r="36" spans="1:9" x14ac:dyDescent="0.25">
      <c r="A36" s="3"/>
      <c r="B36" s="50"/>
      <c r="C36" s="51"/>
      <c r="D36" s="52"/>
      <c r="E36" s="4"/>
      <c r="F36" s="4"/>
      <c r="G36" s="53"/>
      <c r="H36" s="54"/>
      <c r="I36" s="55"/>
    </row>
    <row r="37" spans="1:9" ht="20.25" x14ac:dyDescent="0.25">
      <c r="A37" s="109" t="s">
        <v>18</v>
      </c>
      <c r="B37" s="110"/>
      <c r="C37" s="110"/>
      <c r="D37" s="110"/>
      <c r="E37" s="110"/>
      <c r="F37" s="111"/>
      <c r="G37" s="67">
        <f>SUM(G17:I36)</f>
        <v>3901825</v>
      </c>
      <c r="H37" s="68"/>
      <c r="I37" s="69"/>
    </row>
    <row r="38" spans="1:9" x14ac:dyDescent="0.25">
      <c r="A38" s="70"/>
      <c r="B38" s="71"/>
      <c r="C38" s="71"/>
      <c r="D38" s="71"/>
      <c r="E38" s="71"/>
      <c r="F38" s="71"/>
      <c r="G38" s="71"/>
      <c r="H38" s="71"/>
      <c r="I38" s="72"/>
    </row>
    <row r="39" spans="1:9" ht="20.25" x14ac:dyDescent="0.25">
      <c r="A39" s="9"/>
      <c r="B39" s="16"/>
      <c r="C39" s="16"/>
      <c r="D39" s="14"/>
      <c r="E39" s="17" t="s">
        <v>19</v>
      </c>
      <c r="F39" s="18"/>
      <c r="G39" s="73">
        <f>G37</f>
        <v>3901825</v>
      </c>
      <c r="H39" s="73"/>
      <c r="I39" s="74"/>
    </row>
    <row r="40" spans="1:9" ht="15.75" x14ac:dyDescent="0.25">
      <c r="A40" s="9"/>
      <c r="B40" s="16"/>
      <c r="C40" s="16"/>
      <c r="D40" s="14"/>
      <c r="E40" s="29" t="s">
        <v>20</v>
      </c>
      <c r="F40" s="29"/>
      <c r="G40" s="63">
        <v>491136</v>
      </c>
      <c r="H40" s="63"/>
      <c r="I40" s="64"/>
    </row>
    <row r="41" spans="1:9" ht="3.6" customHeight="1" x14ac:dyDescent="0.25">
      <c r="A41" s="9"/>
      <c r="B41" s="16"/>
      <c r="C41" s="16"/>
      <c r="D41" s="14"/>
      <c r="E41" s="15"/>
      <c r="F41" s="15"/>
      <c r="G41" s="20"/>
      <c r="H41" s="20"/>
      <c r="I41" s="21"/>
    </row>
    <row r="42" spans="1:9" ht="21" thickBot="1" x14ac:dyDescent="0.3">
      <c r="A42" s="10"/>
      <c r="B42" s="11"/>
      <c r="C42" s="11"/>
      <c r="D42" s="8"/>
      <c r="E42" s="12" t="s">
        <v>18</v>
      </c>
      <c r="F42" s="12"/>
      <c r="G42" s="65">
        <f>G39+G40</f>
        <v>4392961</v>
      </c>
      <c r="H42" s="65"/>
      <c r="I42" s="66"/>
    </row>
  </sheetData>
  <mergeCells count="66">
    <mergeCell ref="A6:D6"/>
    <mergeCell ref="E6:I6"/>
    <mergeCell ref="A5:I5"/>
    <mergeCell ref="A1:G1"/>
    <mergeCell ref="A2:G2"/>
    <mergeCell ref="A13:I13"/>
    <mergeCell ref="A7:D7"/>
    <mergeCell ref="E7:I7"/>
    <mergeCell ref="A8:D8"/>
    <mergeCell ref="E8:I8"/>
    <mergeCell ref="A9:D9"/>
    <mergeCell ref="E9:I9"/>
    <mergeCell ref="A10:D12"/>
    <mergeCell ref="E10:I12"/>
    <mergeCell ref="B14:D14"/>
    <mergeCell ref="G14:I14"/>
    <mergeCell ref="B15:D15"/>
    <mergeCell ref="G15:I15"/>
    <mergeCell ref="B16:D16"/>
    <mergeCell ref="G16:I16"/>
    <mergeCell ref="G40:I40"/>
    <mergeCell ref="G42:I42"/>
    <mergeCell ref="B36:D36"/>
    <mergeCell ref="G36:I36"/>
    <mergeCell ref="G37:I37"/>
    <mergeCell ref="A38:I38"/>
    <mergeCell ref="G39:I39"/>
    <mergeCell ref="B17:D17"/>
    <mergeCell ref="G17:I17"/>
    <mergeCell ref="B34:D34"/>
    <mergeCell ref="G34:I34"/>
    <mergeCell ref="B33:D33"/>
    <mergeCell ref="B18:D18"/>
    <mergeCell ref="G18:I18"/>
    <mergeCell ref="B19:D19"/>
    <mergeCell ref="G19:I19"/>
    <mergeCell ref="B20:D20"/>
    <mergeCell ref="G20:I20"/>
    <mergeCell ref="B21:D21"/>
    <mergeCell ref="G21:I21"/>
    <mergeCell ref="B22:D22"/>
    <mergeCell ref="G22:I22"/>
    <mergeCell ref="B23:D23"/>
    <mergeCell ref="G23:I23"/>
    <mergeCell ref="B24:D24"/>
    <mergeCell ref="G24:I24"/>
    <mergeCell ref="B25:D25"/>
    <mergeCell ref="G25:I25"/>
    <mergeCell ref="B26:D26"/>
    <mergeCell ref="G26:I26"/>
    <mergeCell ref="B27:D27"/>
    <mergeCell ref="G27:I27"/>
    <mergeCell ref="B28:D28"/>
    <mergeCell ref="G28:I28"/>
    <mergeCell ref="B29:D29"/>
    <mergeCell ref="G29:I29"/>
    <mergeCell ref="B30:D30"/>
    <mergeCell ref="G30:I30"/>
    <mergeCell ref="B31:D31"/>
    <mergeCell ref="G31:I31"/>
    <mergeCell ref="B32:D32"/>
    <mergeCell ref="G32:I32"/>
    <mergeCell ref="G33:I33"/>
    <mergeCell ref="G35:I35"/>
    <mergeCell ref="A37:F37"/>
    <mergeCell ref="B35:D35"/>
  </mergeCells>
  <pageMargins left="0.7" right="0.7" top="0.75" bottom="0.75" header="0.3" footer="0.3"/>
  <pageSetup scale="88" fitToWidth="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FE29-34D8-4407-9E86-683238E4E8A5}">
  <sheetPr>
    <pageSetUpPr fitToPage="1"/>
  </sheetPr>
  <dimension ref="A1:I42"/>
  <sheetViews>
    <sheetView showGridLines="0" view="pageBreakPreview" zoomScale="60" zoomScaleNormal="70" workbookViewId="0">
      <selection activeCell="G29" sqref="G29:I29"/>
    </sheetView>
  </sheetViews>
  <sheetFormatPr defaultRowHeight="15" x14ac:dyDescent="0.25"/>
  <cols>
    <col min="4" max="4" width="21.5703125" customWidth="1"/>
    <col min="6" max="6" width="12" customWidth="1"/>
    <col min="9" max="9" width="8" customWidth="1"/>
  </cols>
  <sheetData>
    <row r="1" spans="1:9" ht="25.9" customHeight="1" x14ac:dyDescent="0.25">
      <c r="A1" s="105" t="s">
        <v>0</v>
      </c>
      <c r="B1" s="106"/>
      <c r="C1" s="106"/>
      <c r="D1" s="106"/>
      <c r="E1" s="106"/>
      <c r="F1" s="106"/>
      <c r="G1" s="106"/>
      <c r="H1" s="23"/>
      <c r="I1" s="33"/>
    </row>
    <row r="2" spans="1:9" ht="15.6" customHeight="1" x14ac:dyDescent="0.25">
      <c r="A2" s="107" t="s">
        <v>1</v>
      </c>
      <c r="B2" s="108"/>
      <c r="C2" s="108"/>
      <c r="D2" s="108"/>
      <c r="E2" s="108"/>
      <c r="F2" s="108"/>
      <c r="G2" s="108"/>
      <c r="H2" s="24"/>
      <c r="I2" s="34"/>
    </row>
    <row r="3" spans="1:9" ht="15.6" customHeight="1" x14ac:dyDescent="0.25">
      <c r="A3" s="27"/>
      <c r="B3" s="28"/>
      <c r="C3" s="28"/>
      <c r="D3" s="28"/>
      <c r="E3" s="28"/>
      <c r="F3" s="28"/>
      <c r="G3" s="24"/>
      <c r="H3" s="24"/>
      <c r="I3" s="34"/>
    </row>
    <row r="4" spans="1:9" ht="15.6" customHeight="1" x14ac:dyDescent="0.25">
      <c r="A4" s="25"/>
      <c r="B4" s="26"/>
      <c r="C4" s="26"/>
      <c r="D4" s="26"/>
      <c r="E4" s="26"/>
      <c r="F4" s="26"/>
      <c r="G4" s="24"/>
      <c r="H4" s="24"/>
      <c r="I4" s="34"/>
    </row>
    <row r="5" spans="1:9" ht="30" x14ac:dyDescent="0.25">
      <c r="A5" s="102" t="s">
        <v>2</v>
      </c>
      <c r="B5" s="103"/>
      <c r="C5" s="103"/>
      <c r="D5" s="103"/>
      <c r="E5" s="103"/>
      <c r="F5" s="103"/>
      <c r="G5" s="103"/>
      <c r="H5" s="103"/>
      <c r="I5" s="104"/>
    </row>
    <row r="6" spans="1:9" x14ac:dyDescent="0.25">
      <c r="A6" s="98" t="s">
        <v>3</v>
      </c>
      <c r="B6" s="99"/>
      <c r="C6" s="99"/>
      <c r="D6" s="100"/>
      <c r="E6" s="99" t="s">
        <v>4</v>
      </c>
      <c r="F6" s="99"/>
      <c r="G6" s="99"/>
      <c r="H6" s="99"/>
      <c r="I6" s="101"/>
    </row>
    <row r="7" spans="1:9" x14ac:dyDescent="0.25">
      <c r="A7" s="84" t="s">
        <v>5</v>
      </c>
      <c r="B7" s="85"/>
      <c r="C7" s="85"/>
      <c r="D7" s="86"/>
      <c r="E7" s="85" t="str">
        <f>A7</f>
        <v>Steel Horse Auto Assembly NJ Inc</v>
      </c>
      <c r="F7" s="85"/>
      <c r="G7" s="85"/>
      <c r="H7" s="85"/>
      <c r="I7" s="87"/>
    </row>
    <row r="8" spans="1:9" x14ac:dyDescent="0.25">
      <c r="A8" s="84" t="s">
        <v>6</v>
      </c>
      <c r="B8" s="85"/>
      <c r="C8" s="85"/>
      <c r="D8" s="86"/>
      <c r="E8" s="85" t="str">
        <f t="shared" ref="E8:E9" si="0">A8</f>
        <v xml:space="preserve">0015 Angela Mission, Kathyborough, </v>
      </c>
      <c r="F8" s="85"/>
      <c r="G8" s="85"/>
      <c r="H8" s="85"/>
      <c r="I8" s="87"/>
    </row>
    <row r="9" spans="1:9" ht="15.75" thickBot="1" x14ac:dyDescent="0.3">
      <c r="A9" s="84" t="s">
        <v>7</v>
      </c>
      <c r="B9" s="85"/>
      <c r="C9" s="85"/>
      <c r="D9" s="86"/>
      <c r="E9" s="85" t="str">
        <f t="shared" si="0"/>
        <v>New Jersey, United States</v>
      </c>
      <c r="F9" s="85"/>
      <c r="G9" s="85"/>
      <c r="H9" s="85"/>
      <c r="I9" s="87"/>
    </row>
    <row r="10" spans="1:9" x14ac:dyDescent="0.25">
      <c r="A10" s="88" t="s">
        <v>29</v>
      </c>
      <c r="B10" s="89"/>
      <c r="C10" s="89"/>
      <c r="D10" s="90"/>
      <c r="E10" s="94" t="s">
        <v>30</v>
      </c>
      <c r="F10" s="89"/>
      <c r="G10" s="89"/>
      <c r="H10" s="89"/>
      <c r="I10" s="95"/>
    </row>
    <row r="11" spans="1:9" x14ac:dyDescent="0.25">
      <c r="A11" s="91"/>
      <c r="B11" s="92"/>
      <c r="C11" s="92"/>
      <c r="D11" s="93"/>
      <c r="E11" s="96"/>
      <c r="F11" s="92"/>
      <c r="G11" s="92"/>
      <c r="H11" s="92"/>
      <c r="I11" s="97"/>
    </row>
    <row r="12" spans="1:9" x14ac:dyDescent="0.25">
      <c r="A12" s="91"/>
      <c r="B12" s="92"/>
      <c r="C12" s="92"/>
      <c r="D12" s="93"/>
      <c r="E12" s="96"/>
      <c r="F12" s="92"/>
      <c r="G12" s="92"/>
      <c r="H12" s="92"/>
      <c r="I12" s="97"/>
    </row>
    <row r="13" spans="1:9" x14ac:dyDescent="0.25">
      <c r="A13" s="81"/>
      <c r="B13" s="82"/>
      <c r="C13" s="82"/>
      <c r="D13" s="82"/>
      <c r="E13" s="82"/>
      <c r="F13" s="82"/>
      <c r="G13" s="82"/>
      <c r="H13" s="82"/>
      <c r="I13" s="83"/>
    </row>
    <row r="14" spans="1:9" x14ac:dyDescent="0.25">
      <c r="A14" s="5" t="s">
        <v>10</v>
      </c>
      <c r="B14" s="122" t="s">
        <v>11</v>
      </c>
      <c r="C14" s="123"/>
      <c r="D14" s="124"/>
      <c r="E14" s="7" t="s">
        <v>12</v>
      </c>
      <c r="F14" s="6" t="s">
        <v>13</v>
      </c>
      <c r="G14" s="112" t="s">
        <v>14</v>
      </c>
      <c r="H14" s="113"/>
      <c r="I14" s="114"/>
    </row>
    <row r="15" spans="1:9" x14ac:dyDescent="0.25">
      <c r="A15" s="2"/>
      <c r="B15" s="44"/>
      <c r="C15" s="44"/>
      <c r="D15" s="44"/>
      <c r="E15" s="1"/>
      <c r="F15" s="1"/>
      <c r="G15" s="58"/>
      <c r="H15" s="58"/>
      <c r="I15" s="59"/>
    </row>
    <row r="16" spans="1:9" x14ac:dyDescent="0.25">
      <c r="A16" s="3"/>
      <c r="B16" s="41"/>
      <c r="C16" s="41"/>
      <c r="D16" s="41"/>
      <c r="E16" s="4"/>
      <c r="F16" s="4"/>
      <c r="G16" s="42"/>
      <c r="H16" s="42"/>
      <c r="I16" s="43"/>
    </row>
    <row r="17" spans="1:9" x14ac:dyDescent="0.25">
      <c r="A17" s="2">
        <v>1</v>
      </c>
      <c r="B17" s="44" t="s">
        <v>31</v>
      </c>
      <c r="C17" s="44"/>
      <c r="D17" s="44"/>
      <c r="E17" s="1">
        <v>2000</v>
      </c>
      <c r="F17" s="1">
        <v>2533</v>
      </c>
      <c r="G17" s="58">
        <f>E17*F17</f>
        <v>5066000</v>
      </c>
      <c r="H17" s="58"/>
      <c r="I17" s="59"/>
    </row>
    <row r="18" spans="1:9" x14ac:dyDescent="0.25">
      <c r="A18" s="3">
        <v>2</v>
      </c>
      <c r="B18" s="41" t="s">
        <v>32</v>
      </c>
      <c r="C18" s="41"/>
      <c r="D18" s="41"/>
      <c r="E18" s="4">
        <v>2293</v>
      </c>
      <c r="F18" s="4">
        <v>2000</v>
      </c>
      <c r="G18" s="42">
        <f>+E18*F18</f>
        <v>4586000</v>
      </c>
      <c r="H18" s="42"/>
      <c r="I18" s="43"/>
    </row>
    <row r="19" spans="1:9" x14ac:dyDescent="0.25">
      <c r="A19" s="2">
        <v>3</v>
      </c>
      <c r="B19" s="46" t="s">
        <v>33</v>
      </c>
      <c r="C19" s="47"/>
      <c r="D19" s="48"/>
      <c r="E19" s="1">
        <v>2000</v>
      </c>
      <c r="F19" s="1">
        <v>300</v>
      </c>
      <c r="G19" s="38">
        <v>600000</v>
      </c>
      <c r="H19" s="39"/>
      <c r="I19" s="40"/>
    </row>
    <row r="20" spans="1:9" x14ac:dyDescent="0.25">
      <c r="A20" s="3"/>
      <c r="B20" s="41"/>
      <c r="C20" s="41"/>
      <c r="D20" s="41"/>
      <c r="E20" s="4"/>
      <c r="F20" s="4"/>
      <c r="G20" s="42"/>
      <c r="H20" s="42"/>
      <c r="I20" s="43"/>
    </row>
    <row r="21" spans="1:9" x14ac:dyDescent="0.25">
      <c r="A21" s="22"/>
      <c r="B21" s="49"/>
      <c r="C21" s="49"/>
      <c r="D21" s="49"/>
      <c r="E21" s="19"/>
      <c r="F21" s="19"/>
      <c r="G21" s="56"/>
      <c r="H21" s="56"/>
      <c r="I21" s="57"/>
    </row>
    <row r="22" spans="1:9" x14ac:dyDescent="0.25">
      <c r="A22" s="30"/>
      <c r="B22" s="44"/>
      <c r="C22" s="44"/>
      <c r="D22" s="44"/>
      <c r="E22" s="31"/>
      <c r="F22" s="31"/>
      <c r="G22" s="44"/>
      <c r="H22" s="44"/>
      <c r="I22" s="45"/>
    </row>
    <row r="23" spans="1:9" x14ac:dyDescent="0.25">
      <c r="A23" s="2"/>
      <c r="B23" s="44"/>
      <c r="C23" s="44"/>
      <c r="D23" s="44"/>
      <c r="E23" s="1"/>
      <c r="F23" s="1"/>
      <c r="G23" s="58"/>
      <c r="H23" s="58"/>
      <c r="I23" s="59"/>
    </row>
    <row r="24" spans="1:9" x14ac:dyDescent="0.25">
      <c r="A24" s="3"/>
      <c r="B24" s="41"/>
      <c r="C24" s="41"/>
      <c r="D24" s="41"/>
      <c r="E24" s="4"/>
      <c r="F24" s="4"/>
      <c r="G24" s="42"/>
      <c r="H24" s="42"/>
      <c r="I24" s="43"/>
    </row>
    <row r="25" spans="1:9" x14ac:dyDescent="0.25">
      <c r="A25" s="22"/>
      <c r="B25" s="49"/>
      <c r="C25" s="49"/>
      <c r="D25" s="49"/>
      <c r="E25" s="19"/>
      <c r="F25" s="19"/>
      <c r="G25" s="56"/>
      <c r="H25" s="56"/>
      <c r="I25" s="57"/>
    </row>
    <row r="26" spans="1:9" x14ac:dyDescent="0.25">
      <c r="A26" s="30"/>
      <c r="B26" s="44"/>
      <c r="C26" s="44"/>
      <c r="D26" s="44"/>
      <c r="E26" s="31"/>
      <c r="F26" s="31"/>
      <c r="G26" s="44"/>
      <c r="H26" s="44"/>
      <c r="I26" s="45"/>
    </row>
    <row r="27" spans="1:9" x14ac:dyDescent="0.25">
      <c r="A27" s="2"/>
      <c r="B27" s="44"/>
      <c r="C27" s="44"/>
      <c r="D27" s="44"/>
      <c r="E27" s="1"/>
      <c r="F27" s="1"/>
      <c r="G27" s="38"/>
      <c r="H27" s="39"/>
      <c r="I27" s="40"/>
    </row>
    <row r="28" spans="1:9" x14ac:dyDescent="0.25">
      <c r="A28" s="3"/>
      <c r="B28" s="41"/>
      <c r="C28" s="41"/>
      <c r="D28" s="41"/>
      <c r="E28" s="4"/>
      <c r="F28" s="4"/>
      <c r="G28" s="53"/>
      <c r="H28" s="54"/>
      <c r="I28" s="55"/>
    </row>
    <row r="29" spans="1:9" x14ac:dyDescent="0.25">
      <c r="A29" s="22"/>
      <c r="B29" s="49"/>
      <c r="C29" s="49"/>
      <c r="D29" s="49"/>
      <c r="E29" s="19"/>
      <c r="F29" s="19"/>
      <c r="G29" s="35"/>
      <c r="H29" s="36"/>
      <c r="I29" s="37"/>
    </row>
    <row r="30" spans="1:9" x14ac:dyDescent="0.25">
      <c r="A30" s="30"/>
      <c r="B30" s="46"/>
      <c r="C30" s="47"/>
      <c r="D30" s="48"/>
      <c r="E30" s="31"/>
      <c r="F30" s="31"/>
      <c r="G30" s="44"/>
      <c r="H30" s="44"/>
      <c r="I30" s="45"/>
    </row>
    <row r="31" spans="1:9" x14ac:dyDescent="0.25">
      <c r="A31" s="2"/>
      <c r="B31" s="46"/>
      <c r="C31" s="47"/>
      <c r="D31" s="48"/>
      <c r="E31" s="1"/>
      <c r="F31" s="1"/>
      <c r="G31" s="38"/>
      <c r="H31" s="39"/>
      <c r="I31" s="40"/>
    </row>
    <row r="32" spans="1:9" x14ac:dyDescent="0.25">
      <c r="A32" s="3"/>
      <c r="B32" s="50"/>
      <c r="C32" s="51"/>
      <c r="D32" s="52"/>
      <c r="E32" s="4"/>
      <c r="F32" s="4"/>
      <c r="G32" s="53"/>
      <c r="H32" s="54"/>
      <c r="I32" s="55"/>
    </row>
    <row r="33" spans="1:9" x14ac:dyDescent="0.25">
      <c r="A33" s="22"/>
      <c r="B33" s="60"/>
      <c r="C33" s="61"/>
      <c r="D33" s="62"/>
      <c r="E33" s="19"/>
      <c r="F33" s="19"/>
      <c r="G33" s="35"/>
      <c r="H33" s="36"/>
      <c r="I33" s="37"/>
    </row>
    <row r="34" spans="1:9" x14ac:dyDescent="0.25">
      <c r="A34" s="30"/>
      <c r="B34" s="44"/>
      <c r="C34" s="44"/>
      <c r="D34" s="44"/>
      <c r="E34" s="31"/>
      <c r="F34" s="31"/>
      <c r="G34" s="44"/>
      <c r="H34" s="44"/>
      <c r="I34" s="45"/>
    </row>
    <row r="35" spans="1:9" x14ac:dyDescent="0.25">
      <c r="A35" s="2"/>
      <c r="B35" s="46"/>
      <c r="C35" s="47"/>
      <c r="D35" s="48"/>
      <c r="E35" s="1"/>
      <c r="F35" s="1"/>
      <c r="G35" s="38"/>
      <c r="H35" s="39"/>
      <c r="I35" s="40"/>
    </row>
    <row r="36" spans="1:9" x14ac:dyDescent="0.25">
      <c r="A36" s="3"/>
      <c r="B36" s="50"/>
      <c r="C36" s="51"/>
      <c r="D36" s="52"/>
      <c r="E36" s="4"/>
      <c r="F36" s="4"/>
      <c r="G36" s="53"/>
      <c r="H36" s="54"/>
      <c r="I36" s="55"/>
    </row>
    <row r="37" spans="1:9" ht="20.25" x14ac:dyDescent="0.25">
      <c r="A37" s="109" t="s">
        <v>18</v>
      </c>
      <c r="B37" s="110"/>
      <c r="C37" s="110"/>
      <c r="D37" s="110"/>
      <c r="E37" s="110"/>
      <c r="F37" s="111"/>
      <c r="G37" s="67">
        <f>SUM(G17:I36)</f>
        <v>10252000</v>
      </c>
      <c r="H37" s="68"/>
      <c r="I37" s="69"/>
    </row>
    <row r="38" spans="1:9" x14ac:dyDescent="0.25">
      <c r="A38" s="70"/>
      <c r="B38" s="71"/>
      <c r="C38" s="71"/>
      <c r="D38" s="71"/>
      <c r="E38" s="71"/>
      <c r="F38" s="71"/>
      <c r="G38" s="71"/>
      <c r="H38" s="71"/>
      <c r="I38" s="72"/>
    </row>
    <row r="39" spans="1:9" ht="20.25" x14ac:dyDescent="0.25">
      <c r="A39" s="9"/>
      <c r="B39" s="16"/>
      <c r="C39" s="16"/>
      <c r="D39" s="14"/>
      <c r="E39" s="17" t="s">
        <v>19</v>
      </c>
      <c r="F39" s="18"/>
      <c r="G39" s="73">
        <f>G37</f>
        <v>10252000</v>
      </c>
      <c r="H39" s="73"/>
      <c r="I39" s="74"/>
    </row>
    <row r="40" spans="1:9" ht="15.75" x14ac:dyDescent="0.25">
      <c r="A40" s="9"/>
      <c r="B40" s="16"/>
      <c r="C40" s="16"/>
      <c r="D40" s="14"/>
      <c r="E40" s="29" t="s">
        <v>20</v>
      </c>
      <c r="F40" s="29"/>
      <c r="G40" s="63">
        <v>1127534</v>
      </c>
      <c r="H40" s="63"/>
      <c r="I40" s="64"/>
    </row>
    <row r="41" spans="1:9" ht="3.6" customHeight="1" x14ac:dyDescent="0.25">
      <c r="A41" s="9"/>
      <c r="B41" s="16"/>
      <c r="C41" s="16"/>
      <c r="D41" s="14"/>
      <c r="E41" s="15"/>
      <c r="F41" s="15"/>
      <c r="G41" s="20"/>
      <c r="H41" s="20"/>
      <c r="I41" s="21"/>
    </row>
    <row r="42" spans="1:9" ht="21" thickBot="1" x14ac:dyDescent="0.3">
      <c r="A42" s="10"/>
      <c r="B42" s="11"/>
      <c r="C42" s="11"/>
      <c r="D42" s="8"/>
      <c r="E42" s="12" t="s">
        <v>18</v>
      </c>
      <c r="F42" s="12"/>
      <c r="G42" s="65">
        <f>G39+G40</f>
        <v>11379534</v>
      </c>
      <c r="H42" s="65"/>
      <c r="I42" s="66"/>
    </row>
  </sheetData>
  <mergeCells count="66">
    <mergeCell ref="A6:D6"/>
    <mergeCell ref="E6:I6"/>
    <mergeCell ref="A5:I5"/>
    <mergeCell ref="A1:G1"/>
    <mergeCell ref="A2:G2"/>
    <mergeCell ref="A13:I13"/>
    <mergeCell ref="A7:D7"/>
    <mergeCell ref="E7:I7"/>
    <mergeCell ref="A8:D8"/>
    <mergeCell ref="E8:I8"/>
    <mergeCell ref="A9:D9"/>
    <mergeCell ref="E9:I9"/>
    <mergeCell ref="A10:D12"/>
    <mergeCell ref="E10:I12"/>
    <mergeCell ref="B14:D14"/>
    <mergeCell ref="G14:I14"/>
    <mergeCell ref="B15:D15"/>
    <mergeCell ref="G15:I15"/>
    <mergeCell ref="B16:D16"/>
    <mergeCell ref="G16:I16"/>
    <mergeCell ref="G40:I40"/>
    <mergeCell ref="G42:I42"/>
    <mergeCell ref="B36:D36"/>
    <mergeCell ref="G36:I36"/>
    <mergeCell ref="G37:I37"/>
    <mergeCell ref="A38:I38"/>
    <mergeCell ref="G39:I39"/>
    <mergeCell ref="B17:D17"/>
    <mergeCell ref="G17:I17"/>
    <mergeCell ref="B34:D34"/>
    <mergeCell ref="G34:I34"/>
    <mergeCell ref="B33:D33"/>
    <mergeCell ref="B18:D18"/>
    <mergeCell ref="B19:D19"/>
    <mergeCell ref="B20:D20"/>
    <mergeCell ref="B21:D21"/>
    <mergeCell ref="B22:D22"/>
    <mergeCell ref="G18:I18"/>
    <mergeCell ref="G19:I19"/>
    <mergeCell ref="G20:I20"/>
    <mergeCell ref="G21:I21"/>
    <mergeCell ref="G22:I22"/>
    <mergeCell ref="B23:D23"/>
    <mergeCell ref="G23:I23"/>
    <mergeCell ref="B24:D24"/>
    <mergeCell ref="G24:I24"/>
    <mergeCell ref="B25:D25"/>
    <mergeCell ref="G25:I25"/>
    <mergeCell ref="B26:D26"/>
    <mergeCell ref="G26:I26"/>
    <mergeCell ref="B27:D27"/>
    <mergeCell ref="G27:I27"/>
    <mergeCell ref="B28:D28"/>
    <mergeCell ref="G28:I28"/>
    <mergeCell ref="B29:D29"/>
    <mergeCell ref="G29:I29"/>
    <mergeCell ref="B30:D30"/>
    <mergeCell ref="G30:I30"/>
    <mergeCell ref="B31:D31"/>
    <mergeCell ref="G31:I31"/>
    <mergeCell ref="B32:D32"/>
    <mergeCell ref="G32:I32"/>
    <mergeCell ref="G33:I33"/>
    <mergeCell ref="G35:I35"/>
    <mergeCell ref="A37:F37"/>
    <mergeCell ref="B35:D35"/>
  </mergeCells>
  <pageMargins left="0.7" right="0.7" top="0.75" bottom="0.75" header="0.3" footer="0.3"/>
  <pageSetup scale="93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4A891-3FBD-4B3D-9FC9-DD8B13BD2073}">
  <dimension ref="A1:I42"/>
  <sheetViews>
    <sheetView showGridLines="0" tabSelected="1" view="pageBreakPreview" topLeftCell="A5" zoomScale="60" zoomScaleNormal="100" workbookViewId="0">
      <selection activeCell="AH43" sqref="AH43"/>
    </sheetView>
  </sheetViews>
  <sheetFormatPr defaultRowHeight="15" x14ac:dyDescent="0.25"/>
  <cols>
    <col min="4" max="4" width="12.85546875" customWidth="1"/>
  </cols>
  <sheetData>
    <row r="1" spans="1:9" ht="25.9" customHeight="1" x14ac:dyDescent="0.25">
      <c r="A1" s="105" t="s">
        <v>0</v>
      </c>
      <c r="B1" s="106"/>
      <c r="C1" s="106"/>
      <c r="D1" s="106"/>
      <c r="E1" s="106"/>
      <c r="F1" s="106"/>
      <c r="G1" s="106"/>
      <c r="H1" s="23"/>
      <c r="I1" s="33"/>
    </row>
    <row r="2" spans="1:9" ht="15.6" customHeight="1" x14ac:dyDescent="0.25">
      <c r="A2" s="107" t="s">
        <v>1</v>
      </c>
      <c r="B2" s="108"/>
      <c r="C2" s="108"/>
      <c r="D2" s="108"/>
      <c r="E2" s="108"/>
      <c r="F2" s="108"/>
      <c r="G2" s="108"/>
      <c r="H2" s="24"/>
      <c r="I2" s="34"/>
    </row>
    <row r="3" spans="1:9" ht="15.6" customHeight="1" x14ac:dyDescent="0.25">
      <c r="A3" s="27"/>
      <c r="B3" s="28"/>
      <c r="C3" s="28"/>
      <c r="D3" s="28"/>
      <c r="E3" s="28"/>
      <c r="F3" s="28"/>
      <c r="G3" s="24"/>
      <c r="H3" s="24"/>
      <c r="I3" s="34"/>
    </row>
    <row r="4" spans="1:9" ht="15.6" customHeight="1" x14ac:dyDescent="0.25">
      <c r="A4" s="25"/>
      <c r="B4" s="26"/>
      <c r="C4" s="26"/>
      <c r="D4" s="26"/>
      <c r="E4" s="26"/>
      <c r="F4" s="26"/>
      <c r="G4" s="24"/>
      <c r="H4" s="24"/>
      <c r="I4" s="34"/>
    </row>
    <row r="5" spans="1:9" ht="30" x14ac:dyDescent="0.25">
      <c r="A5" s="102" t="s">
        <v>2</v>
      </c>
      <c r="B5" s="103"/>
      <c r="C5" s="103"/>
      <c r="D5" s="103"/>
      <c r="E5" s="103"/>
      <c r="F5" s="103"/>
      <c r="G5" s="103"/>
      <c r="H5" s="103"/>
      <c r="I5" s="104"/>
    </row>
    <row r="6" spans="1:9" x14ac:dyDescent="0.25">
      <c r="A6" s="98" t="s">
        <v>3</v>
      </c>
      <c r="B6" s="99"/>
      <c r="C6" s="99"/>
      <c r="D6" s="100"/>
      <c r="E6" s="99" t="s">
        <v>4</v>
      </c>
      <c r="F6" s="99"/>
      <c r="G6" s="99"/>
      <c r="H6" s="99"/>
      <c r="I6" s="101"/>
    </row>
    <row r="7" spans="1:9" x14ac:dyDescent="0.25">
      <c r="A7" s="84" t="s">
        <v>5</v>
      </c>
      <c r="B7" s="85"/>
      <c r="C7" s="85"/>
      <c r="D7" s="86"/>
      <c r="E7" s="85" t="str">
        <f>A7</f>
        <v>Steel Horse Auto Assembly NJ Inc</v>
      </c>
      <c r="F7" s="85"/>
      <c r="G7" s="85"/>
      <c r="H7" s="85"/>
      <c r="I7" s="87"/>
    </row>
    <row r="8" spans="1:9" x14ac:dyDescent="0.25">
      <c r="A8" s="84" t="s">
        <v>6</v>
      </c>
      <c r="B8" s="85"/>
      <c r="C8" s="85"/>
      <c r="D8" s="86"/>
      <c r="E8" s="85" t="str">
        <f t="shared" ref="E8:E9" si="0">A8</f>
        <v xml:space="preserve">0015 Angela Mission, Kathyborough, </v>
      </c>
      <c r="F8" s="85"/>
      <c r="G8" s="85"/>
      <c r="H8" s="85"/>
      <c r="I8" s="87"/>
    </row>
    <row r="9" spans="1:9" ht="15.75" thickBot="1" x14ac:dyDescent="0.3">
      <c r="A9" s="84" t="s">
        <v>7</v>
      </c>
      <c r="B9" s="85"/>
      <c r="C9" s="85"/>
      <c r="D9" s="86"/>
      <c r="E9" s="85" t="str">
        <f t="shared" si="0"/>
        <v>New Jersey, United States</v>
      </c>
      <c r="F9" s="85"/>
      <c r="G9" s="85"/>
      <c r="H9" s="85"/>
      <c r="I9" s="87"/>
    </row>
    <row r="10" spans="1:9" x14ac:dyDescent="0.25">
      <c r="A10" s="88" t="s">
        <v>34</v>
      </c>
      <c r="B10" s="89"/>
      <c r="C10" s="89"/>
      <c r="D10" s="90"/>
      <c r="E10" s="94" t="s">
        <v>35</v>
      </c>
      <c r="F10" s="89"/>
      <c r="G10" s="89"/>
      <c r="H10" s="89"/>
      <c r="I10" s="95"/>
    </row>
    <row r="11" spans="1:9" x14ac:dyDescent="0.25">
      <c r="A11" s="91"/>
      <c r="B11" s="92"/>
      <c r="C11" s="92"/>
      <c r="D11" s="93"/>
      <c r="E11" s="96"/>
      <c r="F11" s="92"/>
      <c r="G11" s="92"/>
      <c r="H11" s="92"/>
      <c r="I11" s="97"/>
    </row>
    <row r="12" spans="1:9" x14ac:dyDescent="0.25">
      <c r="A12" s="91"/>
      <c r="B12" s="92"/>
      <c r="C12" s="92"/>
      <c r="D12" s="93"/>
      <c r="E12" s="96"/>
      <c r="F12" s="92"/>
      <c r="G12" s="92"/>
      <c r="H12" s="92"/>
      <c r="I12" s="97"/>
    </row>
    <row r="13" spans="1:9" x14ac:dyDescent="0.25">
      <c r="A13" s="81"/>
      <c r="B13" s="82"/>
      <c r="C13" s="82"/>
      <c r="D13" s="82"/>
      <c r="E13" s="82"/>
      <c r="F13" s="82"/>
      <c r="G13" s="82"/>
      <c r="H13" s="82"/>
      <c r="I13" s="83"/>
    </row>
    <row r="14" spans="1:9" x14ac:dyDescent="0.25">
      <c r="A14" s="5" t="s">
        <v>10</v>
      </c>
      <c r="B14" s="78" t="s">
        <v>11</v>
      </c>
      <c r="C14" s="78"/>
      <c r="D14" s="78"/>
      <c r="E14" s="7" t="s">
        <v>12</v>
      </c>
      <c r="F14" s="6" t="s">
        <v>13</v>
      </c>
      <c r="G14" s="112" t="s">
        <v>14</v>
      </c>
      <c r="H14" s="113"/>
      <c r="I14" s="114"/>
    </row>
    <row r="15" spans="1:9" x14ac:dyDescent="0.25">
      <c r="A15" s="2"/>
      <c r="B15" s="44"/>
      <c r="C15" s="44"/>
      <c r="D15" s="44"/>
      <c r="E15" s="1"/>
      <c r="F15" s="1"/>
      <c r="G15" s="58"/>
      <c r="H15" s="58"/>
      <c r="I15" s="59"/>
    </row>
    <row r="16" spans="1:9" x14ac:dyDescent="0.25">
      <c r="A16" s="3"/>
      <c r="B16" s="41"/>
      <c r="C16" s="41"/>
      <c r="D16" s="41"/>
      <c r="E16" s="4"/>
      <c r="F16" s="4"/>
      <c r="G16" s="42"/>
      <c r="H16" s="42"/>
      <c r="I16" s="43"/>
    </row>
    <row r="17" spans="1:9" x14ac:dyDescent="0.25">
      <c r="A17" s="2">
        <v>1</v>
      </c>
      <c r="B17" s="44" t="s">
        <v>36</v>
      </c>
      <c r="C17" s="44"/>
      <c r="D17" s="44"/>
      <c r="E17" s="1">
        <v>1000</v>
      </c>
      <c r="F17" s="1">
        <v>2166.67</v>
      </c>
      <c r="G17" s="58">
        <f>E17*F17</f>
        <v>2166670</v>
      </c>
      <c r="H17" s="58"/>
      <c r="I17" s="59"/>
    </row>
    <row r="18" spans="1:9" x14ac:dyDescent="0.25">
      <c r="A18" s="3">
        <v>2</v>
      </c>
      <c r="B18" s="41" t="s">
        <v>37</v>
      </c>
      <c r="C18" s="41"/>
      <c r="D18" s="41"/>
      <c r="E18" s="4">
        <v>1000</v>
      </c>
      <c r="F18" s="4">
        <v>216.67</v>
      </c>
      <c r="G18" s="42">
        <f>+E18*F18</f>
        <v>216670</v>
      </c>
      <c r="H18" s="42"/>
      <c r="I18" s="43"/>
    </row>
    <row r="19" spans="1:9" x14ac:dyDescent="0.25">
      <c r="A19" s="2"/>
      <c r="B19" s="44"/>
      <c r="C19" s="44"/>
      <c r="D19" s="44"/>
      <c r="E19" s="1"/>
      <c r="F19" s="1"/>
      <c r="G19" s="58"/>
      <c r="H19" s="58"/>
      <c r="I19" s="59"/>
    </row>
    <row r="20" spans="1:9" x14ac:dyDescent="0.25">
      <c r="A20" s="3"/>
      <c r="B20" s="41"/>
      <c r="C20" s="41"/>
      <c r="D20" s="41"/>
      <c r="E20" s="4"/>
      <c r="F20" s="4"/>
      <c r="G20" s="42"/>
      <c r="H20" s="42"/>
      <c r="I20" s="43"/>
    </row>
    <row r="21" spans="1:9" x14ac:dyDescent="0.25">
      <c r="A21" s="22"/>
      <c r="B21" s="49"/>
      <c r="C21" s="49"/>
      <c r="D21" s="49"/>
      <c r="E21" s="19"/>
      <c r="F21" s="19"/>
      <c r="G21" s="56"/>
      <c r="H21" s="56"/>
      <c r="I21" s="57"/>
    </row>
    <row r="22" spans="1:9" x14ac:dyDescent="0.25">
      <c r="A22" s="30"/>
      <c r="B22" s="44"/>
      <c r="C22" s="44"/>
      <c r="D22" s="44"/>
      <c r="E22" s="31"/>
      <c r="F22" s="31"/>
      <c r="G22" s="44"/>
      <c r="H22" s="44"/>
      <c r="I22" s="45"/>
    </row>
    <row r="23" spans="1:9" x14ac:dyDescent="0.25">
      <c r="A23" s="2"/>
      <c r="B23" s="44"/>
      <c r="C23" s="44"/>
      <c r="D23" s="44"/>
      <c r="E23" s="1"/>
      <c r="F23" s="1"/>
      <c r="G23" s="58"/>
      <c r="H23" s="58"/>
      <c r="I23" s="59"/>
    </row>
    <row r="24" spans="1:9" x14ac:dyDescent="0.25">
      <c r="A24" s="3"/>
      <c r="B24" s="41"/>
      <c r="C24" s="41"/>
      <c r="D24" s="41"/>
      <c r="E24" s="4"/>
      <c r="F24" s="4"/>
      <c r="G24" s="42"/>
      <c r="H24" s="42"/>
      <c r="I24" s="43"/>
    </row>
    <row r="25" spans="1:9" x14ac:dyDescent="0.25">
      <c r="A25" s="22"/>
      <c r="B25" s="49"/>
      <c r="C25" s="49"/>
      <c r="D25" s="49"/>
      <c r="E25" s="19"/>
      <c r="F25" s="19"/>
      <c r="G25" s="56"/>
      <c r="H25" s="56"/>
      <c r="I25" s="57"/>
    </row>
    <row r="26" spans="1:9" x14ac:dyDescent="0.25">
      <c r="A26" s="30"/>
      <c r="B26" s="44"/>
      <c r="C26" s="44"/>
      <c r="D26" s="44"/>
      <c r="E26" s="31"/>
      <c r="F26" s="31"/>
      <c r="G26" s="44"/>
      <c r="H26" s="44"/>
      <c r="I26" s="45"/>
    </row>
    <row r="27" spans="1:9" x14ac:dyDescent="0.25">
      <c r="A27" s="2"/>
      <c r="B27" s="44"/>
      <c r="C27" s="44"/>
      <c r="D27" s="44"/>
      <c r="E27" s="1"/>
      <c r="F27" s="1"/>
      <c r="G27" s="38"/>
      <c r="H27" s="39"/>
      <c r="I27" s="40"/>
    </row>
    <row r="28" spans="1:9" x14ac:dyDescent="0.25">
      <c r="A28" s="3"/>
      <c r="B28" s="41"/>
      <c r="C28" s="41"/>
      <c r="D28" s="41"/>
      <c r="E28" s="4"/>
      <c r="F28" s="4"/>
      <c r="G28" s="53"/>
      <c r="H28" s="54"/>
      <c r="I28" s="55"/>
    </row>
    <row r="29" spans="1:9" x14ac:dyDescent="0.25">
      <c r="A29" s="22"/>
      <c r="B29" s="49"/>
      <c r="C29" s="49"/>
      <c r="D29" s="49"/>
      <c r="E29" s="19"/>
      <c r="F29" s="19"/>
      <c r="G29" s="35"/>
      <c r="H29" s="36"/>
      <c r="I29" s="37"/>
    </row>
    <row r="30" spans="1:9" x14ac:dyDescent="0.25">
      <c r="A30" s="30"/>
      <c r="B30" s="46"/>
      <c r="C30" s="47"/>
      <c r="D30" s="48"/>
      <c r="E30" s="31"/>
      <c r="F30" s="31"/>
      <c r="G30" s="44"/>
      <c r="H30" s="44"/>
      <c r="I30" s="45"/>
    </row>
    <row r="31" spans="1:9" x14ac:dyDescent="0.25">
      <c r="A31" s="2"/>
      <c r="B31" s="46"/>
      <c r="C31" s="47"/>
      <c r="D31" s="48"/>
      <c r="E31" s="1"/>
      <c r="F31" s="1"/>
      <c r="G31" s="38"/>
      <c r="H31" s="39"/>
      <c r="I31" s="40"/>
    </row>
    <row r="32" spans="1:9" x14ac:dyDescent="0.25">
      <c r="A32" s="3"/>
      <c r="B32" s="50"/>
      <c r="C32" s="51"/>
      <c r="D32" s="52"/>
      <c r="E32" s="4"/>
      <c r="F32" s="4"/>
      <c r="G32" s="53"/>
      <c r="H32" s="54"/>
      <c r="I32" s="55"/>
    </row>
    <row r="33" spans="1:9" x14ac:dyDescent="0.25">
      <c r="A33" s="22"/>
      <c r="B33" s="60"/>
      <c r="C33" s="61"/>
      <c r="D33" s="62"/>
      <c r="E33" s="19"/>
      <c r="F33" s="19"/>
      <c r="G33" s="35"/>
      <c r="H33" s="36"/>
      <c r="I33" s="37"/>
    </row>
    <row r="34" spans="1:9" x14ac:dyDescent="0.25">
      <c r="A34" s="30"/>
      <c r="B34" s="44"/>
      <c r="C34" s="44"/>
      <c r="D34" s="44"/>
      <c r="E34" s="31"/>
      <c r="F34" s="31"/>
      <c r="G34" s="44"/>
      <c r="H34" s="44"/>
      <c r="I34" s="45"/>
    </row>
    <row r="35" spans="1:9" x14ac:dyDescent="0.25">
      <c r="A35" s="2"/>
      <c r="B35" s="46"/>
      <c r="C35" s="47"/>
      <c r="D35" s="48"/>
      <c r="E35" s="1"/>
      <c r="F35" s="1"/>
      <c r="G35" s="38"/>
      <c r="H35" s="39"/>
      <c r="I35" s="40"/>
    </row>
    <row r="36" spans="1:9" x14ac:dyDescent="0.25">
      <c r="A36" s="3"/>
      <c r="B36" s="50"/>
      <c r="C36" s="51"/>
      <c r="D36" s="52"/>
      <c r="E36" s="4"/>
      <c r="F36" s="4"/>
      <c r="G36" s="53"/>
      <c r="H36" s="54"/>
      <c r="I36" s="55"/>
    </row>
    <row r="37" spans="1:9" ht="20.25" x14ac:dyDescent="0.25">
      <c r="A37" s="109" t="s">
        <v>18</v>
      </c>
      <c r="B37" s="110"/>
      <c r="C37" s="110"/>
      <c r="D37" s="110"/>
      <c r="E37" s="110"/>
      <c r="F37" s="111"/>
      <c r="G37" s="67">
        <f>SUM(G17:I36)</f>
        <v>2383340</v>
      </c>
      <c r="H37" s="68"/>
      <c r="I37" s="69"/>
    </row>
    <row r="38" spans="1:9" x14ac:dyDescent="0.25">
      <c r="A38" s="70"/>
      <c r="B38" s="71"/>
      <c r="C38" s="71"/>
      <c r="D38" s="71"/>
      <c r="E38" s="71"/>
      <c r="F38" s="71"/>
      <c r="G38" s="71"/>
      <c r="H38" s="71"/>
      <c r="I38" s="72"/>
    </row>
    <row r="39" spans="1:9" ht="20.25" x14ac:dyDescent="0.25">
      <c r="A39" s="9"/>
      <c r="B39" s="16"/>
      <c r="C39" s="16"/>
      <c r="D39" s="14"/>
      <c r="E39" s="17" t="s">
        <v>19</v>
      </c>
      <c r="F39" s="18"/>
      <c r="G39" s="73">
        <f>G37</f>
        <v>2383340</v>
      </c>
      <c r="H39" s="73"/>
      <c r="I39" s="74"/>
    </row>
    <row r="40" spans="1:9" ht="15.75" x14ac:dyDescent="0.25">
      <c r="A40" s="9"/>
      <c r="B40" s="16"/>
      <c r="C40" s="16"/>
      <c r="D40" s="14"/>
      <c r="E40" s="29" t="s">
        <v>20</v>
      </c>
      <c r="F40" s="29"/>
      <c r="G40" s="63">
        <v>248625</v>
      </c>
      <c r="H40" s="63"/>
      <c r="I40" s="64"/>
    </row>
    <row r="41" spans="1:9" ht="3.6" customHeight="1" x14ac:dyDescent="0.25">
      <c r="A41" s="9"/>
      <c r="B41" s="16"/>
      <c r="C41" s="16"/>
      <c r="D41" s="14"/>
      <c r="E41" s="15"/>
      <c r="F41" s="15"/>
      <c r="G41" s="20"/>
      <c r="H41" s="20"/>
      <c r="I41" s="21"/>
    </row>
    <row r="42" spans="1:9" ht="21" thickBot="1" x14ac:dyDescent="0.3">
      <c r="A42" s="10"/>
      <c r="B42" s="11"/>
      <c r="C42" s="11"/>
      <c r="D42" s="8"/>
      <c r="E42" s="12" t="s">
        <v>18</v>
      </c>
      <c r="F42" s="12"/>
      <c r="G42" s="65">
        <f>G39+G40</f>
        <v>2631965</v>
      </c>
      <c r="H42" s="65"/>
      <c r="I42" s="66"/>
    </row>
  </sheetData>
  <mergeCells count="66">
    <mergeCell ref="A6:D6"/>
    <mergeCell ref="E6:I6"/>
    <mergeCell ref="A5:I5"/>
    <mergeCell ref="A1:G1"/>
    <mergeCell ref="A2:G2"/>
    <mergeCell ref="A13:I13"/>
    <mergeCell ref="A7:D7"/>
    <mergeCell ref="E7:I7"/>
    <mergeCell ref="A8:D8"/>
    <mergeCell ref="E8:I8"/>
    <mergeCell ref="A9:D9"/>
    <mergeCell ref="E9:I9"/>
    <mergeCell ref="A10:D12"/>
    <mergeCell ref="E10:I12"/>
    <mergeCell ref="B14:D14"/>
    <mergeCell ref="G14:I14"/>
    <mergeCell ref="B15:D15"/>
    <mergeCell ref="G15:I15"/>
    <mergeCell ref="B16:D16"/>
    <mergeCell ref="G16:I16"/>
    <mergeCell ref="G40:I40"/>
    <mergeCell ref="G42:I42"/>
    <mergeCell ref="B36:D36"/>
    <mergeCell ref="G36:I36"/>
    <mergeCell ref="G37:I37"/>
    <mergeCell ref="A38:I38"/>
    <mergeCell ref="G39:I39"/>
    <mergeCell ref="B17:D17"/>
    <mergeCell ref="G17:I17"/>
    <mergeCell ref="B34:D34"/>
    <mergeCell ref="G34:I34"/>
    <mergeCell ref="B33:D33"/>
    <mergeCell ref="B18:D18"/>
    <mergeCell ref="G18:I18"/>
    <mergeCell ref="B19:D19"/>
    <mergeCell ref="G19:I19"/>
    <mergeCell ref="B20:D20"/>
    <mergeCell ref="G20:I20"/>
    <mergeCell ref="B21:D21"/>
    <mergeCell ref="G21:I21"/>
    <mergeCell ref="B22:D22"/>
    <mergeCell ref="G22:I22"/>
    <mergeCell ref="B23:D23"/>
    <mergeCell ref="G23:I23"/>
    <mergeCell ref="B24:D24"/>
    <mergeCell ref="G24:I24"/>
    <mergeCell ref="B25:D25"/>
    <mergeCell ref="G25:I25"/>
    <mergeCell ref="B26:D26"/>
    <mergeCell ref="G26:I26"/>
    <mergeCell ref="B27:D27"/>
    <mergeCell ref="G27:I27"/>
    <mergeCell ref="B28:D28"/>
    <mergeCell ref="G28:I28"/>
    <mergeCell ref="B29:D29"/>
    <mergeCell ref="G29:I29"/>
    <mergeCell ref="B30:D30"/>
    <mergeCell ref="G30:I30"/>
    <mergeCell ref="B31:D31"/>
    <mergeCell ref="G31:I31"/>
    <mergeCell ref="B32:D32"/>
    <mergeCell ref="G32:I32"/>
    <mergeCell ref="G33:I33"/>
    <mergeCell ref="G35:I35"/>
    <mergeCell ref="A37:F37"/>
    <mergeCell ref="B35:D3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Props1.xml><?xml version="1.0" encoding="utf-8"?>
<ds:datastoreItem xmlns:ds="http://schemas.openxmlformats.org/officeDocument/2006/customXml" ds:itemID="{32650417-90A1-4E7F-8947-C2973733F0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386A16-7C4D-41C8-922B-224E4A35E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2014AA-954C-43F3-9753-BAE5FC3FFEAC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  <ds:schemaRef ds:uri="1e3a9498-45e1-4121-9cf9-83f762cff582"/>
    <ds:schemaRef ds:uri="a3ee3419-f813-43ff-8070-dce059c64b7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11094 22 PASU</vt:lpstr>
      <vt:lpstr>11081 22 PASU</vt:lpstr>
      <vt:lpstr>12950 22 PASU</vt:lpstr>
      <vt:lpstr>13606 22 PASU</vt:lpstr>
      <vt:lpstr>21771 22 PASU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Rituparna Banerjee</dc:creator>
  <cp:keywords/>
  <dc:description/>
  <cp:lastModifiedBy>Narender Goud Burri</cp:lastModifiedBy>
  <cp:revision/>
  <cp:lastPrinted>2024-10-23T13:27:13Z</cp:lastPrinted>
  <dcterms:created xsi:type="dcterms:W3CDTF">2022-09-26T06:30:17Z</dcterms:created>
  <dcterms:modified xsi:type="dcterms:W3CDTF">2024-10-23T13:27:30Z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