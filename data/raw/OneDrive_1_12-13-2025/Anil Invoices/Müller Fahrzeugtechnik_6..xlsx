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rapidspectrum.sharepoint.com/sites/GoldenDB/Shared Documents/FA Team/Demo 2.0/02. Invoices for Demo Data OCR/Anil Invoices/"/>
    </mc:Choice>
  </mc:AlternateContent>
  <xr:revisionPtr revIDLastSave="109" documentId="13_ncr:1_{CE75E720-0FAA-4ADE-84EE-DE80138A5C65}" xr6:coauthVersionLast="47" xr6:coauthVersionMax="47" xr10:uidLastSave="{91F614BD-B7D1-440D-B0B3-AA6685C3A408}"/>
  <bookViews>
    <workbookView xWindow="-108" yWindow="-108" windowWidth="23256" windowHeight="12456" xr2:uid="{00000000-000D-0000-FFFF-FFFF00000000}"/>
  </bookViews>
  <sheets>
    <sheet name="4729-23 MÜFA" sheetId="2" r:id="rId1"/>
    <sheet name="7228-23 MÜFA" sheetId="3" r:id="rId2"/>
    <sheet name="7231-23 MÜFA" sheetId="4" r:id="rId3"/>
    <sheet name="7234-23 MÜFA" sheetId="5" r:id="rId4"/>
    <sheet name="7245-23 MÜFA" sheetId="6" r:id="rId5"/>
    <sheet name="26351-24 MÜFA" sheetId="7" r:id="rId6"/>
  </sheets>
  <definedNames>
    <definedName name="CompanyName">#REF!</definedName>
    <definedName name="RowTitleRegion1..E4">#REF!</definedName>
    <definedName name="RowTitleRegion2..E23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3" l="1"/>
  <c r="D17" i="7"/>
  <c r="D16" i="7"/>
  <c r="D15" i="7"/>
  <c r="D18" i="7"/>
  <c r="D17" i="3"/>
  <c r="D16" i="2"/>
  <c r="C12" i="7"/>
  <c r="C11" i="7"/>
  <c r="C10" i="7"/>
  <c r="C18" i="6"/>
  <c r="D18" i="6" s="1"/>
  <c r="D17" i="6"/>
  <c r="D16" i="6"/>
  <c r="D15" i="6"/>
  <c r="C12" i="6"/>
  <c r="C11" i="6"/>
  <c r="C10" i="6"/>
  <c r="D15" i="5"/>
  <c r="C12" i="5"/>
  <c r="C11" i="5"/>
  <c r="C10" i="5"/>
  <c r="C17" i="4"/>
  <c r="D17" i="4" s="1"/>
  <c r="D15" i="4"/>
  <c r="D16" i="4"/>
  <c r="C12" i="4"/>
  <c r="C11" i="4"/>
  <c r="C10" i="4"/>
  <c r="D16" i="3"/>
  <c r="D15" i="3"/>
  <c r="C12" i="3"/>
  <c r="C11" i="3"/>
  <c r="C10" i="3"/>
  <c r="D15" i="2"/>
  <c r="C12" i="2"/>
  <c r="C11" i="2"/>
  <c r="C10" i="2"/>
  <c r="D23" i="6" l="1"/>
  <c r="D25" i="6" s="1"/>
  <c r="D23" i="2"/>
  <c r="D25" i="2" s="1"/>
  <c r="D23" i="7"/>
  <c r="D25" i="7" s="1"/>
  <c r="D23" i="3"/>
  <c r="D25" i="3" s="1"/>
  <c r="D23" i="5"/>
  <c r="D25" i="5" s="1"/>
  <c r="D23" i="4"/>
  <c r="D2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tc={3780E670-BF8B-43F7-B0BE-306191FC96B7}</author>
    <author>tc={AA0AFDE7-8DBD-4DCE-97A2-AF7F8CC998C1}</author>
  </authors>
  <commentList>
    <comment ref="A15" authorId="0" shapeId="0" xr:uid="{3780E670-BF8B-43F7-B0BE-306191FC96B7}">
      <text>
        <t>[Threaded comment]
Your version of Excel allows you to read this threaded comment; however, any edits to it will get removed if the file is opened in a newer version of Excel. Learn more: https://go.microsoft.com/fwlink/?linkid=870924
Comment:
    Coil Springs</t>
      </text>
    </comment>
    <comment ref="A16" authorId="1" shapeId="0" xr:uid="{AA0AFDE7-8DBD-4DCE-97A2-AF7F8CC998C1}">
      <text>
        <t>[Threaded comment]
Your version of Excel allows you to read this threaded comment; however, any edits to it will get removed if the file is opened in a newer version of Excel. Learn more: https://go.microsoft.com/fwlink/?linkid=870924
Comment:
    Cylinder Head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tc={1D744E27-5439-4C2C-A94B-2E76AE150D3E}</author>
    <author>tc={F552AA3C-1116-4FBA-B38D-711398ABCA1F}</author>
    <author>tc={F2204707-2CF1-4E44-B906-AE20CBBD8A51}</author>
    <author>tc={AB942DD4-E489-4B91-84CE-2BE4E8ABFE48}</author>
  </authors>
  <commentList>
    <comment ref="A15" authorId="0" shapeId="0" xr:uid="{1D744E27-5439-4C2C-A94B-2E76AE150D3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Thermostat</t>
      </text>
    </comment>
    <comment ref="A16" authorId="1" shapeId="0" xr:uid="{F552AA3C-1116-4FBA-B38D-711398ABCA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Premium Packing Charge</t>
      </text>
    </comment>
    <comment ref="A17" authorId="2" shapeId="0" xr:uid="{F2204707-2CF1-4E44-B906-AE20CBBD8A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Premium Packing Charge</t>
      </text>
    </comment>
    <comment ref="A18" authorId="3" shapeId="0" xr:uid="{AB942DD4-E489-4B91-84CE-2BE4E8ABFE48}">
      <text>
        <t>[Threaded comment]
Your version of Excel allows you to read this threaded comment; however, any edits to it will get removed if the file is opened in a newer version of Excel. Learn more: https://go.microsoft.com/fwlink/?linkid=870924
Comment:
    Bulk Purchase Discount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tc={BBFE6EA6-F1CA-4C51-8878-C8EFB5B6A628}</author>
    <author>tc={C7EB9169-292C-44A9-AB53-517604558728}</author>
    <author>tc={0F50095E-DD03-46CD-8221-379F6D024EBE}</author>
  </authors>
  <commentList>
    <comment ref="A15" authorId="0" shapeId="0" xr:uid="{BBFE6EA6-F1CA-4C51-8878-C8EFB5B6A628}">
      <text>
        <t>[Threaded comment]
Your version of Excel allows you to read this threaded comment; however, any edits to it will get removed if the file is opened in a newer version of Excel. Learn more: https://go.microsoft.com/fwlink/?linkid=870924
Comment:
    Clutch</t>
      </text>
    </comment>
    <comment ref="A16" authorId="1" shapeId="0" xr:uid="{C7EB9169-292C-44A9-AB53-517604558728}">
      <text>
        <t>[Threaded comment]
Your version of Excel allows you to read this threaded comment; however, any edits to it will get removed if the file is opened in a newer version of Excel. Learn more: https://go.microsoft.com/fwlink/?linkid=870924
Comment:
    Eco-Friendly Packing Charge</t>
      </text>
    </comment>
    <comment ref="A17" authorId="2" shapeId="0" xr:uid="{0F50095E-DD03-46CD-8221-379F6D024EBE}">
      <text>
        <t>[Threaded comment]
Your version of Excel allows you to read this threaded comment; however, any edits to it will get removed if the file is opened in a newer version of Excel. Learn more: https://go.microsoft.com/fwlink/?linkid=870924
Comment:
    Volume Discount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tc={9428FA38-AC50-4222-80F0-5B9523CC2117}</author>
  </authors>
  <commentList>
    <comment ref="A15" authorId="0" shapeId="0" xr:uid="{9428FA38-AC50-4222-80F0-5B9523CC2117}">
      <text>
        <t>[Threaded comment]
Your version of Excel allows you to read this threaded comment; however, any edits to it will get removed if the file is opened in a newer version of Excel. Learn more: https://go.microsoft.com/fwlink/?linkid=870924
Comment:
    Loyalty Program Rewards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tc={B16E2E68-B263-468F-8063-9B5207A44E39}</author>
    <author>tc={31C81A7C-3CCC-4FCA-BF2A-5F0CCAAA4274}</author>
    <author>tc={C1E659E2-3040-47C1-9821-4814D27B34CD}</author>
    <author>tc={12115EC9-DF9F-4054-AECF-23B72A0F4879}</author>
  </authors>
  <commentList>
    <comment ref="A15" authorId="0" shapeId="0" xr:uid="{B16E2E68-B263-468F-8063-9B5207A44E39}">
      <text>
        <t>[Threaded comment]
Your version of Excel allows you to read this threaded comment; however, any edits to it will get removed if the file is opened in a newer version of Excel. Learn more: https://go.microsoft.com/fwlink/?linkid=870924
Comment:
    Performance Brakes</t>
      </text>
    </comment>
    <comment ref="A16" authorId="1" shapeId="0" xr:uid="{31C81A7C-3CCC-4FCA-BF2A-5F0CCAAA4274}">
      <text>
        <t>[Threaded comment]
Your version of Excel allows you to read this threaded comment; however, any edits to it will get removed if the file is opened in a newer version of Excel. Learn more: https://go.microsoft.com/fwlink/?linkid=870924
Comment:
    Eco-Friendly Packing Charge</t>
      </text>
    </comment>
    <comment ref="A17" authorId="2" shapeId="0" xr:uid="{C1E659E2-3040-47C1-9821-4814D27B34CD}">
      <text>
        <t>[Threaded comment]
Your version of Excel allows you to read this threaded comment; however, any edits to it will get removed if the file is opened in a newer version of Excel. Learn more: https://go.microsoft.com/fwlink/?linkid=870924
Comment:
    Multi-Item Packing Charge</t>
      </text>
    </comment>
    <comment ref="A18" authorId="3" shapeId="0" xr:uid="{12115EC9-DF9F-4054-AECF-23B72A0F4879}">
      <text>
        <t>[Threaded comment]
Your version of Excel allows you to read this threaded comment; however, any edits to it will get removed if the file is opened in a newer version of Excel. Learn more: https://go.microsoft.com/fwlink/?linkid=870924
Comment:
    Seasonal Promotion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tc={FBD69CA4-FA35-4A25-AB6F-DAC959CC5202}</author>
    <author>tc={67809781-D7C3-41A4-8582-BE0D73CC06C7}</author>
    <author>tc={036110D7-6E19-478F-AD1A-4D2B082E355C}</author>
    <author>tc={5CAA16AA-324C-4EB9-A6BD-C6136C7E260D}</author>
  </authors>
  <commentList>
    <comment ref="A15" authorId="0" shapeId="0" xr:uid="{FBD69CA4-FA35-4A25-AB6F-DAC959CC5202}">
      <text>
        <t>[Threaded comment]
Your version of Excel allows you to read this threaded comment; however, any edits to it will get removed if the file is opened in a newer version of Excel. Learn more: https://go.microsoft.com/fwlink/?linkid=870924
Comment:
    Performance Brakes</t>
      </text>
    </comment>
    <comment ref="A16" authorId="1" shapeId="0" xr:uid="{67809781-D7C3-41A4-8582-BE0D73CC06C7}">
      <text>
        <t>[Threaded comment]
Your version of Excel allows you to read this threaded comment; however, any edits to it will get removed if the file is opened in a newer version of Excel. Learn more: https://go.microsoft.com/fwlink/?linkid=870924
Comment:
    Eco-Friendly Packing Charge</t>
      </text>
    </comment>
    <comment ref="A17" authorId="2" shapeId="0" xr:uid="{036110D7-6E19-478F-AD1A-4D2B082E355C}">
      <text>
        <t>[Threaded comment]
Your version of Excel allows you to read this threaded comment; however, any edits to it will get removed if the file is opened in a newer version of Excel. Learn more: https://go.microsoft.com/fwlink/?linkid=870924
Comment:
    Eco-Friendly Packing Charge</t>
      </text>
    </comment>
    <comment ref="A18" authorId="3" shapeId="0" xr:uid="{5CAA16AA-324C-4EB9-A6BD-C6136C7E260D}">
      <text>
        <t>[Threaded comment]
Your version of Excel allows you to read this threaded comment; however, any edits to it will get removed if the file is opened in a newer version of Excel. Learn more: https://go.microsoft.com/fwlink/?linkid=870924
Comment:
    Volume Discount</t>
      </text>
    </comment>
  </commentList>
</comments>
</file>

<file path=xl/sharedStrings.xml><?xml version="1.0" encoding="utf-8"?>
<sst xmlns="http://schemas.openxmlformats.org/spreadsheetml/2006/main" count="132" uniqueCount="41">
  <si>
    <t>Müller Fahrzeugtechnik</t>
  </si>
  <si>
    <t>70674 BrianCourts Apt.046, Munich, Hamburg, Germany, 92653</t>
  </si>
  <si>
    <t>Rechnungsnr.:</t>
  </si>
  <si>
    <t>4729-23</t>
  </si>
  <si>
    <t>Rechnungsdatum:</t>
  </si>
  <si>
    <t>GESETZESENTWURF FÜR:</t>
  </si>
  <si>
    <t>AUSLIEFERN:</t>
  </si>
  <si>
    <t>Steel Horse Auto Inc</t>
  </si>
  <si>
    <t xml:space="preserve">265 Lopez Orchard, East John, Michigan, </t>
  </si>
  <si>
    <t>United States, 43306</t>
  </si>
  <si>
    <t>BESCHREIBUNG</t>
  </si>
  <si>
    <t>MENGE</t>
  </si>
  <si>
    <t>STÜCKPREIS</t>
  </si>
  <si>
    <t>BETRAG</t>
  </si>
  <si>
    <t>Ressorts hélicoïdaux</t>
  </si>
  <si>
    <t>Zylinderkopf</t>
  </si>
  <si>
    <t>Zwischensumme</t>
  </si>
  <si>
    <t>Stellen Sie alle Schecks zahlbar an Müller Fahrzeugtechnik</t>
  </si>
  <si>
    <t>Steuer</t>
  </si>
  <si>
    <t>Vielen Dank für Ihr Geschäft!</t>
  </si>
  <si>
    <t>GESAMT</t>
  </si>
  <si>
    <t>7228-23</t>
  </si>
  <si>
    <t>Thermostat</t>
  </si>
  <si>
    <t>Kupplung</t>
  </si>
  <si>
    <t>Premium-Verpackungskosten</t>
  </si>
  <si>
    <t>Mengenrabatt</t>
  </si>
  <si>
    <t>7231-23</t>
  </si>
  <si>
    <t>Umweltfreundliche Verpackungskosten</t>
  </si>
  <si>
    <t>Volumenrabatt</t>
  </si>
  <si>
    <t>7234-23</t>
  </si>
  <si>
    <t>Treueprogramm-Belohnungen</t>
  </si>
  <si>
    <t>7245-23</t>
  </si>
  <si>
    <t>Leistungsbremsen</t>
  </si>
  <si>
    <t>Leistungsbremsen EOM</t>
  </si>
  <si>
    <t>Verpackungskosten für mehrere Artikel</t>
  </si>
  <si>
    <t>Saisonale Aktion</t>
  </si>
  <si>
    <t>26351-24</t>
  </si>
  <si>
    <t>Steel Horse Auto Assembly NJ Inc</t>
  </si>
  <si>
    <t xml:space="preserve">0015 Angela Mission, Kathyborough, </t>
  </si>
  <si>
    <t>New Jersey, United States</t>
  </si>
  <si>
    <t>Gitter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</si>
</sst>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[&lt;=9999999]###\-####;###\-###\-####"/>
    <numFmt numFmtId="165" formatCode="0_);\(0\)"/>
    <numFmt numFmtId="166" formatCode="&quot;$&quot;#,##0.00"/>
    <numFmt numFmtId="167" formatCode="[$EUR]\ #,##0.00"/>
    <numFmt numFmtId="168" formatCode="_ [$€-2]\ * #,##0.00_ ;_ [$€-2]\ * \-#,##0.00_ ;_ [$€-2]\ * &quot;-&quot;??_ ;_ @_ "/>
  </numFmts>
  <fonts count="12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rgb="FF166982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theme="3"/>
      <name val="Arial"/>
      <family val="2"/>
      <scheme val="minor"/>
    </font>
    <font>
      <b/>
      <sz val="24"/>
      <color theme="3"/>
      <name val="Arial"/>
      <family val="2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4"/>
      <color theme="3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2"/>
      <color theme="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DCF2F8"/>
      </patternFill>
    </fill>
    <fill>
      <patternFill patternType="solid">
        <fgColor theme="9" tint="0.79998168889431442"/>
        <bgColor rgb="FFDCF2F8"/>
      </patternFill>
    </fill>
    <fill>
      <patternFill patternType="solid">
        <fgColor theme="9" tint="0.79998168889431442"/>
        <bgColor rgb="FF166982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219DC3"/>
      </bottom>
      <diagonal/>
    </border>
    <border>
      <left/>
      <right style="medium">
        <color indexed="64"/>
      </right>
      <top/>
      <bottom style="double">
        <color rgb="FF219DC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166" fontId="0" fillId="5" borderId="1" xfId="0" applyNumberFormat="1" applyFill="1" applyBorder="1" applyAlignment="1">
      <alignment horizontal="right" vertical="center"/>
    </xf>
    <xf numFmtId="0" fontId="0" fillId="5" borderId="1" xfId="0" applyFill="1" applyBorder="1" applyAlignment="1">
      <alignment horizontal="center" vertical="center"/>
    </xf>
    <xf numFmtId="166" fontId="10" fillId="0" borderId="1" xfId="0" applyNumberFormat="1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167" fontId="0" fillId="5" borderId="1" xfId="0" applyNumberFormat="1" applyFill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168" fontId="0" fillId="0" borderId="1" xfId="0" applyNumberFormat="1" applyBorder="1" applyAlignment="1">
      <alignment horizontal="right" vertical="center"/>
    </xf>
    <xf numFmtId="168" fontId="0" fillId="5" borderId="1" xfId="0" applyNumberFormat="1" applyFill="1" applyBorder="1" applyAlignment="1">
      <alignment horizontal="right" vertical="center"/>
    </xf>
    <xf numFmtId="14" fontId="4" fillId="4" borderId="6" xfId="0" applyNumberFormat="1" applyFont="1" applyFill="1" applyBorder="1" applyAlignment="1">
      <alignment horizontal="left" vertical="center"/>
    </xf>
    <xf numFmtId="0" fontId="8" fillId="0" borderId="6" xfId="0" applyFont="1" applyBorder="1" applyAlignment="1">
      <alignment horizontal="left" wrapText="1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168" fontId="0" fillId="0" borderId="6" xfId="0" applyNumberFormat="1" applyBorder="1" applyAlignment="1">
      <alignment horizontal="right" vertical="center"/>
    </xf>
    <xf numFmtId="165" fontId="0" fillId="5" borderId="5" xfId="0" applyNumberFormat="1" applyFill="1" applyBorder="1" applyAlignment="1">
      <alignment horizontal="left" vertical="center"/>
    </xf>
    <xf numFmtId="168" fontId="0" fillId="5" borderId="6" xfId="0" applyNumberFormat="1" applyFill="1" applyBorder="1" applyAlignment="1">
      <alignment horizontal="right" vertical="center"/>
    </xf>
    <xf numFmtId="165" fontId="0" fillId="0" borderId="5" xfId="0" applyNumberFormat="1" applyBorder="1" applyAlignment="1">
      <alignment horizontal="left" vertical="center"/>
    </xf>
    <xf numFmtId="167" fontId="0" fillId="5" borderId="6" xfId="0" applyNumberFormat="1" applyFill="1" applyBorder="1" applyAlignment="1">
      <alignment horizontal="right" vertical="center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165" fontId="1" fillId="5" borderId="5" xfId="0" applyNumberFormat="1" applyFont="1" applyFill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center" wrapText="1"/>
    </xf>
    <xf numFmtId="165" fontId="2" fillId="0" borderId="5" xfId="0" applyNumberFormat="1" applyFont="1" applyBorder="1" applyAlignment="1">
      <alignment horizontal="left" vertical="center"/>
    </xf>
    <xf numFmtId="0" fontId="9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164" fontId="5" fillId="3" borderId="5" xfId="0" applyNumberFormat="1" applyFont="1" applyFill="1" applyBorder="1" applyAlignment="1">
      <alignment vertical="center"/>
    </xf>
    <xf numFmtId="164" fontId="5" fillId="3" borderId="1" xfId="0" applyNumberFormat="1" applyFont="1" applyFill="1" applyBorder="1" applyAlignment="1">
      <alignment vertical="center"/>
    </xf>
    <xf numFmtId="0" fontId="9" fillId="3" borderId="2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168" fontId="0" fillId="5" borderId="1" xfId="0" applyNumberForma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7" fillId="0" borderId="5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2" fillId="0" borderId="5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68" fontId="0" fillId="0" borderId="6" xfId="0" applyNumberFormat="1" applyBorder="1" applyAlignment="1">
      <alignment horizontal="left" vertical="center" indent="2"/>
    </xf>
    <xf numFmtId="168" fontId="0" fillId="5" borderId="6" xfId="0" applyNumberFormat="1" applyFill="1" applyBorder="1" applyAlignment="1">
      <alignment horizontal="left" vertical="center" indent="2"/>
    </xf>
    <xf numFmtId="168" fontId="0" fillId="0" borderId="1" xfId="0" applyNumberFormat="1" applyBorder="1" applyAlignment="1">
      <alignment horizontal="left" vertical="center" wrapText="1" indent="5"/>
    </xf>
    <xf numFmtId="168" fontId="0" fillId="5" borderId="1" xfId="0" applyNumberFormat="1" applyFill="1" applyBorder="1" applyAlignment="1">
      <alignment horizontal="left" vertical="center" wrapText="1" indent="5"/>
    </xf>
    <xf numFmtId="168" fontId="0" fillId="0" borderId="1" xfId="0" applyNumberFormat="1" applyBorder="1" applyAlignment="1">
      <alignment horizontal="left" vertical="center" indent="5"/>
    </xf>
    <xf numFmtId="168" fontId="0" fillId="5" borderId="1" xfId="0" applyNumberFormat="1" applyFill="1" applyBorder="1" applyAlignment="1">
      <alignment horizontal="left" vertical="center" indent="5"/>
    </xf>
    <xf numFmtId="168" fontId="0" fillId="0" borderId="6" xfId="0" applyNumberFormat="1" applyBorder="1" applyAlignment="1">
      <alignment horizontal="left" vertical="center" indent="6"/>
    </xf>
    <xf numFmtId="168" fontId="0" fillId="5" borderId="6" xfId="0" applyNumberFormat="1" applyFill="1" applyBorder="1" applyAlignment="1">
      <alignment horizontal="left" vertical="center" indent="6"/>
    </xf>
    <xf numFmtId="168" fontId="0" fillId="0" borderId="6" xfId="0" applyNumberFormat="1" applyBorder="1" applyAlignment="1">
      <alignment horizontal="left" vertical="center" indent="7"/>
    </xf>
    <xf numFmtId="168" fontId="0" fillId="5" borderId="6" xfId="0" applyNumberFormat="1" applyFill="1" applyBorder="1" applyAlignment="1">
      <alignment horizontal="left" vertical="center" indent="7"/>
    </xf>
    <xf numFmtId="168" fontId="0" fillId="0" borderId="6" xfId="0" applyNumberFormat="1" applyBorder="1" applyAlignment="1">
      <alignment horizontal="left" vertical="center" indent="9"/>
    </xf>
    <xf numFmtId="168" fontId="0" fillId="5" borderId="6" xfId="0" applyNumberFormat="1" applyFill="1" applyBorder="1" applyAlignment="1">
      <alignment horizontal="left" vertical="center" indent="9"/>
    </xf>
    <xf numFmtId="168" fontId="0" fillId="0" borderId="1" xfId="0" applyNumberFormat="1" applyBorder="1" applyAlignment="1">
      <alignment horizontal="left" vertical="center" wrapText="1" indent="6"/>
    </xf>
    <xf numFmtId="168" fontId="0" fillId="5" borderId="1" xfId="0" applyNumberFormat="1" applyFill="1" applyBorder="1" applyAlignment="1">
      <alignment horizontal="left" vertical="center" wrapText="1" indent="6"/>
    </xf>
    <xf numFmtId="168" fontId="0" fillId="0" borderId="1" xfId="0" applyNumberFormat="1" applyBorder="1" applyAlignment="1">
      <alignment horizontal="left" vertical="center" wrapText="1" indent="8"/>
    </xf>
    <xf numFmtId="168" fontId="0" fillId="5" borderId="1" xfId="0" applyNumberFormat="1" applyFill="1" applyBorder="1" applyAlignment="1">
      <alignment horizontal="left" vertical="center" wrapText="1" indent="8"/>
    </xf>
    <xf numFmtId="168" fontId="0" fillId="5" borderId="1" xfId="0" applyNumberFormat="1" applyFill="1" applyBorder="1" applyAlignment="1">
      <alignment horizontal="left" vertical="center" indent="8"/>
    </xf>
    <xf numFmtId="168" fontId="0" fillId="0" borderId="1" xfId="0" applyNumberFormat="1" applyBorder="1" applyAlignment="1">
      <alignment horizontal="left" vertical="center" indent="8"/>
    </xf>
    <xf numFmtId="168" fontId="0" fillId="0" borderId="6" xfId="0" applyNumberFormat="1" applyBorder="1" applyAlignment="1">
      <alignment horizontal="left" vertical="center" indent="10"/>
    </xf>
    <xf numFmtId="168" fontId="0" fillId="0" borderId="7" xfId="0" applyNumberFormat="1" applyBorder="1" applyAlignment="1">
      <alignment horizontal="left" vertical="center" indent="2"/>
    </xf>
    <xf numFmtId="168" fontId="0" fillId="0" borderId="8" xfId="0" applyNumberFormat="1" applyBorder="1" applyAlignment="1">
      <alignment horizontal="left" vertical="center" indent="2"/>
    </xf>
    <xf numFmtId="168" fontId="0" fillId="0" borderId="7" xfId="0" applyNumberFormat="1" applyBorder="1" applyAlignment="1">
      <alignment horizontal="left" vertical="center" indent="6"/>
    </xf>
    <xf numFmtId="168" fontId="0" fillId="0" borderId="8" xfId="0" applyNumberFormat="1" applyBorder="1" applyAlignment="1">
      <alignment horizontal="left" vertical="center" indent="6"/>
    </xf>
    <xf numFmtId="168" fontId="0" fillId="0" borderId="7" xfId="0" applyNumberFormat="1" applyBorder="1" applyAlignment="1">
      <alignment horizontal="left" vertical="center" indent="7"/>
    </xf>
    <xf numFmtId="168" fontId="0" fillId="0" borderId="8" xfId="0" applyNumberFormat="1" applyBorder="1" applyAlignment="1">
      <alignment horizontal="left" vertical="center" indent="7"/>
    </xf>
    <xf numFmtId="168" fontId="0" fillId="0" borderId="7" xfId="0" applyNumberFormat="1" applyBorder="1" applyAlignment="1">
      <alignment horizontal="left" vertical="center" indent="9"/>
    </xf>
    <xf numFmtId="168" fontId="0" fillId="0" borderId="8" xfId="0" applyNumberFormat="1" applyBorder="1" applyAlignment="1">
      <alignment horizontal="left" vertical="center" indent="9"/>
    </xf>
    <xf numFmtId="168" fontId="0" fillId="0" borderId="7" xfId="0" applyNumberFormat="1" applyBorder="1" applyAlignment="1">
      <alignment horizontal="left" vertical="center" indent="10"/>
    </xf>
    <xf numFmtId="168" fontId="0" fillId="0" borderId="8" xfId="0" applyNumberFormat="1" applyBorder="1" applyAlignment="1">
      <alignment horizontal="left" vertical="center" indent="10"/>
    </xf>
    <xf numFmtId="167" fontId="0" fillId="5" borderId="6" xfId="0" applyNumberFormat="1" applyFill="1" applyBorder="1" applyAlignment="1">
      <alignment horizontal="left" vertical="center" indent="2"/>
    </xf>
    <xf numFmtId="167" fontId="0" fillId="5" borderId="6" xfId="0" applyNumberFormat="1" applyFill="1" applyBorder="1" applyAlignment="1">
      <alignment horizontal="left" vertical="center" indent="7"/>
    </xf>
  </cellXfs>
  <cellStyles count="1">
    <cellStyle name="Normal" xfId="0" builtinId="0"/>
  </cellStyles>
  <dxfs count="14">
    <dxf>
      <numFmt numFmtId="167" formatCode="[$EUR]\ #,##0.00"/>
      <alignment horizontal="left" vertical="center" textRotation="0" wrapText="0" relativeIndent="-1" justifyLastLine="0" shrinkToFit="0" readingOrder="0"/>
    </dxf>
    <dxf>
      <numFmt numFmtId="167" formatCode="[$EUR]\ #,##0.00"/>
      <alignment horizontal="left" vertical="center" textRotation="0" wrapText="0" relativeIndent="1" justifyLastLine="0" shrinkToFit="0" readingOrder="0"/>
    </dxf>
    <dxf>
      <numFmt numFmtId="167" formatCode="[$EUR]\ #,##0.00"/>
      <alignment horizontal="left" vertical="center" textRotation="0" wrapText="0" relativeIndent="1" justifyLastLine="0" shrinkToFit="0" readingOrder="0"/>
    </dxf>
    <dxf>
      <numFmt numFmtId="167" formatCode="[$EUR]\ #,##0.0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numFmt numFmtId="167" formatCode="[$EUR]\ #,##0.0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numFmt numFmtId="167" formatCode="[$EUR]\ #,##0.0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DCF2F8"/>
          <bgColor rgb="FFDCF2F8"/>
        </patternFill>
      </fill>
    </dxf>
    <dxf>
      <fill>
        <patternFill patternType="solid">
          <fgColor rgb="FF166982"/>
          <bgColor rgb="FF166982"/>
        </patternFill>
      </fill>
    </dxf>
  </dxfs>
  <tableStyles count="1">
    <tableStyle name="Invoice-style" pivot="0" count="2" xr9:uid="{00000000-0011-0000-FFFF-FFFF00000000}">
      <tableStyleElement type="headerRow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15241</xdr:colOff>
      <xdr:row>0</xdr:row>
      <xdr:rowOff>0</xdr:rowOff>
    </xdr:from>
    <xdr:to>
      <xdr:col>1</xdr:col>
      <xdr:colOff>0</xdr:colOff>
      <xdr:row>8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E467A0-6A91-4428-9E69-CF98CA40F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1" y="0"/>
          <a:ext cx="2453639" cy="17983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15241</xdr:colOff>
      <xdr:row>0</xdr:row>
      <xdr:rowOff>0</xdr:rowOff>
    </xdr:from>
    <xdr:to>
      <xdr:col>1</xdr:col>
      <xdr:colOff>7620</xdr:colOff>
      <xdr:row>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1CCA21-B11F-4B5F-BA8E-B450F9D76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1" y="0"/>
          <a:ext cx="2453639" cy="17907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15241</xdr:colOff>
      <xdr:row>0</xdr:row>
      <xdr:rowOff>0</xdr:rowOff>
    </xdr:from>
    <xdr:to>
      <xdr:col>0</xdr:col>
      <xdr:colOff>2468880</xdr:colOff>
      <xdr:row>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3E0759-A1B5-487C-9E1E-6420D984B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1" y="0"/>
          <a:ext cx="2453639" cy="17907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15241</xdr:colOff>
      <xdr:row>0</xdr:row>
      <xdr:rowOff>0</xdr:rowOff>
    </xdr:from>
    <xdr:to>
      <xdr:col>0</xdr:col>
      <xdr:colOff>2468880</xdr:colOff>
      <xdr:row>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8D5251-3C02-4FAF-BDC7-AA2CA86A0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1" y="0"/>
          <a:ext cx="2453639" cy="17907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15241</xdr:colOff>
      <xdr:row>0</xdr:row>
      <xdr:rowOff>0</xdr:rowOff>
    </xdr:from>
    <xdr:to>
      <xdr:col>0</xdr:col>
      <xdr:colOff>2468880</xdr:colOff>
      <xdr:row>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F3C8BA-20C9-4548-A134-5D0D5C312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1" y="0"/>
          <a:ext cx="2453639" cy="17907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15241</xdr:colOff>
      <xdr:row>0</xdr:row>
      <xdr:rowOff>0</xdr:rowOff>
    </xdr:from>
    <xdr:to>
      <xdr:col>0</xdr:col>
      <xdr:colOff>2468880</xdr:colOff>
      <xdr:row>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9A29E6-8862-5513-4804-1382B21F6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1" y="0"/>
          <a:ext cx="2453639" cy="17907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il Kumar Bikkineli" id="{6792C04E-2B4A-437D-999A-2DE650227629}" userId="S::abikkineli@konaai.com::58b7245d-aeb2-4f65-85e7-f7ce79c60323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FF4B6F-7902-41ED-8915-87FE65357319}" name="Table_14" displayName="Table_14" ref="A14:D23" headerRowDxfId="11">
  <tableColumns count="4">
    <tableColumn id="1" xr3:uid="{3233413E-E142-497D-8821-3C70D990998C}" name="BESCHREIBUNG"/>
    <tableColumn id="2" xr3:uid="{5484A858-E71C-4E0A-B927-C2ECFE2C28CC}" name="MENGE"/>
    <tableColumn id="3" xr3:uid="{70FC25B1-9C4C-4AE0-A5C5-10EB807F1053}" name="STÜCKPREIS"/>
    <tableColumn id="4" xr3:uid="{E97FAA70-1EAE-4F82-9C99-4845361FEFF7}" name="BETRAG" dataDxfId="0">
      <calculatedColumnFormula>Table_14[[#This Row],[MENGE]]*Table_14[[#This Row],[STÜCKPREIS]]</calculatedColumnFormula>
    </tableColumn>
  </tableColumns>
  <tableStyleInfo name="Invoic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8EF190-BBDF-44C2-8FA0-30B85F30D01A}" name="Table_145" displayName="Table_145" ref="A14:D23" headerRowDxfId="10">
  <tableColumns count="4">
    <tableColumn id="1" xr3:uid="{EEA9AD4A-7CE5-4915-8D4A-712350DF2CC9}" name="BESCHREIBUNG"/>
    <tableColumn id="2" xr3:uid="{FEE2F177-38F0-46AE-BEA3-E578A5675CA9}" name="MENGE"/>
    <tableColumn id="3" xr3:uid="{C71D8003-9D39-4BB3-BD5D-6FC5D6B8EEF6}" name="STÜCKPREIS"/>
    <tableColumn id="4" xr3:uid="{CDDFFDE8-9FE3-46CB-96FD-3B1D0944F4E5}" name="BETRAG" dataDxfId="1">
      <calculatedColumnFormula>Table_145[[#This Row],[MENGE]]*Table_145[[#This Row],[STÜCKPREIS]]</calculatedColumnFormula>
    </tableColumn>
  </tableColumns>
  <tableStyleInfo name="Invoic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44B61-D72C-41FC-B42E-D56809853426}" name="Table_1456" displayName="Table_1456" ref="A14:D23" headerRowDxfId="9">
  <tableColumns count="4">
    <tableColumn id="1" xr3:uid="{C34E5E78-91E8-4F03-8620-2BBD06FE6309}" name="BESCHREIBUNG"/>
    <tableColumn id="2" xr3:uid="{F846CBAA-A3B3-4F4E-A133-B9C738FB73BC}" name="MENGE"/>
    <tableColumn id="3" xr3:uid="{F0F8C3C3-16DE-4CF3-A076-FCFD0B264F57}" name="STÜCKPREIS"/>
    <tableColumn id="4" xr3:uid="{C50657CE-B162-47A5-95F9-39B6E7DFD595}" name="BETRAG" dataDxfId="2">
      <calculatedColumnFormula>Table_1456[[#This Row],[MENGE]]*Table_1456[[#This Row],[STÜCKPREIS]]</calculatedColumnFormula>
    </tableColumn>
  </tableColumns>
  <tableStyleInfo name="Invoice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BF57C1B-335A-438D-AA7C-98703682E1C9}" name="Table_14567" displayName="Table_14567" ref="A14:D23" headerRowDxfId="8">
  <tableColumns count="4">
    <tableColumn id="1" xr3:uid="{8B1A7E6A-2691-4B56-802C-8210C2C40CA2}" name="BESCHREIBUNG"/>
    <tableColumn id="2" xr3:uid="{BA087424-53FE-47C1-B6CC-F41FAEC6B9EC}" name="MENGE"/>
    <tableColumn id="3" xr3:uid="{D34B07FC-DF70-4934-904E-6AEBC4F1BEAC}" name="STÜCKPREIS"/>
    <tableColumn id="4" xr3:uid="{EE83CCCE-995D-40AF-95AF-E7DB040FA70B}" name="BETRAG" dataDxfId="7">
      <calculatedColumnFormula>Table_14567[[#This Row],[MENGE]]*Table_14567[[#This Row],[STÜCKPREIS]]</calculatedColumnFormula>
    </tableColumn>
  </tableColumns>
  <tableStyleInfo name="Invoice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CE0742A-FAC5-41B4-85E5-E99FE70234E7}" name="Table_14568" displayName="Table_14568" ref="A14:D23" headerRowDxfId="6">
  <tableColumns count="4">
    <tableColumn id="1" xr3:uid="{D5C9278C-2B2A-4E58-A5B2-F6F361FE7534}" name="BESCHREIBUNG"/>
    <tableColumn id="2" xr3:uid="{EBF4F8CF-2BEC-432F-A6AC-1BA048C0E608}" name="MENGE"/>
    <tableColumn id="3" xr3:uid="{0BCDF814-3379-4AE1-BB40-A9A0A7BF11DA}" name="STÜCKPREIS"/>
    <tableColumn id="4" xr3:uid="{A69DA43E-ED0A-4BAF-9651-133221D39A9D}" name="BETRAG" dataDxfId="5">
      <calculatedColumnFormula>Table_14568[[#This Row],[MENGE]]*Table_14568[[#This Row],[STÜCKPREIS]]</calculatedColumnFormula>
    </tableColumn>
  </tableColumns>
  <tableStyleInfo name="Invoice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62EA988-044D-4E09-986C-D0CDAF37DD69}" name="Table_14569" displayName="Table_14569" ref="A14:D23" headerRowDxfId="4">
  <tableColumns count="4">
    <tableColumn id="1" xr3:uid="{55D166E8-0117-4543-A935-97F0EFB4C1BE}" name="BESCHREIBUNG"/>
    <tableColumn id="2" xr3:uid="{F419DE09-0000-46C8-8741-8F5EF4E6A60D}" name="MENGE"/>
    <tableColumn id="3" xr3:uid="{C61589A0-8F7C-47EB-8DFF-2E771B72B1F0}" name="STÜCKPREIS"/>
    <tableColumn id="4" xr3:uid="{24E0BEFA-2BC7-40E8-8B39-AB62A8F7E5B6}" name="BETRAG" dataDxfId="3">
      <calculatedColumnFormula>Table_14569[[#This Row],[MENGE]]*Table_14569[[#This Row],[STÜCKPREIS]]</calculatedColumnFormula>
    </tableColumn>
  </tableColumns>
  <tableStyleInfo name="Invoic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5" dT="2024-09-25T09:08:24.69" personId="{6792C04E-2B4A-437D-999A-2DE650227629}" id="{3780E670-BF8B-43F7-B0BE-306191FC96B7}">
    <text>Coil Springs</text>
  </threadedComment>
  <threadedComment ref="A16" dT="2024-10-01T14:08:22.32" personId="{6792C04E-2B4A-437D-999A-2DE650227629}" id="{AA0AFDE7-8DBD-4DCE-97A2-AF7F8CC998C1}">
    <text>Cylinder Head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5" dT="2024-09-25T09:08:24.69" personId="{6792C04E-2B4A-437D-999A-2DE650227629}" id="{1D744E27-5439-4C2C-A94B-2E76AE150D3E}">
    <text>Thermostat</text>
  </threadedComment>
  <threadedComment ref="A16" dT="2024-09-27T06:27:54.86" personId="{6792C04E-2B4A-437D-999A-2DE650227629}" id="{F552AA3C-1116-4FBA-B38D-711398ABCA1F}">
    <text>Premium Packing Charge</text>
  </threadedComment>
  <threadedComment ref="A17" dT="2024-09-27T06:27:54.86" personId="{6792C04E-2B4A-437D-999A-2DE650227629}" id="{F2204707-2CF1-4E44-B906-AE20CBBD8A51}">
    <text>Premium Packing Charge</text>
  </threadedComment>
  <threadedComment ref="A18" dT="2024-09-27T06:29:01.29" personId="{6792C04E-2B4A-437D-999A-2DE650227629}" id="{AB942DD4-E489-4B91-84CE-2BE4E8ABFE48}">
    <text>Bulk Purchase Discount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5" dT="2024-09-25T09:08:24.69" personId="{6792C04E-2B4A-437D-999A-2DE650227629}" id="{BBFE6EA6-F1CA-4C51-8878-C8EFB5B6A628}">
    <text>Clutch</text>
  </threadedComment>
  <threadedComment ref="A16" dT="2024-09-27T06:27:54.86" personId="{6792C04E-2B4A-437D-999A-2DE650227629}" id="{C7EB9169-292C-44A9-AB53-517604558728}">
    <text>Eco-Friendly Packing Charge</text>
  </threadedComment>
  <threadedComment ref="A17" dT="2024-09-27T06:38:03.46" personId="{6792C04E-2B4A-437D-999A-2DE650227629}" id="{0F50095E-DD03-46CD-8221-379F6D024EBE}">
    <text>Volume Discount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5" dT="2024-09-25T09:08:24.69" personId="{6792C04E-2B4A-437D-999A-2DE650227629}" id="{9428FA38-AC50-4222-80F0-5B9523CC2117}">
    <text>Loyalty Program Rewards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15" dT="2024-09-25T09:08:24.69" personId="{6792C04E-2B4A-437D-999A-2DE650227629}" id="{B16E2E68-B263-468F-8063-9B5207A44E39}">
    <text>Performance Brakes</text>
  </threadedComment>
  <threadedComment ref="A16" dT="2024-09-27T06:27:54.86" personId="{6792C04E-2B4A-437D-999A-2DE650227629}" id="{31C81A7C-3CCC-4FCA-BF2A-5F0CCAAA4274}">
    <text>Eco-Friendly Packing Charge</text>
  </threadedComment>
  <threadedComment ref="A17" dT="2024-09-27T06:50:19.11" personId="{6792C04E-2B4A-437D-999A-2DE650227629}" id="{C1E659E2-3040-47C1-9821-4814D27B34CD}">
    <text>Multi-Item Packing Charge</text>
  </threadedComment>
  <threadedComment ref="A18" dT="2024-09-27T06:51:15.83" personId="{6792C04E-2B4A-437D-999A-2DE650227629}" id="{12115EC9-DF9F-4054-AECF-23B72A0F4879}">
    <text>Seasonal Promotion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15" dT="2024-09-25T09:08:24.69" personId="{6792C04E-2B4A-437D-999A-2DE650227629}" id="{FBD69CA4-FA35-4A25-AB6F-DAC959CC5202}">
    <text>Performance Brakes</text>
  </threadedComment>
  <threadedComment ref="A16" dT="2024-09-27T06:27:54.86" personId="{6792C04E-2B4A-437D-999A-2DE650227629}" id="{67809781-D7C3-41A4-8582-BE0D73CC06C7}">
    <text>Eco-Friendly Packing Charge</text>
  </threadedComment>
  <threadedComment ref="A17" dT="2024-09-27T06:27:54.86" personId="{6792C04E-2B4A-437D-999A-2DE650227629}" id="{036110D7-6E19-478F-AD1A-4D2B082E355C}">
    <text>Eco-Friendly Packing Charge</text>
  </threadedComment>
  <threadedComment ref="A18" dT="2024-09-27T06:38:03.46" personId="{6792C04E-2B4A-437D-999A-2DE650227629}" id="{5CAA16AA-324C-4EB9-A6BD-C6136C7E260D}">
    <text>Volume Discount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microsoft.com/office/2017/10/relationships/threadedComment" Target="../threadedComments/threadedComment2.xml"/><Relationship Id="rId5" Type="http://schemas.openxmlformats.org/officeDocument/2006/relationships/comments" Target="../comments2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microsoft.com/office/2017/10/relationships/threadedComment" Target="../threadedComments/threadedComment3.xml"/><Relationship Id="rId5" Type="http://schemas.openxmlformats.org/officeDocument/2006/relationships/comments" Target="../comments3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microsoft.com/office/2017/10/relationships/threadedComment" Target="../threadedComments/threadedComment4.xml"/><Relationship Id="rId5" Type="http://schemas.openxmlformats.org/officeDocument/2006/relationships/comments" Target="../comments4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microsoft.com/office/2017/10/relationships/threadedComment" Target="../threadedComments/threadedComment5.xml"/><Relationship Id="rId5" Type="http://schemas.openxmlformats.org/officeDocument/2006/relationships/comments" Target="../comments5.xm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microsoft.com/office/2017/10/relationships/threadedComment" Target="../threadedComments/threadedComment6.xml"/><Relationship Id="rId5" Type="http://schemas.openxmlformats.org/officeDocument/2006/relationships/comments" Target="../comments6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9C4BF-E6E3-4C67-B233-035966E4CAD0}">
  <dimension ref="A1:D26"/>
  <sheetViews>
    <sheetView tabSelected="1" zoomScaleNormal="100" workbookViewId="0">
      <selection activeCell="B7" sqref="B7"/>
    </sheetView>
  </sheetViews>
  <sheetFormatPr defaultRowHeight="13.8" x14ac:dyDescent="0.25"/>
  <cols>
    <col min="1" max="1" width="32.3984375" customWidth="1"/>
    <col min="2" max="2" width="21.19921875" customWidth="1"/>
    <col min="3" max="3" width="21.8984375" customWidth="1"/>
    <col min="4" max="4" width="19.69921875" customWidth="1"/>
  </cols>
  <sheetData>
    <row r="1" spans="1:4" ht="30" x14ac:dyDescent="0.25">
      <c r="A1" s="33"/>
      <c r="B1" s="43" t="s">
        <v>0</v>
      </c>
      <c r="C1" s="43"/>
      <c r="D1" s="44"/>
    </row>
    <row r="2" spans="1:4" ht="17.399999999999999" customHeight="1" x14ac:dyDescent="0.25">
      <c r="A2" s="28"/>
      <c r="B2" s="45" t="s">
        <v>1</v>
      </c>
      <c r="C2" s="45"/>
      <c r="D2" s="46"/>
    </row>
    <row r="3" spans="1:4" ht="17.399999999999999" x14ac:dyDescent="0.25">
      <c r="A3" s="28"/>
      <c r="B3" s="30"/>
      <c r="C3" s="30"/>
      <c r="D3" s="34"/>
    </row>
    <row r="4" spans="1:4" ht="17.399999999999999" x14ac:dyDescent="0.25">
      <c r="A4" s="28"/>
      <c r="B4" s="30"/>
      <c r="C4" s="30"/>
      <c r="D4" s="34"/>
    </row>
    <row r="5" spans="1:4" ht="17.399999999999999" x14ac:dyDescent="0.25">
      <c r="A5" s="28"/>
      <c r="B5" s="30"/>
      <c r="C5" s="30"/>
      <c r="D5" s="34"/>
    </row>
    <row r="6" spans="1:4" x14ac:dyDescent="0.25">
      <c r="A6" s="29"/>
      <c r="B6" s="30"/>
      <c r="C6" s="30"/>
      <c r="D6" s="34"/>
    </row>
    <row r="7" spans="1:4" x14ac:dyDescent="0.25">
      <c r="A7" s="29"/>
      <c r="B7" s="30"/>
      <c r="C7" s="1" t="s">
        <v>2</v>
      </c>
      <c r="D7" s="11" t="s">
        <v>3</v>
      </c>
    </row>
    <row r="8" spans="1:4" x14ac:dyDescent="0.25">
      <c r="A8" s="31"/>
      <c r="B8" s="32"/>
      <c r="C8" s="1" t="s">
        <v>4</v>
      </c>
      <c r="D8" s="11">
        <v>44943</v>
      </c>
    </row>
    <row r="9" spans="1:4" x14ac:dyDescent="0.25">
      <c r="A9" s="41" t="s">
        <v>5</v>
      </c>
      <c r="B9" s="42"/>
      <c r="C9" s="2" t="s">
        <v>6</v>
      </c>
      <c r="D9" s="12"/>
    </row>
    <row r="10" spans="1:4" x14ac:dyDescent="0.25">
      <c r="A10" s="47" t="s">
        <v>7</v>
      </c>
      <c r="B10" s="48"/>
      <c r="C10" s="48" t="str">
        <f>A10</f>
        <v>Steel Horse Auto Inc</v>
      </c>
      <c r="D10" s="49"/>
    </row>
    <row r="11" spans="1:4" x14ac:dyDescent="0.25">
      <c r="A11" s="47" t="s">
        <v>8</v>
      </c>
      <c r="B11" s="48"/>
      <c r="C11" s="48" t="str">
        <f t="shared" ref="C11:C12" si="0">A11</f>
        <v xml:space="preserve">265 Lopez Orchard, East John, Michigan, </v>
      </c>
      <c r="D11" s="49"/>
    </row>
    <row r="12" spans="1:4" x14ac:dyDescent="0.25">
      <c r="A12" s="47" t="s">
        <v>9</v>
      </c>
      <c r="B12" s="48"/>
      <c r="C12" s="48" t="str">
        <f t="shared" si="0"/>
        <v>United States, 43306</v>
      </c>
      <c r="D12" s="49"/>
    </row>
    <row r="13" spans="1:4" x14ac:dyDescent="0.25">
      <c r="A13" s="47"/>
      <c r="B13" s="48"/>
      <c r="C13" s="48"/>
      <c r="D13" s="49"/>
    </row>
    <row r="14" spans="1:4" x14ac:dyDescent="0.25">
      <c r="A14" s="13" t="s">
        <v>10</v>
      </c>
      <c r="B14" s="36" t="s">
        <v>11</v>
      </c>
      <c r="C14" s="4" t="s">
        <v>12</v>
      </c>
      <c r="D14" s="14" t="s">
        <v>13</v>
      </c>
    </row>
    <row r="15" spans="1:4" ht="31.95" customHeight="1" x14ac:dyDescent="0.25">
      <c r="A15" s="23" t="s">
        <v>14</v>
      </c>
      <c r="B15" s="37">
        <v>2000</v>
      </c>
      <c r="C15" s="68">
        <v>2378</v>
      </c>
      <c r="D15" s="56">
        <f>Table_14[[#This Row],[MENGE]]*Table_14[[#This Row],[STÜCKPREIS]]</f>
        <v>4756000</v>
      </c>
    </row>
    <row r="16" spans="1:4" ht="27" customHeight="1" x14ac:dyDescent="0.25">
      <c r="A16" s="16" t="s">
        <v>15</v>
      </c>
      <c r="B16" s="38">
        <v>1000</v>
      </c>
      <c r="C16" s="69">
        <v>1780</v>
      </c>
      <c r="D16" s="57">
        <f>+Table_14[[#This Row],[MENGE]]*Table_14[[#This Row],[STÜCKPREIS]]</f>
        <v>1780000</v>
      </c>
    </row>
    <row r="17" spans="1:4" ht="21" customHeight="1" x14ac:dyDescent="0.25">
      <c r="A17" s="18"/>
      <c r="B17" s="39"/>
      <c r="C17" s="9"/>
      <c r="D17" s="56"/>
    </row>
    <row r="18" spans="1:4" ht="27" customHeight="1" x14ac:dyDescent="0.25">
      <c r="A18" s="16"/>
      <c r="B18" s="40"/>
      <c r="C18" s="10"/>
      <c r="D18" s="57"/>
    </row>
    <row r="19" spans="1:4" ht="19.2" customHeight="1" x14ac:dyDescent="0.25">
      <c r="A19" s="18"/>
      <c r="B19" s="39"/>
      <c r="C19" s="9"/>
      <c r="D19" s="56"/>
    </row>
    <row r="20" spans="1:4" ht="27" customHeight="1" x14ac:dyDescent="0.25">
      <c r="A20" s="16"/>
      <c r="B20" s="40"/>
      <c r="C20" s="10"/>
      <c r="D20" s="57"/>
    </row>
    <row r="21" spans="1:4" ht="20.399999999999999" customHeight="1" x14ac:dyDescent="0.25">
      <c r="A21" s="18"/>
      <c r="B21" s="39"/>
      <c r="C21" s="9"/>
      <c r="D21" s="56"/>
    </row>
    <row r="22" spans="1:4" ht="27" customHeight="1" x14ac:dyDescent="0.25">
      <c r="A22" s="16"/>
      <c r="B22" s="40"/>
      <c r="C22" s="3"/>
      <c r="D22" s="85"/>
    </row>
    <row r="23" spans="1:4" ht="17.399999999999999" x14ac:dyDescent="0.25">
      <c r="A23" s="18"/>
      <c r="B23" s="39"/>
      <c r="C23" s="5" t="s">
        <v>16</v>
      </c>
      <c r="D23" s="56">
        <f>D15+D16</f>
        <v>6536000</v>
      </c>
    </row>
    <row r="24" spans="1:4" ht="17.399999999999999" x14ac:dyDescent="0.25">
      <c r="A24" s="50" t="s">
        <v>17</v>
      </c>
      <c r="B24" s="51"/>
      <c r="C24" s="6" t="s">
        <v>18</v>
      </c>
      <c r="D24" s="75">
        <v>851413</v>
      </c>
    </row>
    <row r="25" spans="1:4" ht="18" thickBot="1" x14ac:dyDescent="0.3">
      <c r="A25" s="52" t="s">
        <v>19</v>
      </c>
      <c r="B25" s="53"/>
      <c r="C25" s="6" t="s">
        <v>20</v>
      </c>
      <c r="D25" s="76">
        <f>D23+D24</f>
        <v>7387413</v>
      </c>
    </row>
    <row r="26" spans="1:4" ht="15" thickTop="1" thickBot="1" x14ac:dyDescent="0.3">
      <c r="A26" s="20"/>
      <c r="B26" s="21"/>
      <c r="C26" s="21"/>
      <c r="D26" s="22"/>
    </row>
  </sheetData>
  <mergeCells count="13">
    <mergeCell ref="A24:B24"/>
    <mergeCell ref="A25:B25"/>
    <mergeCell ref="A10:B10"/>
    <mergeCell ref="C10:D10"/>
    <mergeCell ref="A11:B11"/>
    <mergeCell ref="C11:D11"/>
    <mergeCell ref="A12:B12"/>
    <mergeCell ref="C12:D12"/>
    <mergeCell ref="A9:B9"/>
    <mergeCell ref="B1:D1"/>
    <mergeCell ref="B2:D2"/>
    <mergeCell ref="A13:B13"/>
    <mergeCell ref="C13:D13"/>
  </mergeCells>
  <pageMargins left="0.7" right="0.7" top="0.75" bottom="0.75" header="0.3" footer="0.3"/>
  <pageSetup orientation="landscape" r:id="rId1"/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0C6C2-E56F-4C2F-8F02-DE78987FF6AA}">
  <dimension ref="A1:D26"/>
  <sheetViews>
    <sheetView topLeftCell="A7" zoomScaleNormal="100" workbookViewId="0">
      <selection activeCell="D15" sqref="D15:D25"/>
    </sheetView>
  </sheetViews>
  <sheetFormatPr defaultRowHeight="13.8" x14ac:dyDescent="0.25"/>
  <cols>
    <col min="1" max="1" width="32.19921875" customWidth="1"/>
    <col min="2" max="2" width="20.69921875" customWidth="1"/>
    <col min="3" max="3" width="19.5" customWidth="1"/>
    <col min="4" max="4" width="25" customWidth="1"/>
  </cols>
  <sheetData>
    <row r="1" spans="1:4" ht="30" x14ac:dyDescent="0.25">
      <c r="A1" s="33"/>
      <c r="B1" s="43" t="s">
        <v>0</v>
      </c>
      <c r="C1" s="43"/>
      <c r="D1" s="44"/>
    </row>
    <row r="2" spans="1:4" ht="17.399999999999999" customHeight="1" x14ac:dyDescent="0.25">
      <c r="A2" s="28"/>
      <c r="B2" s="45" t="s">
        <v>1</v>
      </c>
      <c r="C2" s="45"/>
      <c r="D2" s="46"/>
    </row>
    <row r="3" spans="1:4" ht="17.399999999999999" customHeight="1" x14ac:dyDescent="0.25">
      <c r="A3" s="28"/>
      <c r="B3" s="30"/>
      <c r="C3" s="30"/>
      <c r="D3" s="34"/>
    </row>
    <row r="4" spans="1:4" ht="17.399999999999999" customHeight="1" x14ac:dyDescent="0.25">
      <c r="A4" s="28"/>
      <c r="B4" s="30"/>
      <c r="C4" s="30"/>
      <c r="D4" s="34"/>
    </row>
    <row r="5" spans="1:4" ht="17.399999999999999" customHeight="1" x14ac:dyDescent="0.25">
      <c r="A5" s="28"/>
      <c r="B5" s="30"/>
      <c r="C5" s="30"/>
      <c r="D5" s="34"/>
    </row>
    <row r="6" spans="1:4" x14ac:dyDescent="0.25">
      <c r="A6" s="29"/>
      <c r="B6" s="30"/>
      <c r="C6" s="30"/>
      <c r="D6" s="34"/>
    </row>
    <row r="7" spans="1:4" x14ac:dyDescent="0.25">
      <c r="A7" s="29"/>
      <c r="B7" s="30"/>
      <c r="C7" s="1" t="s">
        <v>2</v>
      </c>
      <c r="D7" s="11" t="s">
        <v>21</v>
      </c>
    </row>
    <row r="8" spans="1:4" x14ac:dyDescent="0.25">
      <c r="A8" s="31"/>
      <c r="B8" s="32"/>
      <c r="C8" s="1" t="s">
        <v>4</v>
      </c>
      <c r="D8" s="11">
        <v>44953</v>
      </c>
    </row>
    <row r="9" spans="1:4" x14ac:dyDescent="0.25">
      <c r="A9" s="41" t="s">
        <v>5</v>
      </c>
      <c r="B9" s="42"/>
      <c r="C9" s="2" t="s">
        <v>6</v>
      </c>
      <c r="D9" s="12"/>
    </row>
    <row r="10" spans="1:4" x14ac:dyDescent="0.25">
      <c r="A10" s="47" t="s">
        <v>7</v>
      </c>
      <c r="B10" s="48"/>
      <c r="C10" s="48" t="str">
        <f>A10</f>
        <v>Steel Horse Auto Inc</v>
      </c>
      <c r="D10" s="49"/>
    </row>
    <row r="11" spans="1:4" x14ac:dyDescent="0.25">
      <c r="A11" s="47" t="s">
        <v>8</v>
      </c>
      <c r="B11" s="48"/>
      <c r="C11" s="48" t="str">
        <f t="shared" ref="C11:C12" si="0">A11</f>
        <v xml:space="preserve">265 Lopez Orchard, East John, Michigan, </v>
      </c>
      <c r="D11" s="49"/>
    </row>
    <row r="12" spans="1:4" x14ac:dyDescent="0.25">
      <c r="A12" s="47" t="s">
        <v>9</v>
      </c>
      <c r="B12" s="48"/>
      <c r="C12" s="48" t="str">
        <f t="shared" si="0"/>
        <v>United States, 43306</v>
      </c>
      <c r="D12" s="49"/>
    </row>
    <row r="13" spans="1:4" x14ac:dyDescent="0.25">
      <c r="A13" s="47"/>
      <c r="B13" s="48"/>
      <c r="C13" s="48"/>
      <c r="D13" s="49"/>
    </row>
    <row r="14" spans="1:4" x14ac:dyDescent="0.25">
      <c r="A14" s="13" t="s">
        <v>10</v>
      </c>
      <c r="B14" s="36" t="s">
        <v>11</v>
      </c>
      <c r="C14" s="4" t="s">
        <v>12</v>
      </c>
      <c r="D14" s="14" t="s">
        <v>13</v>
      </c>
    </row>
    <row r="15" spans="1:4" ht="31.95" customHeight="1" x14ac:dyDescent="0.25">
      <c r="A15" s="23" t="s">
        <v>22</v>
      </c>
      <c r="B15" s="37">
        <v>1000</v>
      </c>
      <c r="C15" s="58">
        <v>2280</v>
      </c>
      <c r="D15" s="62">
        <f>Table_145[[#This Row],[MENGE]]*Table_145[[#This Row],[STÜCKPREIS]]</f>
        <v>2280000</v>
      </c>
    </row>
    <row r="16" spans="1:4" ht="27" customHeight="1" x14ac:dyDescent="0.25">
      <c r="A16" s="24" t="s">
        <v>23</v>
      </c>
      <c r="B16" s="38">
        <v>2000</v>
      </c>
      <c r="C16" s="59">
        <v>2310</v>
      </c>
      <c r="D16" s="63">
        <f>Table_145[[#This Row],[MENGE]]*Table_145[[#This Row],[STÜCKPREIS]]</f>
        <v>4620000</v>
      </c>
    </row>
    <row r="17" spans="1:4" ht="21" customHeight="1" x14ac:dyDescent="0.25">
      <c r="A17" s="24" t="s">
        <v>24</v>
      </c>
      <c r="B17" s="38">
        <v>1000</v>
      </c>
      <c r="C17" s="61">
        <v>30</v>
      </c>
      <c r="D17" s="63">
        <f>Table_145[[#This Row],[MENGE]]*Table_145[[#This Row],[STÜCKPREIS]]</f>
        <v>30000</v>
      </c>
    </row>
    <row r="18" spans="1:4" ht="27" customHeight="1" x14ac:dyDescent="0.25">
      <c r="A18" s="25" t="s">
        <v>25</v>
      </c>
      <c r="B18" s="37">
        <v>1000</v>
      </c>
      <c r="C18" s="60">
        <v>-164</v>
      </c>
      <c r="D18" s="62">
        <f>Table_145[[#This Row],[MENGE]]*Table_145[[#This Row],[STÜCKPREIS]]</f>
        <v>-164000</v>
      </c>
    </row>
    <row r="19" spans="1:4" ht="19.2" customHeight="1" x14ac:dyDescent="0.25">
      <c r="A19" s="16"/>
      <c r="B19" s="40"/>
      <c r="C19" s="10"/>
      <c r="D19" s="63"/>
    </row>
    <row r="20" spans="1:4" ht="27" customHeight="1" x14ac:dyDescent="0.25">
      <c r="A20" s="18"/>
      <c r="B20" s="39"/>
      <c r="C20" s="9"/>
      <c r="D20" s="62"/>
    </row>
    <row r="21" spans="1:4" ht="20.399999999999999" customHeight="1" x14ac:dyDescent="0.25">
      <c r="A21" s="16"/>
      <c r="B21" s="40"/>
      <c r="C21" s="10"/>
      <c r="D21" s="63"/>
    </row>
    <row r="22" spans="1:4" ht="27" customHeight="1" x14ac:dyDescent="0.25">
      <c r="A22" s="18"/>
      <c r="B22" s="39"/>
      <c r="C22" s="9"/>
      <c r="D22" s="62"/>
    </row>
    <row r="23" spans="1:4" ht="17.399999999999999" x14ac:dyDescent="0.25">
      <c r="A23" s="18"/>
      <c r="B23" s="39"/>
      <c r="C23" s="5" t="s">
        <v>16</v>
      </c>
      <c r="D23" s="62">
        <f>SUBTOTAL(109,D15:D22)</f>
        <v>6766000</v>
      </c>
    </row>
    <row r="24" spans="1:4" ht="17.399999999999999" x14ac:dyDescent="0.25">
      <c r="A24" s="54" t="s">
        <v>17</v>
      </c>
      <c r="B24" s="55"/>
      <c r="C24" s="6" t="s">
        <v>18</v>
      </c>
      <c r="D24" s="77">
        <v>870820</v>
      </c>
    </row>
    <row r="25" spans="1:4" ht="18" thickBot="1" x14ac:dyDescent="0.3">
      <c r="A25" s="52" t="s">
        <v>19</v>
      </c>
      <c r="B25" s="53"/>
      <c r="C25" s="6" t="s">
        <v>20</v>
      </c>
      <c r="D25" s="78">
        <f>D23+D24</f>
        <v>7636820</v>
      </c>
    </row>
    <row r="26" spans="1:4" ht="15" thickTop="1" thickBot="1" x14ac:dyDescent="0.3">
      <c r="A26" s="20"/>
      <c r="B26" s="21"/>
      <c r="C26" s="21"/>
      <c r="D26" s="22"/>
    </row>
  </sheetData>
  <mergeCells count="13">
    <mergeCell ref="A24:B24"/>
    <mergeCell ref="A25:B25"/>
    <mergeCell ref="A10:B10"/>
    <mergeCell ref="C10:D10"/>
    <mergeCell ref="A11:B11"/>
    <mergeCell ref="C11:D11"/>
    <mergeCell ref="A12:B12"/>
    <mergeCell ref="C12:D12"/>
    <mergeCell ref="A9:B9"/>
    <mergeCell ref="B1:D1"/>
    <mergeCell ref="B2:D2"/>
    <mergeCell ref="A13:B13"/>
    <mergeCell ref="C13:D13"/>
  </mergeCells>
  <pageMargins left="0.7" right="0.7" top="0.75" bottom="0.75" header="0.3" footer="0.3"/>
  <pageSetup orientation="landscape" r:id="rId1"/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3602D-B5F4-43E1-B12F-A39A743946DD}">
  <dimension ref="A1:D26"/>
  <sheetViews>
    <sheetView topLeftCell="A7" zoomScaleNormal="100" workbookViewId="0">
      <selection activeCell="D15" sqref="D15:D25"/>
    </sheetView>
  </sheetViews>
  <sheetFormatPr defaultRowHeight="13.8" x14ac:dyDescent="0.25"/>
  <cols>
    <col min="1" max="1" width="32.59765625" customWidth="1"/>
    <col min="2" max="2" width="24.09765625" customWidth="1"/>
    <col min="3" max="3" width="19.59765625" customWidth="1"/>
    <col min="4" max="4" width="27.69921875" customWidth="1"/>
  </cols>
  <sheetData>
    <row r="1" spans="1:4" ht="30" x14ac:dyDescent="0.25">
      <c r="A1" s="33"/>
      <c r="B1" s="43" t="s">
        <v>0</v>
      </c>
      <c r="C1" s="43"/>
      <c r="D1" s="44"/>
    </row>
    <row r="2" spans="1:4" ht="17.399999999999999" customHeight="1" x14ac:dyDescent="0.25">
      <c r="A2" s="28"/>
      <c r="B2" s="45" t="s">
        <v>1</v>
      </c>
      <c r="C2" s="45"/>
      <c r="D2" s="46"/>
    </row>
    <row r="3" spans="1:4" ht="17.399999999999999" customHeight="1" x14ac:dyDescent="0.25">
      <c r="A3" s="28"/>
      <c r="B3" s="30"/>
      <c r="C3" s="30"/>
      <c r="D3" s="34"/>
    </row>
    <row r="4" spans="1:4" ht="17.399999999999999" customHeight="1" x14ac:dyDescent="0.25">
      <c r="A4" s="28"/>
      <c r="B4" s="30"/>
      <c r="C4" s="30"/>
      <c r="D4" s="34"/>
    </row>
    <row r="5" spans="1:4" ht="17.399999999999999" customHeight="1" x14ac:dyDescent="0.25">
      <c r="A5" s="28"/>
      <c r="B5" s="30"/>
      <c r="C5" s="30"/>
      <c r="D5" s="34"/>
    </row>
    <row r="6" spans="1:4" x14ac:dyDescent="0.25">
      <c r="A6" s="29"/>
      <c r="B6" s="30"/>
      <c r="C6" s="30"/>
      <c r="D6" s="34"/>
    </row>
    <row r="7" spans="1:4" x14ac:dyDescent="0.25">
      <c r="A7" s="29"/>
      <c r="B7" s="30"/>
      <c r="C7" s="1" t="s">
        <v>2</v>
      </c>
      <c r="D7" s="11" t="s">
        <v>26</v>
      </c>
    </row>
    <row r="8" spans="1:4" x14ac:dyDescent="0.25">
      <c r="A8" s="31"/>
      <c r="B8" s="32"/>
      <c r="C8" s="1" t="s">
        <v>4</v>
      </c>
      <c r="D8" s="11">
        <v>44953</v>
      </c>
    </row>
    <row r="9" spans="1:4" x14ac:dyDescent="0.25">
      <c r="A9" s="41" t="s">
        <v>5</v>
      </c>
      <c r="B9" s="42"/>
      <c r="C9" s="2" t="s">
        <v>6</v>
      </c>
      <c r="D9" s="12"/>
    </row>
    <row r="10" spans="1:4" x14ac:dyDescent="0.25">
      <c r="A10" s="47" t="s">
        <v>7</v>
      </c>
      <c r="B10" s="48"/>
      <c r="C10" s="48" t="str">
        <f>A10</f>
        <v>Steel Horse Auto Inc</v>
      </c>
      <c r="D10" s="49"/>
    </row>
    <row r="11" spans="1:4" x14ac:dyDescent="0.25">
      <c r="A11" s="47" t="s">
        <v>8</v>
      </c>
      <c r="B11" s="48"/>
      <c r="C11" s="48" t="str">
        <f t="shared" ref="C11:C12" si="0">A11</f>
        <v xml:space="preserve">265 Lopez Orchard, East John, Michigan, </v>
      </c>
      <c r="D11" s="49"/>
    </row>
    <row r="12" spans="1:4" x14ac:dyDescent="0.25">
      <c r="A12" s="47" t="s">
        <v>9</v>
      </c>
      <c r="B12" s="48"/>
      <c r="C12" s="48" t="str">
        <f t="shared" si="0"/>
        <v>United States, 43306</v>
      </c>
      <c r="D12" s="49"/>
    </row>
    <row r="13" spans="1:4" x14ac:dyDescent="0.25">
      <c r="A13" s="47"/>
      <c r="B13" s="48"/>
      <c r="C13" s="48"/>
      <c r="D13" s="49"/>
    </row>
    <row r="14" spans="1:4" x14ac:dyDescent="0.25">
      <c r="A14" s="13" t="s">
        <v>10</v>
      </c>
      <c r="B14" s="36" t="s">
        <v>11</v>
      </c>
      <c r="C14" s="4" t="s">
        <v>12</v>
      </c>
      <c r="D14" s="14" t="s">
        <v>13</v>
      </c>
    </row>
    <row r="15" spans="1:4" ht="31.95" customHeight="1" x14ac:dyDescent="0.25">
      <c r="A15" s="23" t="s">
        <v>23</v>
      </c>
      <c r="B15" s="37">
        <v>2000</v>
      </c>
      <c r="C15" s="58">
        <v>2350</v>
      </c>
      <c r="D15" s="64">
        <f>Table_1456[[#This Row],[MENGE]]*Table_1456[[#This Row],[STÜCKPREIS]]</f>
        <v>4700000</v>
      </c>
    </row>
    <row r="16" spans="1:4" ht="27" customHeight="1" x14ac:dyDescent="0.25">
      <c r="A16" s="24" t="s">
        <v>27</v>
      </c>
      <c r="B16" s="38">
        <v>2000</v>
      </c>
      <c r="C16" s="59">
        <v>63</v>
      </c>
      <c r="D16" s="65">
        <f>Table_1456[[#This Row],[MENGE]]*Table_1456[[#This Row],[STÜCKPREIS]]</f>
        <v>126000</v>
      </c>
    </row>
    <row r="17" spans="1:4" ht="21" customHeight="1" x14ac:dyDescent="0.25">
      <c r="A17" s="25" t="s">
        <v>28</v>
      </c>
      <c r="B17" s="37">
        <v>2000</v>
      </c>
      <c r="C17" s="60">
        <f>C15+C16-2310</f>
        <v>103</v>
      </c>
      <c r="D17" s="64">
        <f>Table_1456[[#This Row],[MENGE]]*Table_1456[[#This Row],[STÜCKPREIS]]</f>
        <v>206000</v>
      </c>
    </row>
    <row r="18" spans="1:4" ht="27" customHeight="1" x14ac:dyDescent="0.25">
      <c r="A18" s="16"/>
      <c r="B18" s="40"/>
      <c r="C18" s="10"/>
      <c r="D18" s="65"/>
    </row>
    <row r="19" spans="1:4" ht="19.2" customHeight="1" x14ac:dyDescent="0.25">
      <c r="A19" s="18"/>
      <c r="B19" s="39"/>
      <c r="C19" s="9"/>
      <c r="D19" s="64"/>
    </row>
    <row r="20" spans="1:4" ht="27" customHeight="1" x14ac:dyDescent="0.25">
      <c r="A20" s="16"/>
      <c r="B20" s="40"/>
      <c r="C20" s="10"/>
      <c r="D20" s="65"/>
    </row>
    <row r="21" spans="1:4" ht="20.399999999999999" customHeight="1" x14ac:dyDescent="0.25">
      <c r="A21" s="18"/>
      <c r="B21" s="39"/>
      <c r="C21" s="9"/>
      <c r="D21" s="64"/>
    </row>
    <row r="22" spans="1:4" ht="27" customHeight="1" x14ac:dyDescent="0.25">
      <c r="A22" s="16"/>
      <c r="B22" s="40"/>
      <c r="C22" s="7"/>
      <c r="D22" s="86"/>
    </row>
    <row r="23" spans="1:4" ht="17.399999999999999" x14ac:dyDescent="0.25">
      <c r="A23" s="18"/>
      <c r="B23" s="39"/>
      <c r="C23" s="5" t="s">
        <v>16</v>
      </c>
      <c r="D23" s="64">
        <f>D15+D16-D17</f>
        <v>4620000</v>
      </c>
    </row>
    <row r="24" spans="1:4" ht="17.399999999999999" x14ac:dyDescent="0.25">
      <c r="A24" s="54" t="s">
        <v>17</v>
      </c>
      <c r="B24" s="55"/>
      <c r="C24" s="6" t="s">
        <v>18</v>
      </c>
      <c r="D24" s="79">
        <v>589050</v>
      </c>
    </row>
    <row r="25" spans="1:4" ht="18" thickBot="1" x14ac:dyDescent="0.3">
      <c r="A25" s="52" t="s">
        <v>19</v>
      </c>
      <c r="B25" s="53"/>
      <c r="C25" s="6" t="s">
        <v>20</v>
      </c>
      <c r="D25" s="80">
        <f>D23+D24</f>
        <v>5209050</v>
      </c>
    </row>
    <row r="26" spans="1:4" ht="15" thickTop="1" thickBot="1" x14ac:dyDescent="0.3">
      <c r="A26" s="20"/>
      <c r="B26" s="21"/>
      <c r="C26" s="21"/>
      <c r="D26" s="22"/>
    </row>
  </sheetData>
  <mergeCells count="13">
    <mergeCell ref="A24:B24"/>
    <mergeCell ref="A25:B25"/>
    <mergeCell ref="A10:B10"/>
    <mergeCell ref="C10:D10"/>
    <mergeCell ref="A11:B11"/>
    <mergeCell ref="C11:D11"/>
    <mergeCell ref="A12:B12"/>
    <mergeCell ref="C12:D12"/>
    <mergeCell ref="A9:B9"/>
    <mergeCell ref="B1:D1"/>
    <mergeCell ref="B2:D2"/>
    <mergeCell ref="A13:B13"/>
    <mergeCell ref="C13:D13"/>
  </mergeCells>
  <pageMargins left="0.7" right="0.7" top="0.75" bottom="0.75" header="0.3" footer="0.3"/>
  <pageSetup orientation="landscape" r:id="rId1"/>
  <drawing r:id="rId2"/>
  <legacy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3DFE3-4D8A-43C6-8C39-F5FF71850E9D}">
  <dimension ref="A1:D26"/>
  <sheetViews>
    <sheetView topLeftCell="A9" zoomScaleNormal="100" workbookViewId="0">
      <selection activeCell="D23" sqref="D23:D25"/>
    </sheetView>
  </sheetViews>
  <sheetFormatPr defaultRowHeight="13.8" x14ac:dyDescent="0.25"/>
  <cols>
    <col min="1" max="1" width="32.59765625" customWidth="1"/>
    <col min="2" max="2" width="16.5" customWidth="1"/>
    <col min="3" max="3" width="21.19921875" customWidth="1"/>
    <col min="4" max="4" width="29.3984375" customWidth="1"/>
  </cols>
  <sheetData>
    <row r="1" spans="1:4" ht="30" x14ac:dyDescent="0.25">
      <c r="A1" s="33"/>
      <c r="B1" s="43" t="s">
        <v>0</v>
      </c>
      <c r="C1" s="43"/>
      <c r="D1" s="44"/>
    </row>
    <row r="2" spans="1:4" ht="17.399999999999999" customHeight="1" x14ac:dyDescent="0.25">
      <c r="A2" s="28"/>
      <c r="B2" s="45" t="s">
        <v>1</v>
      </c>
      <c r="C2" s="45"/>
      <c r="D2" s="46"/>
    </row>
    <row r="3" spans="1:4" ht="17.399999999999999" customHeight="1" x14ac:dyDescent="0.25">
      <c r="A3" s="28"/>
      <c r="B3" s="30"/>
      <c r="C3" s="30"/>
      <c r="D3" s="34"/>
    </row>
    <row r="4" spans="1:4" ht="17.399999999999999" customHeight="1" x14ac:dyDescent="0.25">
      <c r="A4" s="28"/>
      <c r="B4" s="30"/>
      <c r="C4" s="30"/>
      <c r="D4" s="34"/>
    </row>
    <row r="5" spans="1:4" ht="17.399999999999999" customHeight="1" x14ac:dyDescent="0.25">
      <c r="A5" s="28"/>
      <c r="B5" s="30"/>
      <c r="C5" s="30"/>
      <c r="D5" s="34"/>
    </row>
    <row r="6" spans="1:4" x14ac:dyDescent="0.25">
      <c r="A6" s="29"/>
      <c r="B6" s="30"/>
      <c r="C6" s="30"/>
      <c r="D6" s="34"/>
    </row>
    <row r="7" spans="1:4" x14ac:dyDescent="0.25">
      <c r="A7" s="29"/>
      <c r="B7" s="30"/>
      <c r="C7" s="1" t="s">
        <v>2</v>
      </c>
      <c r="D7" s="11" t="s">
        <v>29</v>
      </c>
    </row>
    <row r="8" spans="1:4" x14ac:dyDescent="0.25">
      <c r="A8" s="31"/>
      <c r="B8" s="32"/>
      <c r="C8" s="1" t="s">
        <v>4</v>
      </c>
      <c r="D8" s="11">
        <v>44953</v>
      </c>
    </row>
    <row r="9" spans="1:4" x14ac:dyDescent="0.25">
      <c r="A9" s="41" t="s">
        <v>5</v>
      </c>
      <c r="B9" s="42"/>
      <c r="C9" s="2" t="s">
        <v>6</v>
      </c>
      <c r="D9" s="12"/>
    </row>
    <row r="10" spans="1:4" x14ac:dyDescent="0.25">
      <c r="A10" s="47" t="s">
        <v>7</v>
      </c>
      <c r="B10" s="48"/>
      <c r="C10" s="48" t="str">
        <f>A10</f>
        <v>Steel Horse Auto Inc</v>
      </c>
      <c r="D10" s="49"/>
    </row>
    <row r="11" spans="1:4" x14ac:dyDescent="0.25">
      <c r="A11" s="47" t="s">
        <v>8</v>
      </c>
      <c r="B11" s="48"/>
      <c r="C11" s="48" t="str">
        <f t="shared" ref="C11:C12" si="0">A11</f>
        <v xml:space="preserve">265 Lopez Orchard, East John, Michigan, </v>
      </c>
      <c r="D11" s="49"/>
    </row>
    <row r="12" spans="1:4" x14ac:dyDescent="0.25">
      <c r="A12" s="47" t="s">
        <v>9</v>
      </c>
      <c r="B12" s="48"/>
      <c r="C12" s="48" t="str">
        <f t="shared" si="0"/>
        <v>United States, 43306</v>
      </c>
      <c r="D12" s="49"/>
    </row>
    <row r="13" spans="1:4" x14ac:dyDescent="0.25">
      <c r="A13" s="47"/>
      <c r="B13" s="48"/>
      <c r="C13" s="48"/>
      <c r="D13" s="49"/>
    </row>
    <row r="14" spans="1:4" x14ac:dyDescent="0.25">
      <c r="A14" s="13" t="s">
        <v>10</v>
      </c>
      <c r="B14" s="36" t="s">
        <v>11</v>
      </c>
      <c r="C14" s="4" t="s">
        <v>12</v>
      </c>
      <c r="D14" s="14" t="s">
        <v>13</v>
      </c>
    </row>
    <row r="15" spans="1:4" ht="31.95" customHeight="1" x14ac:dyDescent="0.25">
      <c r="A15" s="23" t="s">
        <v>30</v>
      </c>
      <c r="B15" s="37">
        <v>1</v>
      </c>
      <c r="C15" s="68">
        <v>63000</v>
      </c>
      <c r="D15" s="74">
        <f>Table_14567[[#This Row],[MENGE]]*Table_14567[[#This Row],[STÜCKPREIS]]</f>
        <v>63000</v>
      </c>
    </row>
    <row r="16" spans="1:4" ht="27" customHeight="1" x14ac:dyDescent="0.25">
      <c r="A16" s="24"/>
      <c r="B16" s="38"/>
      <c r="C16" s="35"/>
      <c r="D16" s="17"/>
    </row>
    <row r="17" spans="1:4" ht="21" customHeight="1" x14ac:dyDescent="0.25">
      <c r="A17" s="25"/>
      <c r="B17" s="39"/>
      <c r="C17" s="9"/>
      <c r="D17" s="15"/>
    </row>
    <row r="18" spans="1:4" ht="27" customHeight="1" x14ac:dyDescent="0.25">
      <c r="A18" s="16"/>
      <c r="B18" s="40"/>
      <c r="C18" s="10"/>
      <c r="D18" s="17"/>
    </row>
    <row r="19" spans="1:4" ht="19.2" customHeight="1" x14ac:dyDescent="0.25">
      <c r="A19" s="18"/>
      <c r="B19" s="39"/>
      <c r="C19" s="9"/>
      <c r="D19" s="15"/>
    </row>
    <row r="20" spans="1:4" ht="27" customHeight="1" x14ac:dyDescent="0.25">
      <c r="A20" s="16"/>
      <c r="B20" s="40"/>
      <c r="C20" s="10"/>
      <c r="D20" s="17"/>
    </row>
    <row r="21" spans="1:4" ht="20.399999999999999" customHeight="1" x14ac:dyDescent="0.25">
      <c r="A21" s="18"/>
      <c r="B21" s="39"/>
      <c r="C21" s="9"/>
      <c r="D21" s="15"/>
    </row>
    <row r="22" spans="1:4" ht="27" customHeight="1" x14ac:dyDescent="0.25">
      <c r="A22" s="16"/>
      <c r="B22" s="40"/>
      <c r="C22" s="7"/>
      <c r="D22" s="19"/>
    </row>
    <row r="23" spans="1:4" ht="17.399999999999999" x14ac:dyDescent="0.25">
      <c r="A23" s="26"/>
      <c r="B23" s="39"/>
      <c r="C23" s="5" t="s">
        <v>16</v>
      </c>
      <c r="D23" s="74">
        <f>D15+D16-D17</f>
        <v>63000</v>
      </c>
    </row>
    <row r="24" spans="1:4" ht="17.399999999999999" x14ac:dyDescent="0.25">
      <c r="A24" s="27" t="s">
        <v>17</v>
      </c>
      <c r="B24" s="8"/>
      <c r="C24" s="6" t="s">
        <v>18</v>
      </c>
      <c r="D24" s="83">
        <v>9545</v>
      </c>
    </row>
    <row r="25" spans="1:4" ht="18" thickBot="1" x14ac:dyDescent="0.3">
      <c r="A25" s="52" t="s">
        <v>19</v>
      </c>
      <c r="B25" s="53"/>
      <c r="C25" s="6" t="s">
        <v>20</v>
      </c>
      <c r="D25" s="84">
        <f>D23+D24</f>
        <v>72545</v>
      </c>
    </row>
    <row r="26" spans="1:4" ht="15" thickTop="1" thickBot="1" x14ac:dyDescent="0.3">
      <c r="A26" s="20"/>
      <c r="B26" s="21"/>
      <c r="C26" s="21"/>
      <c r="D26" s="22"/>
    </row>
  </sheetData>
  <mergeCells count="12">
    <mergeCell ref="A25:B25"/>
    <mergeCell ref="A10:B10"/>
    <mergeCell ref="C10:D10"/>
    <mergeCell ref="A11:B11"/>
    <mergeCell ref="C11:D11"/>
    <mergeCell ref="A12:B12"/>
    <mergeCell ref="C12:D12"/>
    <mergeCell ref="A9:B9"/>
    <mergeCell ref="B1:D1"/>
    <mergeCell ref="B2:D2"/>
    <mergeCell ref="A13:B13"/>
    <mergeCell ref="C13:D13"/>
  </mergeCells>
  <pageMargins left="0.7" right="0.7" top="0.75" bottom="0.75" header="0.3" footer="0.3"/>
  <pageSetup orientation="landscape" r:id="rId1"/>
  <drawing r:id="rId2"/>
  <legacyDrawing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007F9-4EF0-473E-8FAD-23A58D1E8EBE}">
  <dimension ref="A1:D26"/>
  <sheetViews>
    <sheetView topLeftCell="A17" zoomScaleNormal="100" workbookViewId="0">
      <selection activeCell="D23" sqref="D23:D25"/>
    </sheetView>
  </sheetViews>
  <sheetFormatPr defaultRowHeight="13.8" x14ac:dyDescent="0.25"/>
  <cols>
    <col min="1" max="1" width="32.69921875" customWidth="1"/>
    <col min="2" max="2" width="27.3984375" customWidth="1"/>
    <col min="3" max="3" width="17.8984375" customWidth="1"/>
    <col min="4" max="4" width="30.59765625" customWidth="1"/>
  </cols>
  <sheetData>
    <row r="1" spans="1:4" ht="30" x14ac:dyDescent="0.25">
      <c r="A1" s="33"/>
      <c r="B1" s="43" t="s">
        <v>0</v>
      </c>
      <c r="C1" s="43"/>
      <c r="D1" s="44"/>
    </row>
    <row r="2" spans="1:4" ht="17.399999999999999" customHeight="1" x14ac:dyDescent="0.25">
      <c r="A2" s="28"/>
      <c r="B2" s="45" t="s">
        <v>1</v>
      </c>
      <c r="C2" s="45"/>
      <c r="D2" s="46"/>
    </row>
    <row r="3" spans="1:4" ht="17.399999999999999" customHeight="1" x14ac:dyDescent="0.25">
      <c r="A3" s="28"/>
      <c r="B3" s="30"/>
      <c r="C3" s="30"/>
      <c r="D3" s="34"/>
    </row>
    <row r="4" spans="1:4" ht="17.399999999999999" customHeight="1" x14ac:dyDescent="0.25">
      <c r="A4" s="28"/>
      <c r="B4" s="30"/>
      <c r="C4" s="30"/>
      <c r="D4" s="34"/>
    </row>
    <row r="5" spans="1:4" ht="17.399999999999999" customHeight="1" x14ac:dyDescent="0.25">
      <c r="A5" s="28"/>
      <c r="B5" s="30"/>
      <c r="C5" s="30"/>
      <c r="D5" s="34"/>
    </row>
    <row r="6" spans="1:4" x14ac:dyDescent="0.25">
      <c r="A6" s="29"/>
      <c r="B6" s="30"/>
      <c r="C6" s="30"/>
      <c r="D6" s="34"/>
    </row>
    <row r="7" spans="1:4" x14ac:dyDescent="0.25">
      <c r="A7" s="29"/>
      <c r="B7" s="30"/>
      <c r="C7" s="1" t="s">
        <v>2</v>
      </c>
      <c r="D7" s="11" t="s">
        <v>31</v>
      </c>
    </row>
    <row r="8" spans="1:4" x14ac:dyDescent="0.25">
      <c r="A8" s="31"/>
      <c r="B8" s="32"/>
      <c r="C8" s="1" t="s">
        <v>4</v>
      </c>
      <c r="D8" s="11">
        <v>44953</v>
      </c>
    </row>
    <row r="9" spans="1:4" x14ac:dyDescent="0.25">
      <c r="A9" s="41" t="s">
        <v>5</v>
      </c>
      <c r="B9" s="42"/>
      <c r="C9" s="2" t="s">
        <v>6</v>
      </c>
      <c r="D9" s="12"/>
    </row>
    <row r="10" spans="1:4" x14ac:dyDescent="0.25">
      <c r="A10" s="47" t="s">
        <v>7</v>
      </c>
      <c r="B10" s="48"/>
      <c r="C10" s="48" t="str">
        <f>A10</f>
        <v>Steel Horse Auto Inc</v>
      </c>
      <c r="D10" s="49"/>
    </row>
    <row r="11" spans="1:4" x14ac:dyDescent="0.25">
      <c r="A11" s="47" t="s">
        <v>8</v>
      </c>
      <c r="B11" s="48"/>
      <c r="C11" s="48" t="str">
        <f t="shared" ref="C11:C12" si="0">A11</f>
        <v xml:space="preserve">265 Lopez Orchard, East John, Michigan, </v>
      </c>
      <c r="D11" s="49"/>
    </row>
    <row r="12" spans="1:4" x14ac:dyDescent="0.25">
      <c r="A12" s="47" t="s">
        <v>9</v>
      </c>
      <c r="B12" s="48"/>
      <c r="C12" s="48" t="str">
        <f t="shared" si="0"/>
        <v>United States, 43306</v>
      </c>
      <c r="D12" s="49"/>
    </row>
    <row r="13" spans="1:4" x14ac:dyDescent="0.25">
      <c r="A13" s="47"/>
      <c r="B13" s="48"/>
      <c r="C13" s="48"/>
      <c r="D13" s="49"/>
    </row>
    <row r="14" spans="1:4" x14ac:dyDescent="0.25">
      <c r="A14" s="13" t="s">
        <v>10</v>
      </c>
      <c r="B14" s="36" t="s">
        <v>11</v>
      </c>
      <c r="C14" s="4" t="s">
        <v>12</v>
      </c>
      <c r="D14" s="14" t="s">
        <v>13</v>
      </c>
    </row>
    <row r="15" spans="1:4" ht="31.95" customHeight="1" x14ac:dyDescent="0.25">
      <c r="A15" s="23" t="s">
        <v>32</v>
      </c>
      <c r="B15" s="37">
        <v>1000</v>
      </c>
      <c r="C15" s="58">
        <v>2500</v>
      </c>
      <c r="D15" s="66">
        <f>Table_14568[[#This Row],[MENGE]]*Table_14568[[#This Row],[STÜCKPREIS]]</f>
        <v>2500000</v>
      </c>
    </row>
    <row r="16" spans="1:4" ht="27" customHeight="1" x14ac:dyDescent="0.25">
      <c r="A16" s="24" t="s">
        <v>33</v>
      </c>
      <c r="B16" s="38">
        <v>1000</v>
      </c>
      <c r="C16" s="59">
        <v>250</v>
      </c>
      <c r="D16" s="67">
        <f>Table_14568[[#This Row],[MENGE]]*Table_14568[[#This Row],[STÜCKPREIS]]</f>
        <v>250000</v>
      </c>
    </row>
    <row r="17" spans="1:4" ht="21" customHeight="1" x14ac:dyDescent="0.25">
      <c r="A17" s="25" t="s">
        <v>34</v>
      </c>
      <c r="B17" s="37">
        <v>1000</v>
      </c>
      <c r="C17" s="60">
        <v>73</v>
      </c>
      <c r="D17" s="66">
        <f>Table_14568[[#This Row],[MENGE]]*Table_14568[[#This Row],[STÜCKPREIS]]</f>
        <v>73000</v>
      </c>
    </row>
    <row r="18" spans="1:4" ht="27" customHeight="1" x14ac:dyDescent="0.25">
      <c r="A18" s="24" t="s">
        <v>35</v>
      </c>
      <c r="B18" s="38">
        <v>1000</v>
      </c>
      <c r="C18" s="61">
        <f>C15+C16+C17-2300</f>
        <v>523</v>
      </c>
      <c r="D18" s="67">
        <f>Table_14568[[#This Row],[MENGE]]*Table_14568[[#This Row],[STÜCKPREIS]]</f>
        <v>523000</v>
      </c>
    </row>
    <row r="19" spans="1:4" ht="19.2" customHeight="1" x14ac:dyDescent="0.25">
      <c r="A19" s="18"/>
      <c r="B19" s="39"/>
      <c r="C19" s="9"/>
      <c r="D19" s="15"/>
    </row>
    <row r="20" spans="1:4" ht="27" customHeight="1" x14ac:dyDescent="0.25">
      <c r="A20" s="16"/>
      <c r="B20" s="40"/>
      <c r="C20" s="10"/>
      <c r="D20" s="17"/>
    </row>
    <row r="21" spans="1:4" ht="20.399999999999999" customHeight="1" x14ac:dyDescent="0.25">
      <c r="A21" s="18"/>
      <c r="B21" s="39"/>
      <c r="C21" s="9"/>
      <c r="D21" s="15"/>
    </row>
    <row r="22" spans="1:4" ht="27" customHeight="1" x14ac:dyDescent="0.25">
      <c r="A22" s="16"/>
      <c r="B22" s="40"/>
      <c r="C22" s="7"/>
      <c r="D22" s="19"/>
    </row>
    <row r="23" spans="1:4" ht="17.399999999999999" x14ac:dyDescent="0.25">
      <c r="A23" s="18"/>
      <c r="B23" s="39"/>
      <c r="C23" s="5" t="s">
        <v>16</v>
      </c>
      <c r="D23" s="66">
        <f>D15+D16+D17-D18</f>
        <v>2300000</v>
      </c>
    </row>
    <row r="24" spans="1:4" ht="17.399999999999999" x14ac:dyDescent="0.25">
      <c r="A24" s="54" t="s">
        <v>17</v>
      </c>
      <c r="B24" s="55"/>
      <c r="C24" s="6" t="s">
        <v>18</v>
      </c>
      <c r="D24" s="81">
        <v>301990</v>
      </c>
    </row>
    <row r="25" spans="1:4" ht="18" thickBot="1" x14ac:dyDescent="0.3">
      <c r="A25" s="52" t="s">
        <v>19</v>
      </c>
      <c r="B25" s="53"/>
      <c r="C25" s="6" t="s">
        <v>20</v>
      </c>
      <c r="D25" s="82">
        <f>D23+D24</f>
        <v>2601990</v>
      </c>
    </row>
    <row r="26" spans="1:4" ht="15" thickTop="1" thickBot="1" x14ac:dyDescent="0.3">
      <c r="A26" s="20"/>
      <c r="B26" s="21"/>
      <c r="C26" s="21"/>
      <c r="D26" s="22"/>
    </row>
  </sheetData>
  <mergeCells count="13">
    <mergeCell ref="A24:B24"/>
    <mergeCell ref="A25:B25"/>
    <mergeCell ref="A10:B10"/>
    <mergeCell ref="C10:D10"/>
    <mergeCell ref="A11:B11"/>
    <mergeCell ref="C11:D11"/>
    <mergeCell ref="A12:B12"/>
    <mergeCell ref="C12:D12"/>
    <mergeCell ref="A9:B9"/>
    <mergeCell ref="B1:D1"/>
    <mergeCell ref="B2:D2"/>
    <mergeCell ref="A13:B13"/>
    <mergeCell ref="C13:D13"/>
  </mergeCells>
  <pageMargins left="0.7" right="0.7" top="0.75" bottom="0.75" header="0.3" footer="0.3"/>
  <pageSetup orientation="landscape" r:id="rId1"/>
  <drawing r:id="rId2"/>
  <legacyDrawing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DF448-B962-4467-8DF7-62F2EDBDB376}">
  <dimension ref="A1:D26"/>
  <sheetViews>
    <sheetView topLeftCell="A9" zoomScaleNormal="100" workbookViewId="0">
      <selection activeCell="D23" sqref="D23:D25"/>
    </sheetView>
  </sheetViews>
  <sheetFormatPr defaultRowHeight="13.8" x14ac:dyDescent="0.25"/>
  <cols>
    <col min="1" max="1" width="32.59765625" customWidth="1"/>
    <col min="2" max="2" width="24.69921875" customWidth="1"/>
    <col min="3" max="3" width="23" customWidth="1"/>
    <col min="4" max="4" width="24.19921875" customWidth="1"/>
  </cols>
  <sheetData>
    <row r="1" spans="1:4" ht="30" x14ac:dyDescent="0.25">
      <c r="A1" s="33"/>
      <c r="B1" s="43" t="s">
        <v>0</v>
      </c>
      <c r="C1" s="43"/>
      <c r="D1" s="44"/>
    </row>
    <row r="2" spans="1:4" ht="17.399999999999999" customHeight="1" x14ac:dyDescent="0.25">
      <c r="A2" s="28"/>
      <c r="B2" s="45" t="s">
        <v>1</v>
      </c>
      <c r="C2" s="45"/>
      <c r="D2" s="46"/>
    </row>
    <row r="3" spans="1:4" ht="17.399999999999999" customHeight="1" x14ac:dyDescent="0.25">
      <c r="A3" s="28"/>
      <c r="B3" s="30"/>
      <c r="C3" s="30"/>
      <c r="D3" s="34"/>
    </row>
    <row r="4" spans="1:4" ht="17.399999999999999" customHeight="1" x14ac:dyDescent="0.25">
      <c r="A4" s="28"/>
      <c r="B4" s="30"/>
      <c r="C4" s="30"/>
      <c r="D4" s="34"/>
    </row>
    <row r="5" spans="1:4" ht="17.399999999999999" customHeight="1" x14ac:dyDescent="0.25">
      <c r="A5" s="28"/>
      <c r="B5" s="30"/>
      <c r="C5" s="30"/>
      <c r="D5" s="34"/>
    </row>
    <row r="6" spans="1:4" x14ac:dyDescent="0.25">
      <c r="A6" s="29"/>
      <c r="B6" s="30"/>
      <c r="C6" s="30"/>
      <c r="D6" s="34"/>
    </row>
    <row r="7" spans="1:4" x14ac:dyDescent="0.25">
      <c r="A7" s="29"/>
      <c r="B7" s="30"/>
      <c r="C7" s="1" t="s">
        <v>2</v>
      </c>
      <c r="D7" s="11" t="s">
        <v>36</v>
      </c>
    </row>
    <row r="8" spans="1:4" x14ac:dyDescent="0.25">
      <c r="A8" s="31"/>
      <c r="B8" s="32"/>
      <c r="C8" s="1" t="s">
        <v>4</v>
      </c>
      <c r="D8" s="11">
        <v>45419</v>
      </c>
    </row>
    <row r="9" spans="1:4" x14ac:dyDescent="0.25">
      <c r="A9" s="41" t="s">
        <v>5</v>
      </c>
      <c r="B9" s="42"/>
      <c r="C9" s="2" t="s">
        <v>6</v>
      </c>
      <c r="D9" s="12"/>
    </row>
    <row r="10" spans="1:4" x14ac:dyDescent="0.25">
      <c r="A10" s="47" t="s">
        <v>37</v>
      </c>
      <c r="B10" s="48"/>
      <c r="C10" s="48" t="str">
        <f>A10</f>
        <v>Steel Horse Auto Assembly NJ Inc</v>
      </c>
      <c r="D10" s="49"/>
    </row>
    <row r="11" spans="1:4" x14ac:dyDescent="0.25">
      <c r="A11" s="47" t="s">
        <v>38</v>
      </c>
      <c r="B11" s="48"/>
      <c r="C11" s="48" t="str">
        <f t="shared" ref="C11:C12" si="0">A11</f>
        <v xml:space="preserve">0015 Angela Mission, Kathyborough, </v>
      </c>
      <c r="D11" s="49"/>
    </row>
    <row r="12" spans="1:4" x14ac:dyDescent="0.25">
      <c r="A12" s="47" t="s">
        <v>39</v>
      </c>
      <c r="B12" s="48"/>
      <c r="C12" s="48" t="str">
        <f t="shared" si="0"/>
        <v>New Jersey, United States</v>
      </c>
      <c r="D12" s="49"/>
    </row>
    <row r="13" spans="1:4" x14ac:dyDescent="0.25">
      <c r="A13" s="47"/>
      <c r="B13" s="48"/>
      <c r="C13" s="48"/>
      <c r="D13" s="49"/>
    </row>
    <row r="14" spans="1:4" x14ac:dyDescent="0.25">
      <c r="A14" s="13" t="s">
        <v>10</v>
      </c>
      <c r="B14" s="36" t="s">
        <v>11</v>
      </c>
      <c r="C14" s="4" t="s">
        <v>12</v>
      </c>
      <c r="D14" s="14" t="s">
        <v>13</v>
      </c>
    </row>
    <row r="15" spans="1:4" ht="31.95" customHeight="1" x14ac:dyDescent="0.25">
      <c r="A15" s="23" t="s">
        <v>32</v>
      </c>
      <c r="B15" s="37">
        <v>2000</v>
      </c>
      <c r="C15" s="70">
        <v>2500</v>
      </c>
      <c r="D15" s="62">
        <f>Table_14569[[#This Row],[MENGE]]*Table_14569[[#This Row],[STÜCKPREIS]]</f>
        <v>5000000</v>
      </c>
    </row>
    <row r="16" spans="1:4" ht="27" customHeight="1" x14ac:dyDescent="0.25">
      <c r="A16" s="24" t="s">
        <v>40</v>
      </c>
      <c r="B16" s="38">
        <v>1000</v>
      </c>
      <c r="C16" s="71">
        <v>2252</v>
      </c>
      <c r="D16" s="63">
        <f>Table_14569[[#This Row],[MENGE]]*Table_14569[[#This Row],[STÜCKPREIS]]</f>
        <v>2252000</v>
      </c>
    </row>
    <row r="17" spans="1:4" ht="21" customHeight="1" x14ac:dyDescent="0.25">
      <c r="A17" s="24" t="s">
        <v>27</v>
      </c>
      <c r="B17" s="38">
        <v>2000</v>
      </c>
      <c r="C17" s="72">
        <v>120</v>
      </c>
      <c r="D17" s="63">
        <f>Table_14569[[#This Row],[MENGE]]*Table_14569[[#This Row],[STÜCKPREIS]]</f>
        <v>240000</v>
      </c>
    </row>
    <row r="18" spans="1:4" ht="27" customHeight="1" x14ac:dyDescent="0.25">
      <c r="A18" s="25" t="s">
        <v>28</v>
      </c>
      <c r="B18" s="37">
        <v>2000</v>
      </c>
      <c r="C18" s="73">
        <v>-89</v>
      </c>
      <c r="D18" s="62">
        <f>Table_14569[[#This Row],[MENGE]]*Table_14569[[#This Row],[STÜCKPREIS]]</f>
        <v>-178000</v>
      </c>
    </row>
    <row r="19" spans="1:4" ht="19.2" customHeight="1" x14ac:dyDescent="0.25">
      <c r="A19" s="18"/>
      <c r="B19" s="39"/>
      <c r="C19" s="9"/>
      <c r="D19" s="15"/>
    </row>
    <row r="20" spans="1:4" ht="27" customHeight="1" x14ac:dyDescent="0.25">
      <c r="A20" s="16"/>
      <c r="B20" s="40"/>
      <c r="C20" s="10"/>
      <c r="D20" s="17"/>
    </row>
    <row r="21" spans="1:4" ht="20.399999999999999" customHeight="1" x14ac:dyDescent="0.25">
      <c r="A21" s="18"/>
      <c r="B21" s="39"/>
      <c r="C21" s="9"/>
      <c r="D21" s="15"/>
    </row>
    <row r="22" spans="1:4" ht="16.2" customHeight="1" x14ac:dyDescent="0.25">
      <c r="A22" s="16"/>
      <c r="B22" s="40"/>
      <c r="C22" s="7"/>
      <c r="D22" s="19"/>
    </row>
    <row r="23" spans="1:4" ht="17.399999999999999" x14ac:dyDescent="0.25">
      <c r="A23" s="18"/>
      <c r="B23" s="39"/>
      <c r="C23" s="5" t="s">
        <v>16</v>
      </c>
      <c r="D23" s="62">
        <f>SUBTOTAL(109,D15:D22)</f>
        <v>7314000</v>
      </c>
    </row>
    <row r="24" spans="1:4" ht="17.399999999999999" x14ac:dyDescent="0.25">
      <c r="A24" s="54" t="s">
        <v>17</v>
      </c>
      <c r="B24" s="55"/>
      <c r="C24" s="6" t="s">
        <v>18</v>
      </c>
      <c r="D24" s="77">
        <v>1054023</v>
      </c>
    </row>
    <row r="25" spans="1:4" ht="18" thickBot="1" x14ac:dyDescent="0.3">
      <c r="A25" s="52" t="s">
        <v>19</v>
      </c>
      <c r="B25" s="53"/>
      <c r="C25" s="6" t="s">
        <v>20</v>
      </c>
      <c r="D25" s="78">
        <f>D23+D24</f>
        <v>8368023</v>
      </c>
    </row>
    <row r="26" spans="1:4" ht="15" thickTop="1" thickBot="1" x14ac:dyDescent="0.3">
      <c r="A26" s="20"/>
      <c r="B26" s="21"/>
      <c r="C26" s="21"/>
      <c r="D26" s="22"/>
    </row>
  </sheetData>
  <mergeCells count="13">
    <mergeCell ref="A24:B24"/>
    <mergeCell ref="A25:B25"/>
    <mergeCell ref="A10:B10"/>
    <mergeCell ref="C10:D10"/>
    <mergeCell ref="A11:B11"/>
    <mergeCell ref="C11:D11"/>
    <mergeCell ref="A12:B12"/>
    <mergeCell ref="C12:D12"/>
    <mergeCell ref="A9:B9"/>
    <mergeCell ref="B1:D1"/>
    <mergeCell ref="B2:D2"/>
    <mergeCell ref="A13:B13"/>
    <mergeCell ref="C13:D13"/>
  </mergeCells>
  <pageMargins left="0.7" right="0.7" top="0.75" bottom="0.75" header="0.3" footer="0.3"/>
  <pageSetup orientation="landscape" r:id="rId1"/>
  <drawing r:id="rId2"/>
  <legacy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ee3419-f813-43ff-8070-dce059c64b7d">
      <Terms xmlns="http://schemas.microsoft.com/office/infopath/2007/PartnerControls"/>
    </lcf76f155ced4ddcb4097134ff3c332f>
    <TaxCatchAll xmlns="1e3a9498-45e1-4121-9cf9-83f762cff5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B52B035C6CA04981B992748DAF1181" ma:contentTypeVersion="11" ma:contentTypeDescription="Create a new document." ma:contentTypeScope="" ma:versionID="689806a56c686e51608d85adb48373cc">
  <xsd:schema xmlns:xsd="http://www.w3.org/2001/XMLSchema" xmlns:xs="http://www.w3.org/2001/XMLSchema" xmlns:p="http://schemas.microsoft.com/office/2006/metadata/properties" xmlns:ns2="a3ee3419-f813-43ff-8070-dce059c64b7d" xmlns:ns3="1e3a9498-45e1-4121-9cf9-83f762cff582" targetNamespace="http://schemas.microsoft.com/office/2006/metadata/properties" ma:root="true" ma:fieldsID="44474cc27978a1f6453014522ae89bb3" ns2:_="" ns3:_="">
    <xsd:import namespace="a3ee3419-f813-43ff-8070-dce059c64b7d"/>
    <xsd:import namespace="1e3a9498-45e1-4121-9cf9-83f762cff5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e3419-f813-43ff-8070-dce059c64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96a25b-9aa6-4704-857f-a82f0192e7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a9498-45e1-4121-9cf9-83f762cff5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1dc4f6-3018-41bc-847a-4a554e8662aa}" ma:internalName="TaxCatchAll" ma:showField="CatchAllData" ma:web="1e3a9498-45e1-4121-9cf9-83f762cff5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548CD4-013E-41EE-A626-E5A19CB109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181D89-744B-426D-BAE2-9D8FDD7E929A}">
  <ds:schemaRefs>
    <ds:schemaRef ds:uri="http://purl.org/dc/terms/"/>
    <ds:schemaRef ds:uri="http://purl.org/dc/dcmitype/"/>
    <ds:schemaRef ds:uri="http://schemas.microsoft.com/office/2006/metadata/properties"/>
    <ds:schemaRef ds:uri="1e3a9498-45e1-4121-9cf9-83f762cff582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a3ee3419-f813-43ff-8070-dce059c64b7d"/>
  </ds:schemaRefs>
</ds:datastoreItem>
</file>

<file path=customXml/itemProps3.xml><?xml version="1.0" encoding="utf-8"?>
<ds:datastoreItem xmlns:ds="http://schemas.openxmlformats.org/officeDocument/2006/customXml" ds:itemID="{882D6655-3684-4D0C-BA80-E65D16118D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ee3419-f813-43ff-8070-dce059c64b7d"/>
    <ds:schemaRef ds:uri="1e3a9498-45e1-4121-9cf9-83f762cff5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4729-23 MÜFA</vt:lpstr>
      <vt:lpstr>7228-23 MÜFA</vt:lpstr>
      <vt:lpstr>7231-23 MÜFA</vt:lpstr>
      <vt:lpstr>7234-23 MÜFA</vt:lpstr>
      <vt:lpstr>7245-23 MÜFA</vt:lpstr>
      <vt:lpstr>26351-24 MÜFA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KOUSHIKI</dc:creator>
  <cp:keywords/>
  <dc:description/>
  <cp:lastModifiedBy>Narender Goud Burri</cp:lastModifiedBy>
  <cp:revision/>
  <cp:lastPrinted>2024-10-09T06:54:18Z</cp:lastPrinted>
  <dcterms:created xsi:type="dcterms:W3CDTF">2022-09-13T13:47:57Z</dcterms:created>
  <dcterms:modified xsi:type="dcterms:W3CDTF">2024-10-09T06:55:56Z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0x0101001BB52B035C6CA04981B992748DAF1181</vt:lpwstr>
  </property>
  <property fmtid="{D5CDD505-2E9C-101B-9397-08002B2CF9AE}" pid="3" name="MediaServiceImageTags">
    <vt:lpwstr/>
  </property>
</Properties>
</file>