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comments6.xml" ContentType="application/vnd.openxmlformats-officedocument.spreadsheetml.comments+xml"/>
  <Override PartName="/xl/threadedComments/threadedComment6.xml" ContentType="application/vnd.ms-excel.threadedcomments+xml"/>
  <Override PartName="/xl/comments7.xml" ContentType="application/vnd.openxmlformats-officedocument.spreadsheetml.comments+xml"/>
  <Override PartName="/xl/threadedComments/threadedComment7.xml" ContentType="application/vnd.ms-excel.threadedcomments+xml"/>
  <Override PartName="/xl/comments8.xml" ContentType="application/vnd.openxmlformats-officedocument.spreadsheetml.comments+xml"/>
  <Override PartName="/xl/threadedComments/threadedComment8.xml" ContentType="application/vnd.ms-excel.threadedcomments+xml"/>
  <Override PartName="/xl/comments9.xml" ContentType="application/vnd.openxmlformats-officedocument.spreadsheetml.comments+xml"/>
  <Override PartName="/xl/threadedComments/threadedComment9.xml" ContentType="application/vnd.ms-excel.threadedcomments+xml"/>
  <Override PartName="/xl/comments10.xml" ContentType="application/vnd.openxmlformats-officedocument.spreadsheetml.comments+xml"/>
  <Override PartName="/xl/threadedComments/threadedComment10.xml" ContentType="application/vnd.ms-excel.threadedcomments+xml"/>
  <Override PartName="/xl/comments11.xml" ContentType="application/vnd.openxmlformats-officedocument.spreadsheetml.comments+xml"/>
  <Override PartName="/xl/threadedComments/threadedComment11.xml" ContentType="application/vnd.ms-excel.threadedcomments+xml"/>
  <Override PartName="/xl/comments12.xml" ContentType="application/vnd.openxmlformats-officedocument.spreadsheetml.comments+xml"/>
  <Override PartName="/xl/threadedComments/threadedComment12.xml" ContentType="application/vnd.ms-excel.threadedcomments+xml"/>
  <Override PartName="/xl/comments13.xml" ContentType="application/vnd.openxmlformats-officedocument.spreadsheetml.comments+xml"/>
  <Override PartName="/xl/threadedComments/threadedComment13.xml" ContentType="application/vnd.ms-excel.threadedcomments+xml"/>
  <Override PartName="/xl/comments14.xml" ContentType="application/vnd.openxmlformats-officedocument.spreadsheetml.comments+xml"/>
  <Override PartName="/xl/threadedComments/threadedComment1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07"/>
  <workbookPr/>
  <mc:AlternateContent xmlns:mc="http://schemas.openxmlformats.org/markup-compatibility/2006">
    <mc:Choice Requires="x15">
      <x15ac:absPath xmlns:x15ac="http://schemas.microsoft.com/office/spreadsheetml/2010/11/ac" url="C:\Users\AnilKumarBikkineli\Documents\KonaAI\Demo Invoices\"/>
    </mc:Choice>
  </mc:AlternateContent>
  <xr:revisionPtr revIDLastSave="156" documentId="13_ncr:1_{3C88DC4B-55F7-4682-B8F2-89567E57DD64}" xr6:coauthVersionLast="47" xr6:coauthVersionMax="47" xr10:uidLastSave="{461BA42F-751F-4940-8663-97E2A8442BDE}"/>
  <bookViews>
    <workbookView xWindow="-108" yWindow="-108" windowWidth="23256" windowHeight="12456" xr2:uid="{00000000-000D-0000-FFFF-FFFF00000000}"/>
  </bookViews>
  <sheets>
    <sheet name="23824 22 AUDI" sheetId="2" r:id="rId1"/>
    <sheet name="32944 22 AUDI" sheetId="3" r:id="rId2"/>
    <sheet name="41174 22 AUDI" sheetId="4" r:id="rId3"/>
    <sheet name="58090 22 AUDI" sheetId="5" r:id="rId4"/>
    <sheet name="64495 22 AUDI" sheetId="6" r:id="rId5"/>
    <sheet name="23832 22 AUDI" sheetId="8" r:id="rId6"/>
    <sheet name="28681 22 AUDI" sheetId="9" r:id="rId7"/>
    <sheet name="32943 22 AUDI" sheetId="10" r:id="rId8"/>
    <sheet name="62032 22 AUDI" sheetId="11" r:id="rId9"/>
    <sheet name="73204 22 AUDI" sheetId="12" r:id="rId10"/>
    <sheet name="27875 22 AUDI" sheetId="13" r:id="rId11"/>
    <sheet name="92452 22 AUDI" sheetId="14" r:id="rId12"/>
    <sheet name="67393 22 AUDI" sheetId="15" r:id="rId13"/>
    <sheet name="78323 22 AUDI" sheetId="16" r:id="rId14"/>
  </sheets>
  <definedNames>
    <definedName name="_xlnm.Print_Area" localSheetId="0">'23824 22 AUDI'!$A$1:$J$42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4" i="12" l="1"/>
  <c r="H15" i="14"/>
  <c r="H15" i="13"/>
  <c r="H15" i="10"/>
  <c r="H17" i="9"/>
  <c r="H14" i="9"/>
  <c r="H16" i="9"/>
  <c r="H15" i="9"/>
  <c r="H15" i="8"/>
  <c r="G14" i="8"/>
  <c r="H14" i="8" s="1"/>
  <c r="G15" i="6"/>
  <c r="H15" i="6" s="1"/>
  <c r="H14" i="6"/>
  <c r="H34" i="6" s="1"/>
  <c r="H16" i="5"/>
  <c r="H15" i="5"/>
  <c r="H15" i="4"/>
  <c r="H15" i="16"/>
  <c r="H14" i="16"/>
  <c r="H34" i="16" s="1"/>
  <c r="H14" i="15"/>
  <c r="H34" i="15" s="1"/>
  <c r="H14" i="14"/>
  <c r="H14" i="13"/>
  <c r="H34" i="13" s="1"/>
  <c r="H14" i="12"/>
  <c r="H14" i="11"/>
  <c r="H34" i="11" s="1"/>
  <c r="H36" i="11" s="1"/>
  <c r="H38" i="11" s="1"/>
  <c r="H14" i="10"/>
  <c r="H14" i="5"/>
  <c r="H14" i="4"/>
  <c r="H15" i="3"/>
  <c r="H14" i="3"/>
  <c r="H15" i="2"/>
  <c r="H14" i="2"/>
  <c r="H36" i="15" l="1"/>
  <c r="H38" i="15" s="1"/>
  <c r="H36" i="12"/>
  <c r="H38" i="12" s="1"/>
  <c r="H34" i="9"/>
  <c r="H36" i="9" s="1"/>
  <c r="H38" i="9" s="1"/>
  <c r="H34" i="8"/>
  <c r="H36" i="8" s="1"/>
  <c r="H38" i="8" s="1"/>
  <c r="H36" i="6"/>
  <c r="H38" i="6" s="1"/>
  <c r="H34" i="5"/>
  <c r="H36" i="5" s="1"/>
  <c r="H38" i="5" s="1"/>
  <c r="H34" i="4"/>
  <c r="H36" i="4"/>
  <c r="H38" i="4" s="1"/>
  <c r="H34" i="10"/>
  <c r="H36" i="10" s="1"/>
  <c r="H38" i="10" s="1"/>
  <c r="H35" i="3"/>
  <c r="H37" i="3" s="1"/>
  <c r="H39" i="3" s="1"/>
  <c r="H34" i="14"/>
  <c r="H36" i="14"/>
  <c r="H38" i="14" s="1"/>
  <c r="H36" i="13"/>
  <c r="H38" i="13" s="1"/>
  <c r="H36" i="16"/>
  <c r="H38" i="16" s="1"/>
  <c r="H35" i="2"/>
  <c r="H37" i="2" s="1"/>
  <c r="H3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tc={7DF0A627-B2AB-47E6-AA6A-8D1B1AC279BC}</author>
    <author>tc={959613FF-44F2-4472-B7C4-426025FA3EE2}</author>
  </authors>
  <commentList>
    <comment ref="B14" authorId="0" shapeId="0" xr:uid="{7DF0A627-B2AB-47E6-AA6A-8D1B1AC279BC}">
      <text>
        <t>[Threaded comment]
Your version of Excel allows you to read this threaded comment; however, any edits to it will get removed if the file is opened in a newer version of Excel. Learn more: https://go.microsoft.com/fwlink/?linkid=870924
Comment:
    Serpentine Belt</t>
      </text>
    </comment>
    <comment ref="B15" authorId="1" shapeId="0" xr:uid="{959613FF-44F2-4472-B7C4-426025FA3EE2}">
      <text>
        <t>[Threaded comment]
Your version of Excel allows you to read this threaded comment; however, any edits to it will get removed if the file is opened in a newer version of Excel. Learn more: https://go.microsoft.com/fwlink/?linkid=870924
Comment:
    Basic Packing Charge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tc={9622C8AD-5ECD-4762-A543-AEEDAD413444}</author>
    <author>tc={22281133-BF72-473D-81CB-60262333949C}</author>
  </authors>
  <commentList>
    <comment ref="B14" authorId="0" shapeId="0" xr:uid="{9622C8AD-5ECD-4762-A543-AEEDAD413444}">
      <text>
        <t>[Threaded comment]
Your version of Excel allows you to read this threaded comment; however, any edits to it will get removed if the file is opened in a newer version of Excel. Learn more: https://go.microsoft.com/fwlink/?linkid=870924
Comment:
    Brake Fluid Reservoir</t>
      </text>
    </comment>
    <comment ref="B15" authorId="1" shapeId="0" xr:uid="{22281133-BF72-473D-81CB-60262333949C}">
      <text>
        <t>[Threaded comment]
Your version of Excel allows you to read this threaded comment; however, any edits to it will get removed if the file is opened in a newer version of Excel. Learn more: https://go.microsoft.com/fwlink/?linkid=870924
Comment:
    Bulk Purchase Discount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tc={EB0212C5-224C-40DE-B951-48E15FDD309C}</author>
    <author>tc={B9F58ED8-697C-489F-87D6-0A0099697600}</author>
  </authors>
  <commentList>
    <comment ref="B14" authorId="0" shapeId="0" xr:uid="{EB0212C5-224C-40DE-B951-48E15FDD309C}">
      <text>
        <t>[Threaded comment]
Your version of Excel allows you to read this threaded comment; however, any edits to it will get removed if the file is opened in a newer version of Excel. Learn more: https://go.microsoft.com/fwlink/?linkid=870924
Comment:
    Drive Shaft</t>
      </text>
    </comment>
    <comment ref="B15" authorId="1" shapeId="0" xr:uid="{B9F58ED8-697C-489F-87D6-0A0099697600}">
      <text>
        <t>[Threaded comment]
Your version of Excel allows you to read this threaded comment; however, any edits to it will get removed if the file is opened in a newer version of Excel. Learn more: https://go.microsoft.com/fwlink/?linkid=870924
Comment:
    Premium Packing Charge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tc={45B704FD-B97C-424F-8346-48C48F772041}</author>
    <author>tc={310F4FC2-3DC2-4855-9529-0513159FAA69}</author>
    <author>tc={576D5693-5537-4656-AB8B-2E459D1B4C1E}</author>
  </authors>
  <commentList>
    <comment ref="B14" authorId="0" shapeId="0" xr:uid="{45B704FD-B97C-424F-8346-48C48F772041}">
      <text>
        <t>[Threaded comment]
Your version of Excel allows you to read this threaded comment; however, any edits to it will get removed if the file is opened in a newer version of Excel. Learn more: https://go.microsoft.com/fwlink/?linkid=870924
Comment:
    Exhaust manifold</t>
      </text>
    </comment>
    <comment ref="B15" authorId="1" shapeId="0" xr:uid="{310F4FC2-3DC2-4855-9529-0513159FAA69}">
      <text>
        <t>[Threaded comment]
Your version of Excel allows you to read this threaded comment; however, any edits to it will get removed if the file is opened in a newer version of Excel. Learn more: https://go.microsoft.com/fwlink/?linkid=870924
Comment:
    Flanges for Mounting</t>
      </text>
    </comment>
    <comment ref="B16" authorId="2" shapeId="0" xr:uid="{576D5693-5537-4656-AB8B-2E459D1B4C1E}">
      <text>
        <t>[Threaded comment]
Your version of Excel allows you to read this threaded comment; however, any edits to it will get removed if the file is opened in a newer version of Excel. Learn more: https://go.microsoft.com/fwlink/?linkid=870924
Comment:
    Multi-Item Packing Charge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tc={A51C140C-2F8D-4BA3-A484-F83ABA4BC9E3}</author>
    <author>tc={4C93B513-AECD-481C-B98E-952D03FF29F3}</author>
  </authors>
  <commentList>
    <comment ref="B14" authorId="0" shapeId="0" xr:uid="{A51C140C-2F8D-4BA3-A484-F83ABA4BC9E3}">
      <text>
        <t>[Threaded comment]
Your version of Excel allows you to read this threaded comment; however, any edits to it will get removed if the file is opened in a newer version of Excel. Learn more: https://go.microsoft.com/fwlink/?linkid=870924
Comment:
    Crankshaft Position Sensor</t>
      </text>
    </comment>
    <comment ref="B15" authorId="1" shapeId="0" xr:uid="{4C93B513-AECD-481C-B98E-952D03FF29F3}">
      <text>
        <t>[Threaded comment]
Your version of Excel allows you to read this threaded comment; however, any edits to it will get removed if the file is opened in a newer version of Excel. Learn more: https://go.microsoft.com/fwlink/?linkid=870924
Comment:
    Premium Packing Charge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tc={0B59A60F-45F4-4AED-9DBA-59A87B0830CF}</author>
    <author>tc={2169CA1F-46AF-4374-BF89-CE30B11C3538}</author>
  </authors>
  <commentList>
    <comment ref="B14" authorId="0" shapeId="0" xr:uid="{0B59A60F-45F4-4AED-9DBA-59A87B0830CF}">
      <text>
        <t>[Threaded comment]
Your version of Excel allows you to read this threaded comment; however, any edits to it will get removed if the file is opened in a newer version of Excel. Learn more: https://go.microsoft.com/fwlink/?linkid=870924
Comment:
    Coolant Temperature Sensor</t>
      </text>
    </comment>
    <comment ref="B15" authorId="1" shapeId="0" xr:uid="{2169CA1F-46AF-4374-BF89-CE30B11C3538}">
      <text>
        <t>[Threaded comment]
Your version of Excel allows you to read this threaded comment; however, any edits to it will get removed if the file is opened in a newer version of Excel. Learn more: https://go.microsoft.com/fwlink/?linkid=870924
Comment:
    Premium Packing Charge</t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tc={3B077162-8475-40FC-9D89-B97D9147928D}</author>
    <author>tc={4CD2336C-E5D7-4307-AEB7-307DA2C9DAFC}</author>
    <author>tc={2222A657-7062-497F-8E34-16F46E0F032D}</author>
    <author>tc={80370666-8096-40A1-9A2D-CB487FA34727}</author>
  </authors>
  <commentList>
    <comment ref="B14" authorId="0" shapeId="0" xr:uid="{3B077162-8475-40FC-9D89-B97D9147928D}">
      <text>
        <t>[Threaded comment]
Your version of Excel allows you to read this threaded comment; however, any edits to it will get removed if the file is opened in a newer version of Excel. Learn more: https://go.microsoft.com/fwlink/?linkid=870924
Comment:
    Piston Rings</t>
      </text>
    </comment>
    <comment ref="B15" authorId="1" shapeId="0" xr:uid="{4CD2336C-E5D7-4307-AEB7-307DA2C9DAFC}">
      <text>
        <t>[Threaded comment]
Your version of Excel allows you to read this threaded comment; however, any edits to it will get removed if the file is opened in a newer version of Excel. Learn more: https://go.microsoft.com/fwlink/?linkid=870924
Comment:
    Cylinder Liner</t>
      </text>
    </comment>
    <comment ref="B16" authorId="2" shapeId="0" xr:uid="{2222A657-7062-497F-8E34-16F46E0F032D}">
      <text>
        <t>[Threaded comment]
Your version of Excel allows you to read this threaded comment; however, any edits to it will get removed if the file is opened in a newer version of Excel. Learn more: https://go.microsoft.com/fwlink/?linkid=870924
Comment:
    Multi-Item Packing Charge</t>
      </text>
    </comment>
    <comment ref="B17" authorId="3" shapeId="0" xr:uid="{80370666-8096-40A1-9A2D-CB487FA34727}">
      <text>
        <t>[Threaded comment]
Your version of Excel allows you to read this threaded comment; however, any edits to it will get removed if the file is opened in a newer version of Excel. Learn more: https://go.microsoft.com/fwlink/?linkid=870924
Comment:
    Bulk Purchase Discount</t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tc={A01A744B-3CFA-4E03-85E3-6A5454AF6873}</author>
    <author>tc={DC17EC21-E54D-4646-ABBB-08EECEB394F9}</author>
  </authors>
  <commentList>
    <comment ref="B14" authorId="0" shapeId="0" xr:uid="{A01A744B-3CFA-4E03-85E3-6A5454AF6873}">
      <text>
        <t>[Threaded comment]
Your version of Excel allows you to read this threaded comment; however, any edits to it will get removed if the file is opened in a newer version of Excel. Learn more: https://go.microsoft.com/fwlink/?linkid=870924
Comment:
    Turbocharger</t>
      </text>
    </comment>
    <comment ref="B15" authorId="1" shapeId="0" xr:uid="{DC17EC21-E54D-4646-ABBB-08EECEB394F9}">
      <text>
        <t>[Threaded comment]
Your version of Excel allows you to read this threaded comment; however, any edits to it will get removed if the file is opened in a newer version of Excel. Learn more: https://go.microsoft.com/fwlink/?linkid=870924
Comment:
    Custom Crate Packing Charge</t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tc={852F51DD-EEE2-4286-8070-617C5D9166FD}</author>
  </authors>
  <commentList>
    <comment ref="B14" authorId="0" shapeId="0" xr:uid="{852F51DD-EEE2-4286-8070-617C5D9166FD}">
      <text>
        <t>[Threaded comment]
Your version of Excel allows you to read this threaded comment; however, any edits to it will get removed if the file is opened in a newer version of Excel. Learn more: https://go.microsoft.com/fwlink/?linkid=870924
Comment:
    Leaf Springs</t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tc={4915FCDF-8565-40DD-A3B7-BDB12EC28659}</author>
  </authors>
  <commentList>
    <comment ref="B14" authorId="0" shapeId="0" xr:uid="{4915FCDF-8565-40DD-A3B7-BDB12EC28659}">
      <text>
        <t>[Threaded comment]
Your version of Excel allows you to read this threaded comment; however, any edits to it will get removed if the file is opened in a newer version of Excel. Learn more: https://go.microsoft.com/fwlink/?linkid=870924
Comment:
    Door Panels Nuts and Bolts</t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tc={79FF98FF-D428-44B9-A5C5-1EE79A0564B8}</author>
    <author>tc={C0E1BD8E-EB08-43BF-B9FA-83563A4B47E7}</author>
  </authors>
  <commentList>
    <comment ref="B14" authorId="0" shapeId="0" xr:uid="{79FF98FF-D428-44B9-A5C5-1EE79A0564B8}">
      <text>
        <t>[Threaded comment]
Your version of Excel allows you to read this threaded comment; however, any edits to it will get removed if the file is opened in a newer version of Excel. Learn more: https://go.microsoft.com/fwlink/?linkid=870924
Comment:
    Piston Rings</t>
      </text>
    </comment>
    <comment ref="B15" authorId="1" shapeId="0" xr:uid="{C0E1BD8E-EB08-43BF-B9FA-83563A4B47E7}">
      <text>
        <t>[Threaded comment]
Your version of Excel allows you to read this threaded comment; however, any edits to it will get removed if the file is opened in a newer version of Excel. Learn more: https://go.microsoft.com/fwlink/?linkid=870924
Comment:
    Cylinder Liner</t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tc={F48FAB30-5BDB-485B-896E-238C35FEDADF}</author>
    <author>tc={20C92471-69CA-4A49-88EE-251375D565A5}</author>
  </authors>
  <commentList>
    <comment ref="B14" authorId="0" shapeId="0" xr:uid="{F48FAB30-5BDB-485B-896E-238C35FEDADF}">
      <text>
        <t>[Threaded comment]
Your version of Excel allows you to read this threaded comment; however, any edits to it will get removed if the file is opened in a newer version of Excel. Learn more: https://go.microsoft.com/fwlink/?linkid=870924
Comment:
    Air Filter</t>
      </text>
    </comment>
    <comment ref="B15" authorId="1" shapeId="0" xr:uid="{20C92471-69CA-4A49-88EE-251375D565A5}">
      <text>
        <t>[Threaded comment]
Your version of Excel allows you to read this threaded comment; however, any edits to it will get removed if the file is opened in a newer version of Excel. Learn more: https://go.microsoft.com/fwlink/?linkid=870924
Comment:
    Express Packing Charge</t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tc={A5478ABF-9D44-452B-8DF4-1E4FC3D4581F}</author>
  </authors>
  <commentList>
    <comment ref="B14" authorId="0" shapeId="0" xr:uid="{A5478ABF-9D44-452B-8DF4-1E4FC3D4581F}">
      <text>
        <t>[Threaded comment]
Your version of Excel allows you to read this threaded comment; however, any edits to it will get removed if the file is opened in a newer version of Excel. Learn more: https://go.microsoft.com/fwlink/?linkid=870924
Comment:
    Battery</t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tc={7DA3FAC3-C996-425D-B9F9-0A69C88333D1}</author>
    <author>tc={AE482261-920A-40D6-B403-E55D1BDB35C8}</author>
  </authors>
  <commentList>
    <comment ref="B14" authorId="0" shapeId="0" xr:uid="{7DA3FAC3-C996-425D-B9F9-0A69C88333D1}">
      <text>
        <t>[Threaded comment]
Your version of Excel allows you to read this threaded comment; however, any edits to it will get removed if the file is opened in a newer version of Excel. Learn more: https://go.microsoft.com/fwlink/?linkid=870924
Comment:
    Windshield</t>
      </text>
    </comment>
    <comment ref="B15" authorId="1" shapeId="0" xr:uid="{AE482261-920A-40D6-B403-E55D1BDB35C8}">
      <text>
        <t>[Threaded comment]
Your version of Excel allows you to read this threaded comment; however, any edits to it will get removed if the file is opened in a newer version of Excel. Learn more: https://go.microsoft.com/fwlink/?linkid=870924
Comment:
    Fragile Item Packing Charge</t>
      </text>
    </comment>
  </commentList>
</comments>
</file>

<file path=xl/sharedStrings.xml><?xml version="1.0" encoding="utf-8"?>
<sst xmlns="http://schemas.openxmlformats.org/spreadsheetml/2006/main" count="322" uniqueCount="61">
  <si>
    <t>Augsburg Distributors</t>
  </si>
  <si>
    <t>549 Brandon Pine Apt.524, Hamburg, Berlin, Denmark, 54473</t>
  </si>
  <si>
    <t>Telefonnummer -  +43 68738494</t>
  </si>
  <si>
    <t xml:space="preserve">Faktura num - </t>
  </si>
  <si>
    <t>23824@AGBD~FY2022</t>
  </si>
  <si>
    <t>Skatte ID -  875219224</t>
  </si>
  <si>
    <t xml:space="preserve">Dato - </t>
  </si>
  <si>
    <t>MODTAGELSE</t>
  </si>
  <si>
    <t>Steel Horse Auto Inc</t>
  </si>
  <si>
    <t xml:space="preserve">265 Lopez Orchard, East John, Michigan, </t>
  </si>
  <si>
    <t>United States, 43306</t>
  </si>
  <si>
    <t>Sl.No.</t>
  </si>
  <si>
    <t>Varens navn</t>
  </si>
  <si>
    <t xml:space="preserve">Quantity </t>
  </si>
  <si>
    <t>Price/
Unit</t>
  </si>
  <si>
    <t>Amount</t>
  </si>
  <si>
    <t>Serpentine bælte</t>
  </si>
  <si>
    <t>Grundlæggende pakkefee</t>
  </si>
  <si>
    <t>Total</t>
  </si>
  <si>
    <t>Sub Total:</t>
  </si>
  <si>
    <t>Skat</t>
  </si>
  <si>
    <t>Dette er en systemgenereret faktura og kræver ikke underskrift.</t>
  </si>
  <si>
    <t>32944@AGBD~FY2022</t>
  </si>
  <si>
    <t>Bremsevæskebeholder</t>
  </si>
  <si>
    <t>Rabat ved storkøb</t>
  </si>
  <si>
    <t>41174@AGBD~FY2022</t>
  </si>
  <si>
    <t>Drivaksel</t>
  </si>
  <si>
    <t>Premium pakkefee</t>
  </si>
  <si>
    <t>58090@AGBD~FY2022</t>
  </si>
  <si>
    <t>Udstødningsmanifold</t>
  </si>
  <si>
    <t>Flenger til montering</t>
  </si>
  <si>
    <t>Pakkefee for flere varer</t>
  </si>
  <si>
    <t>64495@AGBD~FY2022</t>
  </si>
  <si>
    <t>Krumtapakselpositionssensor</t>
  </si>
  <si>
    <t>23832@AGBD~FY2022</t>
  </si>
  <si>
    <t>Steel Horse Auto Assembly Lincoln Inc</t>
  </si>
  <si>
    <t xml:space="preserve">21857 Clayton Forges Suite 897, Sherrybury, </t>
  </si>
  <si>
    <t>Lincoln, United States, 17355</t>
  </si>
  <si>
    <t>Kølevæsketemperaturføler</t>
  </si>
  <si>
    <t>28681@AGBD~FY2022</t>
  </si>
  <si>
    <t>Stempel ringe</t>
  </si>
  <si>
    <t>Cylinderforing</t>
  </si>
  <si>
    <t>32943@AGBD~FY2022</t>
  </si>
  <si>
    <t>Turbolader</t>
  </si>
  <si>
    <t>Tilpasset kassepakkefee</t>
  </si>
  <si>
    <t>62032@AGBD~FY2022</t>
  </si>
  <si>
    <t>Bladfjedre</t>
  </si>
  <si>
    <t>73204@AGBD~FY2022</t>
  </si>
  <si>
    <t>Dørpaneler Møtrikker og bolte</t>
  </si>
  <si>
    <t>27875@AGBD~FY2022</t>
  </si>
  <si>
    <t>Steel Horse Auto Assembly NJ Inc</t>
  </si>
  <si>
    <t xml:space="preserve">0015 Angela Mission, Kathyborough, </t>
  </si>
  <si>
    <t>New Jersey, United States</t>
  </si>
  <si>
    <t>92452@AGBD~FY2022</t>
  </si>
  <si>
    <t>Luftfilter</t>
  </si>
  <si>
    <t>Ekspres pakkefee</t>
  </si>
  <si>
    <t>67393@AGBD~FY2022</t>
  </si>
  <si>
    <t>Batteri</t>
  </si>
  <si>
    <t>78323@AGBD~FY2022</t>
  </si>
  <si>
    <t>Forrude</t>
  </si>
  <si>
    <t>Pakkefee for skrøbelige varer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</si>
</sst>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DKK]\ #,##0.00"/>
    <numFmt numFmtId="165" formatCode="[$DKK]\ #,##0"/>
  </numFmts>
  <fonts count="16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6"/>
      <color theme="0"/>
      <name val="Arial"/>
      <family val="2"/>
    </font>
    <font>
      <b/>
      <sz val="16"/>
      <color theme="1"/>
      <name val="Arial"/>
      <family val="2"/>
    </font>
    <font>
      <b/>
      <sz val="24"/>
      <color theme="1"/>
      <name val="Arial"/>
      <family val="2"/>
    </font>
    <font>
      <sz val="11"/>
      <color rgb="FF202124"/>
      <name val="Arial"/>
      <family val="2"/>
    </font>
    <font>
      <b/>
      <sz val="16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name val="Aptos Narrow"/>
      <family val="2"/>
    </font>
    <font>
      <b/>
      <sz val="12"/>
      <name val="Arial"/>
      <family val="2"/>
    </font>
    <font>
      <b/>
      <sz val="12"/>
      <color theme="0"/>
      <name val="Arial"/>
      <family val="2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2" fillId="0" borderId="6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vertical="center"/>
    </xf>
    <xf numFmtId="0" fontId="2" fillId="0" borderId="8" xfId="0" applyFont="1" applyBorder="1" applyAlignment="1">
      <alignment horizontal="center"/>
    </xf>
    <xf numFmtId="164" fontId="2" fillId="0" borderId="6" xfId="0" applyNumberFormat="1" applyFont="1" applyBorder="1" applyAlignment="1">
      <alignment horizontal="center" vertical="center"/>
    </xf>
    <xf numFmtId="164" fontId="2" fillId="7" borderId="6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vertical="top"/>
    </xf>
    <xf numFmtId="0" fontId="1" fillId="0" borderId="5" xfId="0" applyFont="1" applyBorder="1"/>
    <xf numFmtId="0" fontId="0" fillId="0" borderId="5" xfId="0" applyBorder="1"/>
    <xf numFmtId="14" fontId="10" fillId="0" borderId="5" xfId="0" applyNumberFormat="1" applyFont="1" applyBorder="1"/>
    <xf numFmtId="165" fontId="2" fillId="7" borderId="6" xfId="0" applyNumberFormat="1" applyFont="1" applyFill="1" applyBorder="1" applyAlignment="1">
      <alignment horizontal="center" vertical="center"/>
    </xf>
    <xf numFmtId="165" fontId="2" fillId="0" borderId="6" xfId="0" applyNumberFormat="1" applyFont="1" applyBorder="1" applyAlignment="1">
      <alignment horizontal="center" vertical="center"/>
    </xf>
    <xf numFmtId="0" fontId="2" fillId="7" borderId="15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/>
    </xf>
    <xf numFmtId="164" fontId="2" fillId="7" borderId="15" xfId="0" applyNumberFormat="1" applyFont="1" applyFill="1" applyBorder="1" applyAlignment="1">
      <alignment horizontal="center" vertical="center"/>
    </xf>
    <xf numFmtId="164" fontId="2" fillId="7" borderId="18" xfId="0" applyNumberFormat="1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164" fontId="2" fillId="2" borderId="15" xfId="0" applyNumberFormat="1" applyFont="1" applyFill="1" applyBorder="1" applyAlignment="1">
      <alignment horizontal="center" vertical="center"/>
    </xf>
    <xf numFmtId="164" fontId="2" fillId="2" borderId="18" xfId="0" applyNumberFormat="1" applyFont="1" applyFill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13" fillId="0" borderId="0" xfId="0" applyFont="1"/>
    <xf numFmtId="14" fontId="10" fillId="0" borderId="0" xfId="0" applyNumberFormat="1" applyFont="1" applyAlignment="1">
      <alignment horizontal="left"/>
    </xf>
    <xf numFmtId="0" fontId="8" fillId="0" borderId="4" xfId="0" applyFont="1" applyBorder="1" applyAlignment="1">
      <alignment vertical="center"/>
    </xf>
    <xf numFmtId="0" fontId="1" fillId="0" borderId="0" xfId="0" applyFont="1" applyAlignment="1">
      <alignment vertical="top"/>
    </xf>
    <xf numFmtId="0" fontId="2" fillId="0" borderId="0" xfId="0" applyFont="1" applyAlignment="1">
      <alignment horizont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4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5" fillId="0" borderId="0" xfId="0" applyFont="1"/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2" fillId="0" borderId="11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12" xfId="0" applyFont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6" borderId="4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5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13" xfId="0" applyFont="1" applyFill="1" applyBorder="1" applyAlignment="1">
      <alignment horizontal="center"/>
    </xf>
    <xf numFmtId="0" fontId="2" fillId="7" borderId="15" xfId="0" applyFont="1" applyFill="1" applyBorder="1" applyAlignment="1">
      <alignment horizontal="center" vertical="center"/>
    </xf>
    <xf numFmtId="0" fontId="2" fillId="7" borderId="16" xfId="0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/>
    </xf>
    <xf numFmtId="164" fontId="2" fillId="7" borderId="15" xfId="0" applyNumberFormat="1" applyFont="1" applyFill="1" applyBorder="1" applyAlignment="1">
      <alignment horizontal="center" vertical="center"/>
    </xf>
    <xf numFmtId="164" fontId="2" fillId="7" borderId="18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0" fontId="1" fillId="5" borderId="15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 wrapText="1"/>
    </xf>
    <xf numFmtId="0" fontId="1" fillId="5" borderId="12" xfId="0" applyFont="1" applyFill="1" applyBorder="1" applyAlignment="1">
      <alignment horizontal="center" vertical="center" wrapText="1"/>
    </xf>
    <xf numFmtId="0" fontId="6" fillId="0" borderId="15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12" xfId="0" applyNumberFormat="1" applyFont="1" applyBorder="1" applyAlignment="1">
      <alignment horizontal="center" vertical="center"/>
    </xf>
    <xf numFmtId="164" fontId="2" fillId="0" borderId="15" xfId="0" applyNumberFormat="1" applyFont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7" fillId="4" borderId="22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164" fontId="1" fillId="0" borderId="0" xfId="0" applyNumberFormat="1" applyFont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164" fontId="1" fillId="0" borderId="8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165" fontId="11" fillId="4" borderId="19" xfId="0" applyNumberFormat="1" applyFont="1" applyFill="1" applyBorder="1" applyAlignment="1">
      <alignment horizontal="center" vertical="center"/>
    </xf>
    <xf numFmtId="165" fontId="11" fillId="4" borderId="20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3" borderId="0" xfId="0" applyFont="1" applyFill="1" applyAlignment="1">
      <alignment horizontal="left" vertical="center"/>
    </xf>
    <xf numFmtId="165" fontId="12" fillId="3" borderId="0" xfId="0" applyNumberFormat="1" applyFont="1" applyFill="1" applyAlignment="1">
      <alignment horizontal="center"/>
    </xf>
    <xf numFmtId="165" fontId="12" fillId="3" borderId="5" xfId="0" applyNumberFormat="1" applyFont="1" applyFill="1" applyBorder="1" applyAlignment="1">
      <alignment horizontal="center"/>
    </xf>
    <xf numFmtId="0" fontId="9" fillId="0" borderId="0" xfId="0" applyFont="1" applyAlignment="1">
      <alignment horizontal="left"/>
    </xf>
    <xf numFmtId="164" fontId="2" fillId="0" borderId="0" xfId="0" applyNumberFormat="1" applyFont="1" applyAlignment="1">
      <alignment horizontal="center"/>
    </xf>
    <xf numFmtId="164" fontId="2" fillId="0" borderId="5" xfId="0" applyNumberFormat="1" applyFont="1" applyBorder="1" applyAlignment="1">
      <alignment horizontal="center"/>
    </xf>
    <xf numFmtId="165" fontId="11" fillId="4" borderId="24" xfId="0" applyNumberFormat="1" applyFont="1" applyFill="1" applyBorder="1" applyAlignment="1">
      <alignment horizontal="center" vertical="center"/>
    </xf>
    <xf numFmtId="165" fontId="11" fillId="4" borderId="25" xfId="0" applyNumberFormat="1" applyFont="1" applyFill="1" applyBorder="1" applyAlignment="1">
      <alignment horizontal="center" vertical="center"/>
    </xf>
    <xf numFmtId="164" fontId="2" fillId="2" borderId="15" xfId="0" applyNumberFormat="1" applyFont="1" applyFill="1" applyBorder="1" applyAlignment="1">
      <alignment horizontal="center" vertical="center"/>
    </xf>
    <xf numFmtId="164" fontId="2" fillId="2" borderId="18" xfId="0" applyNumberFormat="1" applyFont="1" applyFill="1" applyBorder="1" applyAlignment="1">
      <alignment horizontal="center" vertical="center"/>
    </xf>
    <xf numFmtId="0" fontId="1" fillId="0" borderId="26" xfId="0" applyFont="1" applyBorder="1" applyAlignment="1">
      <alignment horizontal="center"/>
    </xf>
    <xf numFmtId="0" fontId="2" fillId="0" borderId="0" xfId="0" applyFont="1" applyAlignment="1"/>
    <xf numFmtId="0" fontId="2" fillId="0" borderId="5" xfId="0" applyFont="1" applyBorder="1" applyAlignment="1"/>
    <xf numFmtId="0" fontId="2" fillId="0" borderId="4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6" borderId="4" xfId="0" applyFont="1" applyFill="1" applyBorder="1" applyAlignment="1"/>
    <xf numFmtId="0" fontId="2" fillId="6" borderId="0" xfId="0" applyFont="1" applyFill="1" applyAlignment="1"/>
    <xf numFmtId="0" fontId="2" fillId="6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il Kumar Bikkineli" id="{EACE7FF1-D29F-409E-B1F3-A7C6618C2824}" userId="S::abikkineli@konaai.com::58b7245d-aeb2-4f65-85e7-f7ce79c60323" providerId="AD"/>
</personList>
</file>

<file path=xl/theme/theme1.xml><?xml version="1.0" encoding="utf-8"?>
<a:theme xmlns:a="http://schemas.openxmlformats.org/drawingml/2006/main" name="Office Theme">
  <a:themeElements>
    <a:clrScheme name="Violet II">
      <a:dk1>
        <a:sysClr val="windowText" lastClr="000000"/>
      </a:dk1>
      <a:lt1>
        <a:sysClr val="window" lastClr="FFFFFF"/>
      </a:lt1>
      <a:dk2>
        <a:srgbClr val="632E62"/>
      </a:dk2>
      <a:lt2>
        <a:srgbClr val="EAE5EB"/>
      </a:lt2>
      <a:accent1>
        <a:srgbClr val="92278F"/>
      </a:accent1>
      <a:accent2>
        <a:srgbClr val="9B57D3"/>
      </a:accent2>
      <a:accent3>
        <a:srgbClr val="755DD9"/>
      </a:accent3>
      <a:accent4>
        <a:srgbClr val="665EB8"/>
      </a:accent4>
      <a:accent5>
        <a:srgbClr val="45A5ED"/>
      </a:accent5>
      <a:accent6>
        <a:srgbClr val="5982DB"/>
      </a:accent6>
      <a:hlink>
        <a:srgbClr val="0066FF"/>
      </a:hlink>
      <a:folHlink>
        <a:srgbClr val="666699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4" dT="2024-10-03T07:04:35.69" personId="{EACE7FF1-D29F-409E-B1F3-A7C6618C2824}" id="{7DF0A627-B2AB-47E6-AA6A-8D1B1AC279BC}">
    <text>Serpentine Belt</text>
  </threadedComment>
  <threadedComment ref="B15" dT="2024-10-03T07:04:47.68" personId="{EACE7FF1-D29F-409E-B1F3-A7C6618C2824}" id="{959613FF-44F2-4472-B7C4-426025FA3EE2}">
    <text>Basic Packing Charge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14" dT="2024-10-03T07:04:58.27" personId="{EACE7FF1-D29F-409E-B1F3-A7C6618C2824}" id="{9622C8AD-5ECD-4762-A543-AEEDAD413444}">
    <text>Brake Fluid Reservoir</text>
  </threadedComment>
  <threadedComment ref="B15" dT="2024-10-03T07:05:07.04" personId="{EACE7FF1-D29F-409E-B1F3-A7C6618C2824}" id="{22281133-BF72-473D-81CB-60262333949C}">
    <text>Bulk Purchase Discount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14" dT="2024-10-03T07:05:36.44" personId="{EACE7FF1-D29F-409E-B1F3-A7C6618C2824}" id="{EB0212C5-224C-40DE-B951-48E15FDD309C}">
    <text>Drive Shaft</text>
  </threadedComment>
  <threadedComment ref="B15" dT="2024-10-03T07:06:02.85" personId="{EACE7FF1-D29F-409E-B1F3-A7C6618C2824}" id="{B9F58ED8-697C-489F-87D6-0A0099697600}">
    <text>Premium Packing Charge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14" dT="2024-10-03T07:06:23.01" personId="{EACE7FF1-D29F-409E-B1F3-A7C6618C2824}" id="{45B704FD-B97C-424F-8346-48C48F772041}">
    <text>Exhaust manifold</text>
  </threadedComment>
  <threadedComment ref="B15" dT="2024-10-03T07:06:40.83" personId="{EACE7FF1-D29F-409E-B1F3-A7C6618C2824}" id="{310F4FC2-3DC2-4855-9529-0513159FAA69}">
    <text>Flanges for Mounting</text>
  </threadedComment>
  <threadedComment ref="B16" dT="2024-10-03T07:06:48.05" personId="{EACE7FF1-D29F-409E-B1F3-A7C6618C2824}" id="{576D5693-5537-4656-AB8B-2E459D1B4C1E}">
    <text>Multi-Item Packing Charge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B14" dT="2024-10-03T07:07:04.44" personId="{EACE7FF1-D29F-409E-B1F3-A7C6618C2824}" id="{A51C140C-2F8D-4BA3-A484-F83ABA4BC9E3}">
    <text>Crankshaft Position Sensor</text>
  </threadedComment>
  <threadedComment ref="B15" dT="2024-10-03T07:07:11.90" personId="{EACE7FF1-D29F-409E-B1F3-A7C6618C2824}" id="{4C93B513-AECD-481C-B98E-952D03FF29F3}">
    <text>Premium Packing Charge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B14" dT="2024-10-03T07:07:22.82" personId="{EACE7FF1-D29F-409E-B1F3-A7C6618C2824}" id="{0B59A60F-45F4-4AED-9DBA-59A87B0830CF}">
    <text>Coolant Temperature Sensor</text>
  </threadedComment>
  <threadedComment ref="B15" dT="2024-10-03T07:07:29.87" personId="{EACE7FF1-D29F-409E-B1F3-A7C6618C2824}" id="{2169CA1F-46AF-4374-BF89-CE30B11C3538}">
    <text>Premium Packing Charge</text>
  </threadedComment>
</ThreadedComments>
</file>

<file path=xl/threadedComments/threadedComment7.xml><?xml version="1.0" encoding="utf-8"?>
<ThreadedComments xmlns="http://schemas.microsoft.com/office/spreadsheetml/2018/threadedcomments" xmlns:x="http://schemas.openxmlformats.org/spreadsheetml/2006/main">
  <threadedComment ref="B14" dT="2024-10-03T07:07:41.73" personId="{EACE7FF1-D29F-409E-B1F3-A7C6618C2824}" id="{3B077162-8475-40FC-9D89-B97D9147928D}">
    <text>Piston Rings</text>
  </threadedComment>
  <threadedComment ref="B15" dT="2024-10-03T07:07:49.05" personId="{EACE7FF1-D29F-409E-B1F3-A7C6618C2824}" id="{4CD2336C-E5D7-4307-AEB7-307DA2C9DAFC}">
    <text>Cylinder Liner</text>
  </threadedComment>
  <threadedComment ref="B16" dT="2024-10-03T07:07:55.32" personId="{EACE7FF1-D29F-409E-B1F3-A7C6618C2824}" id="{2222A657-7062-497F-8E34-16F46E0F032D}">
    <text>Multi-Item Packing Charge</text>
  </threadedComment>
  <threadedComment ref="B17" dT="2024-10-03T07:08:03.23" personId="{EACE7FF1-D29F-409E-B1F3-A7C6618C2824}" id="{80370666-8096-40A1-9A2D-CB487FA34727}">
    <text>Bulk Purchase Discount</text>
  </threadedComment>
</ThreadedComments>
</file>

<file path=xl/threadedComments/threadedComment8.xml><?xml version="1.0" encoding="utf-8"?>
<ThreadedComments xmlns="http://schemas.microsoft.com/office/spreadsheetml/2018/threadedcomments" xmlns:x="http://schemas.openxmlformats.org/spreadsheetml/2006/main">
  <threadedComment ref="B14" dT="2024-10-03T07:08:20.45" personId="{EACE7FF1-D29F-409E-B1F3-A7C6618C2824}" id="{A01A744B-3CFA-4E03-85E3-6A5454AF6873}">
    <text>Turbocharger</text>
  </threadedComment>
  <threadedComment ref="B15" dT="2024-10-03T07:08:29.15" personId="{EACE7FF1-D29F-409E-B1F3-A7C6618C2824}" id="{DC17EC21-E54D-4646-ABBB-08EECEB394F9}">
    <text>Custom Crate Packing Charge</text>
  </threadedComment>
</ThreadedComments>
</file>

<file path=xl/threadedComments/threadedComment9.xml><?xml version="1.0" encoding="utf-8"?>
<ThreadedComments xmlns="http://schemas.microsoft.com/office/spreadsheetml/2018/threadedcomments" xmlns:x="http://schemas.openxmlformats.org/spreadsheetml/2006/main">
  <threadedComment ref="B14" dT="2024-10-03T07:08:48.67" personId="{EACE7FF1-D29F-409E-B1F3-A7C6618C2824}" id="{852F51DD-EEE2-4286-8070-617C5D9166FD}">
    <text>Leaf Springs</text>
  </threadedComment>
</ThreadedComments>
</file>

<file path=xl/threadedComments/threadedComment10.xml><?xml version="1.0" encoding="utf-8"?>
<ThreadedComments xmlns="http://schemas.microsoft.com/office/spreadsheetml/2018/threadedcomments" xmlns:x="http://schemas.openxmlformats.org/spreadsheetml/2006/main">
  <threadedComment ref="B14" dT="2024-10-03T07:09:13.77" personId="{EACE7FF1-D29F-409E-B1F3-A7C6618C2824}" id="{4915FCDF-8565-40DD-A3B7-BDB12EC28659}">
    <text>Door Panels Nuts and Bolts</text>
  </threadedComment>
</ThreadedComments>
</file>

<file path=xl/threadedComments/threadedComment11.xml><?xml version="1.0" encoding="utf-8"?>
<ThreadedComments xmlns="http://schemas.microsoft.com/office/spreadsheetml/2018/threadedcomments" xmlns:x="http://schemas.openxmlformats.org/spreadsheetml/2006/main">
  <threadedComment ref="B14" dT="2024-10-03T07:09:26.70" personId="{EACE7FF1-D29F-409E-B1F3-A7C6618C2824}" id="{79FF98FF-D428-44B9-A5C5-1EE79A0564B8}">
    <text>Piston Rings</text>
  </threadedComment>
  <threadedComment ref="B15" dT="2024-10-03T07:09:34.61" personId="{EACE7FF1-D29F-409E-B1F3-A7C6618C2824}" id="{C0E1BD8E-EB08-43BF-B9FA-83563A4B47E7}">
    <text>Cylinder Liner</text>
  </threadedComment>
</ThreadedComments>
</file>

<file path=xl/threadedComments/threadedComment12.xml><?xml version="1.0" encoding="utf-8"?>
<ThreadedComments xmlns="http://schemas.microsoft.com/office/spreadsheetml/2018/threadedcomments" xmlns:x="http://schemas.openxmlformats.org/spreadsheetml/2006/main">
  <threadedComment ref="B14" dT="2024-10-03T07:09:45.06" personId="{EACE7FF1-D29F-409E-B1F3-A7C6618C2824}" id="{F48FAB30-5BDB-485B-896E-238C35FEDADF}">
    <text>Air Filter</text>
  </threadedComment>
  <threadedComment ref="B15" dT="2024-10-03T07:09:53.21" personId="{EACE7FF1-D29F-409E-B1F3-A7C6618C2824}" id="{20C92471-69CA-4A49-88EE-251375D565A5}">
    <text>Express Packing Charge</text>
  </threadedComment>
</ThreadedComments>
</file>

<file path=xl/threadedComments/threadedComment13.xml><?xml version="1.0" encoding="utf-8"?>
<ThreadedComments xmlns="http://schemas.microsoft.com/office/spreadsheetml/2018/threadedcomments" xmlns:x="http://schemas.openxmlformats.org/spreadsheetml/2006/main">
  <threadedComment ref="B14" dT="2024-10-03T07:10:05.93" personId="{EACE7FF1-D29F-409E-B1F3-A7C6618C2824}" id="{A5478ABF-9D44-452B-8DF4-1E4FC3D4581F}">
    <text>Battery</text>
  </threadedComment>
</ThreadedComments>
</file>

<file path=xl/threadedComments/threadedComment14.xml><?xml version="1.0" encoding="utf-8"?>
<ThreadedComments xmlns="http://schemas.microsoft.com/office/spreadsheetml/2018/threadedcomments" xmlns:x="http://schemas.openxmlformats.org/spreadsheetml/2006/main">
  <threadedComment ref="B14" dT="2024-10-03T07:11:09.64" personId="{EACE7FF1-D29F-409E-B1F3-A7C6618C2824}" id="{7DA3FAC3-C996-425D-B9F9-0A69C88333D1}">
    <text>Windshield</text>
  </threadedComment>
  <threadedComment ref="B15" dT="2024-10-03T07:11:17.88" personId="{EACE7FF1-D29F-409E-B1F3-A7C6618C2824}" id="{AE482261-920A-40D6-B403-E55D1BDB35C8}">
    <text>Fragile Item Packing Charge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Relationship Id="rId4" Type="http://schemas.microsoft.com/office/2017/10/relationships/threadedComment" Target="../threadedComments/threadedComment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Relationship Id="rId4" Type="http://schemas.microsoft.com/office/2017/10/relationships/threadedComment" Target="../threadedComments/threadedComment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Relationship Id="rId4" Type="http://schemas.microsoft.com/office/2017/10/relationships/threadedComment" Target="../threadedComments/threadedComment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Relationship Id="rId4" Type="http://schemas.microsoft.com/office/2017/10/relationships/threadedComment" Target="../threadedComments/threadedComment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Relationship Id="rId4" Type="http://schemas.microsoft.com/office/2017/10/relationships/threadedComment" Target="../threadedComments/threadedComment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Relationship Id="rId4" Type="http://schemas.microsoft.com/office/2017/10/relationships/threadedComment" Target="../threadedComments/threadedComment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Relationship Id="rId4" Type="http://schemas.microsoft.com/office/2017/10/relationships/threadedComment" Target="../threadedComments/threadedComment1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Relationship Id="rId4" Type="http://schemas.microsoft.com/office/2017/10/relationships/threadedComment" Target="../threadedComments/threadedComment13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Relationship Id="rId4" Type="http://schemas.microsoft.com/office/2017/10/relationships/threadedComment" Target="../threadedComments/threadedComment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448782-114C-4987-A709-A79E4D98938C}">
  <sheetPr>
    <pageSetUpPr fitToPage="1"/>
  </sheetPr>
  <dimension ref="A1:I42"/>
  <sheetViews>
    <sheetView showGridLines="0" tabSelected="1" zoomScaleNormal="100" workbookViewId="0">
      <selection activeCell="G15" sqref="G15"/>
    </sheetView>
  </sheetViews>
  <sheetFormatPr defaultRowHeight="14.45"/>
  <cols>
    <col min="4" max="4" width="13.5703125" customWidth="1"/>
    <col min="5" max="5" width="4.42578125" customWidth="1"/>
    <col min="7" max="7" width="13.5703125" bestFit="1" customWidth="1"/>
    <col min="8" max="8" width="16.42578125" customWidth="1"/>
    <col min="9" max="9" width="2.85546875" customWidth="1"/>
  </cols>
  <sheetData>
    <row r="1" spans="1:9" ht="21">
      <c r="A1" s="44" t="s">
        <v>0</v>
      </c>
      <c r="B1" s="45"/>
      <c r="C1" s="45"/>
      <c r="D1" s="45"/>
      <c r="E1" s="45"/>
      <c r="F1" s="45"/>
      <c r="G1" s="45"/>
      <c r="H1" s="45"/>
      <c r="I1" s="46"/>
    </row>
    <row r="2" spans="1:9">
      <c r="A2" s="47" t="s">
        <v>1</v>
      </c>
      <c r="B2" s="48"/>
      <c r="C2" s="48"/>
      <c r="D2" s="48"/>
      <c r="E2" s="48"/>
      <c r="F2" s="48"/>
      <c r="G2" s="48"/>
      <c r="H2" s="48"/>
      <c r="I2" s="49"/>
    </row>
    <row r="3" spans="1:9" ht="18.600000000000001" customHeight="1">
      <c r="A3" s="50" t="s">
        <v>2</v>
      </c>
      <c r="B3" s="51"/>
      <c r="C3" s="51"/>
      <c r="D3" s="51"/>
      <c r="E3" s="51"/>
      <c r="F3" s="51"/>
      <c r="G3" s="41" t="s">
        <v>3</v>
      </c>
      <c r="H3" s="33" t="s">
        <v>4</v>
      </c>
      <c r="I3" s="15"/>
    </row>
    <row r="4" spans="1:9" ht="15.6" customHeight="1">
      <c r="A4" s="50" t="s">
        <v>5</v>
      </c>
      <c r="B4" s="51"/>
      <c r="C4" s="51"/>
      <c r="D4" s="51"/>
      <c r="E4" s="51"/>
      <c r="F4" s="51"/>
      <c r="G4" s="32" t="s">
        <v>6</v>
      </c>
      <c r="H4" s="34">
        <v>44688</v>
      </c>
      <c r="I4" s="16"/>
    </row>
    <row r="5" spans="1:9">
      <c r="A5" s="52"/>
      <c r="B5" s="53"/>
      <c r="C5" s="53"/>
      <c r="D5" s="53"/>
      <c r="E5" s="53"/>
      <c r="F5" s="53"/>
      <c r="G5" s="53"/>
      <c r="H5" s="53"/>
      <c r="I5" s="54"/>
    </row>
    <row r="6" spans="1:9" ht="30">
      <c r="A6" s="55" t="s">
        <v>7</v>
      </c>
      <c r="B6" s="56"/>
      <c r="C6" s="56"/>
      <c r="D6" s="56"/>
      <c r="E6" s="56"/>
      <c r="F6" s="56"/>
      <c r="G6" s="56"/>
      <c r="H6" s="56"/>
      <c r="I6" s="57"/>
    </row>
    <row r="7" spans="1:9" ht="15">
      <c r="A7" s="58"/>
      <c r="B7" s="59"/>
      <c r="C7" s="59"/>
      <c r="D7" s="59"/>
      <c r="E7" s="59"/>
      <c r="F7" s="59"/>
      <c r="G7" s="59"/>
      <c r="H7" s="59"/>
      <c r="I7" s="60"/>
    </row>
    <row r="8" spans="1:9" ht="14.45" customHeight="1">
      <c r="A8" s="35" t="s">
        <v>8</v>
      </c>
      <c r="B8" s="31"/>
      <c r="C8" s="31"/>
      <c r="D8" s="112"/>
      <c r="E8" s="112"/>
      <c r="F8" s="31"/>
      <c r="G8" s="31"/>
      <c r="H8" s="31"/>
      <c r="I8" s="14"/>
    </row>
    <row r="9" spans="1:9" ht="15">
      <c r="A9" s="117" t="s">
        <v>9</v>
      </c>
      <c r="B9" s="118"/>
      <c r="C9" s="118"/>
      <c r="D9" s="118"/>
      <c r="E9" s="118"/>
      <c r="F9" s="118"/>
      <c r="G9" s="118"/>
      <c r="H9" s="118"/>
      <c r="I9" s="67"/>
    </row>
    <row r="10" spans="1:9" ht="15">
      <c r="A10" s="117" t="s">
        <v>10</v>
      </c>
      <c r="B10" s="118"/>
      <c r="C10" s="118"/>
      <c r="D10" s="118"/>
      <c r="E10" s="118"/>
      <c r="F10" s="118"/>
      <c r="G10" s="118"/>
      <c r="H10" s="118"/>
      <c r="I10" s="67"/>
    </row>
    <row r="11" spans="1:9" ht="15">
      <c r="A11" s="115"/>
      <c r="B11" s="116"/>
      <c r="C11" s="116"/>
      <c r="D11" s="116"/>
      <c r="E11" s="116"/>
      <c r="F11" s="116"/>
      <c r="G11" s="66"/>
      <c r="H11" s="66"/>
      <c r="I11" s="67"/>
    </row>
    <row r="12" spans="1:9" ht="15">
      <c r="A12" s="119"/>
      <c r="B12" s="120"/>
      <c r="C12" s="120"/>
      <c r="D12" s="120"/>
      <c r="E12" s="120"/>
      <c r="F12" s="120"/>
      <c r="G12" s="120"/>
      <c r="H12" s="120"/>
      <c r="I12" s="121"/>
    </row>
    <row r="13" spans="1:9" ht="27.6">
      <c r="A13" s="7" t="s">
        <v>11</v>
      </c>
      <c r="B13" s="68" t="s">
        <v>12</v>
      </c>
      <c r="C13" s="69"/>
      <c r="D13" s="69"/>
      <c r="E13" s="70"/>
      <c r="F13" s="9" t="s">
        <v>13</v>
      </c>
      <c r="G13" s="8" t="s">
        <v>14</v>
      </c>
      <c r="H13" s="71" t="s">
        <v>15</v>
      </c>
      <c r="I13" s="72"/>
    </row>
    <row r="14" spans="1:9">
      <c r="A14" s="3">
        <v>1</v>
      </c>
      <c r="B14" s="73" t="s">
        <v>16</v>
      </c>
      <c r="C14" s="74"/>
      <c r="D14" s="74"/>
      <c r="E14" s="75"/>
      <c r="F14" s="1">
        <v>1500</v>
      </c>
      <c r="G14" s="18">
        <v>2250</v>
      </c>
      <c r="H14" s="76">
        <f>F14*G14</f>
        <v>3375000</v>
      </c>
      <c r="I14" s="77"/>
    </row>
    <row r="15" spans="1:9">
      <c r="A15" s="5">
        <v>2</v>
      </c>
      <c r="B15" s="61" t="s">
        <v>17</v>
      </c>
      <c r="C15" s="62"/>
      <c r="D15" s="62"/>
      <c r="E15" s="63"/>
      <c r="F15" s="6">
        <v>1500</v>
      </c>
      <c r="G15" s="17">
        <v>44</v>
      </c>
      <c r="H15" s="64">
        <f>F15*G15</f>
        <v>66000</v>
      </c>
      <c r="I15" s="65"/>
    </row>
    <row r="16" spans="1:9">
      <c r="A16" s="3"/>
      <c r="B16" s="73"/>
      <c r="C16" s="74"/>
      <c r="D16" s="74"/>
      <c r="E16" s="75"/>
      <c r="F16" s="1"/>
      <c r="G16" s="11"/>
      <c r="H16" s="78"/>
      <c r="I16" s="79"/>
    </row>
    <row r="17" spans="1:9">
      <c r="A17" s="5"/>
      <c r="B17" s="61"/>
      <c r="C17" s="62"/>
      <c r="D17" s="62"/>
      <c r="E17" s="63"/>
      <c r="F17" s="6"/>
      <c r="G17" s="12"/>
      <c r="H17" s="64"/>
      <c r="I17" s="65"/>
    </row>
    <row r="18" spans="1:9">
      <c r="A18" s="3"/>
      <c r="B18" s="73"/>
      <c r="C18" s="74"/>
      <c r="D18" s="74"/>
      <c r="E18" s="75"/>
      <c r="F18" s="1"/>
      <c r="G18" s="11"/>
      <c r="H18" s="78"/>
      <c r="I18" s="79"/>
    </row>
    <row r="19" spans="1:9">
      <c r="A19" s="5"/>
      <c r="B19" s="61"/>
      <c r="C19" s="62"/>
      <c r="D19" s="62"/>
      <c r="E19" s="63"/>
      <c r="F19" s="6"/>
      <c r="G19" s="12"/>
      <c r="H19" s="64"/>
      <c r="I19" s="65"/>
    </row>
    <row r="20" spans="1:9">
      <c r="A20" s="3"/>
      <c r="B20" s="73"/>
      <c r="C20" s="74"/>
      <c r="D20" s="74"/>
      <c r="E20" s="75"/>
      <c r="F20" s="1"/>
      <c r="G20" s="11"/>
      <c r="H20" s="78"/>
      <c r="I20" s="79"/>
    </row>
    <row r="21" spans="1:9">
      <c r="A21" s="5"/>
      <c r="B21" s="61"/>
      <c r="C21" s="62"/>
      <c r="D21" s="62"/>
      <c r="E21" s="63"/>
      <c r="F21" s="6"/>
      <c r="G21" s="12"/>
      <c r="H21" s="64"/>
      <c r="I21" s="65"/>
    </row>
    <row r="22" spans="1:9">
      <c r="A22" s="3"/>
      <c r="B22" s="73"/>
      <c r="C22" s="74"/>
      <c r="D22" s="74"/>
      <c r="E22" s="75"/>
      <c r="F22" s="1"/>
      <c r="G22" s="11"/>
      <c r="H22" s="78"/>
      <c r="I22" s="79"/>
    </row>
    <row r="23" spans="1:9">
      <c r="A23" s="5"/>
      <c r="B23" s="61"/>
      <c r="C23" s="62"/>
      <c r="D23" s="62"/>
      <c r="E23" s="63"/>
      <c r="F23" s="6"/>
      <c r="G23" s="12"/>
      <c r="H23" s="64"/>
      <c r="I23" s="65"/>
    </row>
    <row r="24" spans="1:9">
      <c r="A24" s="3"/>
      <c r="B24" s="73"/>
      <c r="C24" s="74"/>
      <c r="D24" s="74"/>
      <c r="E24" s="75"/>
      <c r="F24" s="1"/>
      <c r="G24" s="11"/>
      <c r="H24" s="78"/>
      <c r="I24" s="79"/>
    </row>
    <row r="25" spans="1:9">
      <c r="A25" s="5"/>
      <c r="B25" s="61"/>
      <c r="C25" s="62"/>
      <c r="D25" s="62"/>
      <c r="E25" s="63"/>
      <c r="F25" s="6"/>
      <c r="G25" s="12"/>
      <c r="H25" s="64"/>
      <c r="I25" s="65"/>
    </row>
    <row r="26" spans="1:9">
      <c r="A26" s="3"/>
      <c r="B26" s="73"/>
      <c r="C26" s="74"/>
      <c r="D26" s="74"/>
      <c r="E26" s="75"/>
      <c r="F26" s="1"/>
      <c r="G26" s="11"/>
      <c r="H26" s="78"/>
      <c r="I26" s="79"/>
    </row>
    <row r="27" spans="1:9">
      <c r="A27" s="5"/>
      <c r="B27" s="61"/>
      <c r="C27" s="62"/>
      <c r="D27" s="62"/>
      <c r="E27" s="63"/>
      <c r="F27" s="6"/>
      <c r="G27" s="12"/>
      <c r="H27" s="64"/>
      <c r="I27" s="65"/>
    </row>
    <row r="28" spans="1:9">
      <c r="A28" s="3"/>
      <c r="B28" s="73"/>
      <c r="C28" s="74"/>
      <c r="D28" s="74"/>
      <c r="E28" s="75"/>
      <c r="F28" s="1"/>
      <c r="G28" s="11"/>
      <c r="H28" s="78"/>
      <c r="I28" s="79"/>
    </row>
    <row r="29" spans="1:9">
      <c r="A29" s="5"/>
      <c r="B29" s="61"/>
      <c r="C29" s="62"/>
      <c r="D29" s="62"/>
      <c r="E29" s="63"/>
      <c r="F29" s="6"/>
      <c r="G29" s="12"/>
      <c r="H29" s="64"/>
      <c r="I29" s="65"/>
    </row>
    <row r="30" spans="1:9">
      <c r="A30" s="3"/>
      <c r="B30" s="73"/>
      <c r="C30" s="74"/>
      <c r="D30" s="74"/>
      <c r="E30" s="75"/>
      <c r="F30" s="1"/>
      <c r="G30" s="11"/>
      <c r="H30" s="78"/>
      <c r="I30" s="79"/>
    </row>
    <row r="31" spans="1:9">
      <c r="A31" s="5"/>
      <c r="B31" s="61"/>
      <c r="C31" s="62"/>
      <c r="D31" s="62"/>
      <c r="E31" s="63"/>
      <c r="F31" s="6"/>
      <c r="G31" s="12"/>
      <c r="H31" s="64"/>
      <c r="I31" s="65"/>
    </row>
    <row r="32" spans="1:9">
      <c r="A32" s="3"/>
      <c r="B32" s="73"/>
      <c r="C32" s="74"/>
      <c r="D32" s="74"/>
      <c r="E32" s="75"/>
      <c r="F32" s="1"/>
      <c r="G32" s="11"/>
      <c r="H32" s="78"/>
      <c r="I32" s="79"/>
    </row>
    <row r="33" spans="1:9">
      <c r="A33" s="5"/>
      <c r="B33" s="61"/>
      <c r="C33" s="62"/>
      <c r="D33" s="62"/>
      <c r="E33" s="63"/>
      <c r="F33" s="6"/>
      <c r="G33" s="12"/>
      <c r="H33" s="64"/>
      <c r="I33" s="65"/>
    </row>
    <row r="34" spans="1:9">
      <c r="A34" s="3"/>
      <c r="B34" s="73"/>
      <c r="C34" s="74"/>
      <c r="D34" s="74"/>
      <c r="E34" s="75"/>
      <c r="F34" s="1"/>
      <c r="G34" s="11"/>
      <c r="H34" s="78"/>
      <c r="I34" s="79"/>
    </row>
    <row r="35" spans="1:9" ht="21.6" thickBot="1">
      <c r="A35" s="80" t="s">
        <v>18</v>
      </c>
      <c r="B35" s="81"/>
      <c r="C35" s="81"/>
      <c r="D35" s="81"/>
      <c r="E35" s="81"/>
      <c r="F35" s="81"/>
      <c r="G35" s="82"/>
      <c r="H35" s="97">
        <f>SUM(H14:I20)</f>
        <v>3441000</v>
      </c>
      <c r="I35" s="98"/>
    </row>
    <row r="36" spans="1:9">
      <c r="A36" s="99"/>
      <c r="B36" s="100"/>
      <c r="C36" s="100"/>
      <c r="D36" s="100"/>
      <c r="E36" s="100"/>
      <c r="F36" s="100"/>
      <c r="G36" s="100"/>
      <c r="H36" s="100"/>
      <c r="I36" s="101"/>
    </row>
    <row r="37" spans="1:9" ht="21">
      <c r="A37" s="13"/>
      <c r="B37" s="36"/>
      <c r="C37" s="36"/>
      <c r="D37" s="37"/>
      <c r="E37" s="102" t="s">
        <v>19</v>
      </c>
      <c r="F37" s="102"/>
      <c r="G37" s="102"/>
      <c r="H37" s="103">
        <f>H35</f>
        <v>3441000</v>
      </c>
      <c r="I37" s="104"/>
    </row>
    <row r="38" spans="1:9" ht="17.45">
      <c r="A38" s="13"/>
      <c r="B38" s="36"/>
      <c r="C38" s="36"/>
      <c r="D38" s="37"/>
      <c r="E38" s="105" t="s">
        <v>20</v>
      </c>
      <c r="F38" s="105"/>
      <c r="G38" s="105"/>
      <c r="H38" s="106">
        <v>451803</v>
      </c>
      <c r="I38" s="107"/>
    </row>
    <row r="39" spans="1:9">
      <c r="A39" s="13"/>
      <c r="B39" s="36"/>
      <c r="C39" s="36"/>
      <c r="D39" s="37"/>
      <c r="E39" s="89" t="s">
        <v>18</v>
      </c>
      <c r="F39" s="89"/>
      <c r="G39" s="89"/>
      <c r="H39" s="91">
        <f>H37+H38</f>
        <v>3892803</v>
      </c>
      <c r="I39" s="92"/>
    </row>
    <row r="40" spans="1:9" ht="15" thickBot="1">
      <c r="A40" s="95"/>
      <c r="B40" s="96"/>
      <c r="C40" s="96"/>
      <c r="D40" s="10"/>
      <c r="E40" s="90"/>
      <c r="F40" s="90"/>
      <c r="G40" s="90"/>
      <c r="H40" s="93"/>
      <c r="I40" s="94"/>
    </row>
    <row r="41" spans="1:9">
      <c r="A41" s="83" t="s">
        <v>21</v>
      </c>
      <c r="B41" s="84"/>
      <c r="C41" s="84"/>
      <c r="D41" s="84"/>
      <c r="E41" s="84"/>
      <c r="F41" s="84"/>
      <c r="G41" s="84"/>
      <c r="H41" s="84"/>
      <c r="I41" s="85"/>
    </row>
    <row r="42" spans="1:9" ht="15" thickBot="1">
      <c r="A42" s="86"/>
      <c r="B42" s="87"/>
      <c r="C42" s="87"/>
      <c r="D42" s="87"/>
      <c r="E42" s="87"/>
      <c r="F42" s="87"/>
      <c r="G42" s="87"/>
      <c r="H42" s="87"/>
      <c r="I42" s="88"/>
    </row>
  </sheetData>
  <mergeCells count="68">
    <mergeCell ref="B32:E32"/>
    <mergeCell ref="H32:I32"/>
    <mergeCell ref="B33:E33"/>
    <mergeCell ref="H33:I33"/>
    <mergeCell ref="D8:E8"/>
    <mergeCell ref="A9:I9"/>
    <mergeCell ref="A10:I10"/>
    <mergeCell ref="A11:F11"/>
    <mergeCell ref="B29:E29"/>
    <mergeCell ref="H29:I29"/>
    <mergeCell ref="B30:E30"/>
    <mergeCell ref="H30:I30"/>
    <mergeCell ref="B31:E31"/>
    <mergeCell ref="H31:I31"/>
    <mergeCell ref="B26:E26"/>
    <mergeCell ref="H26:I26"/>
    <mergeCell ref="B27:E27"/>
    <mergeCell ref="H27:I27"/>
    <mergeCell ref="B28:E28"/>
    <mergeCell ref="H28:I28"/>
    <mergeCell ref="A35:G35"/>
    <mergeCell ref="A41:I42"/>
    <mergeCell ref="E39:G40"/>
    <mergeCell ref="H39:I40"/>
    <mergeCell ref="A40:C40"/>
    <mergeCell ref="H35:I35"/>
    <mergeCell ref="A36:I36"/>
    <mergeCell ref="E37:G37"/>
    <mergeCell ref="H37:I37"/>
    <mergeCell ref="E38:G38"/>
    <mergeCell ref="H38:I38"/>
    <mergeCell ref="B19:E19"/>
    <mergeCell ref="H19:I19"/>
    <mergeCell ref="B20:E20"/>
    <mergeCell ref="H20:I20"/>
    <mergeCell ref="H34:I34"/>
    <mergeCell ref="B34:E34"/>
    <mergeCell ref="B21:E21"/>
    <mergeCell ref="H21:I21"/>
    <mergeCell ref="B22:E22"/>
    <mergeCell ref="H22:I22"/>
    <mergeCell ref="B23:E23"/>
    <mergeCell ref="H23:I23"/>
    <mergeCell ref="B24:E24"/>
    <mergeCell ref="H24:I24"/>
    <mergeCell ref="B25:E25"/>
    <mergeCell ref="H25:I25"/>
    <mergeCell ref="B16:E16"/>
    <mergeCell ref="H16:I16"/>
    <mergeCell ref="B17:E17"/>
    <mergeCell ref="H17:I17"/>
    <mergeCell ref="B18:E18"/>
    <mergeCell ref="H18:I18"/>
    <mergeCell ref="B15:E15"/>
    <mergeCell ref="H15:I15"/>
    <mergeCell ref="G11:I11"/>
    <mergeCell ref="A12:I12"/>
    <mergeCell ref="B13:E13"/>
    <mergeCell ref="H13:I13"/>
    <mergeCell ref="B14:E14"/>
    <mergeCell ref="H14:I14"/>
    <mergeCell ref="A6:I6"/>
    <mergeCell ref="A7:I7"/>
    <mergeCell ref="A1:I1"/>
    <mergeCell ref="A2:I2"/>
    <mergeCell ref="A3:F3"/>
    <mergeCell ref="A4:F4"/>
    <mergeCell ref="A5:I5"/>
  </mergeCells>
  <pageMargins left="0.7" right="0.7" top="0.75" bottom="0.75" header="0.3" footer="0.3"/>
  <pageSetup paperSize="9" fitToHeight="0"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3167F-FC25-4C25-AD29-38996DD17537}">
  <sheetPr>
    <pageSetUpPr fitToPage="1"/>
  </sheetPr>
  <dimension ref="A1:I42"/>
  <sheetViews>
    <sheetView showGridLines="0" zoomScaleNormal="100" workbookViewId="0">
      <selection activeCell="G14" sqref="G14:G15"/>
    </sheetView>
  </sheetViews>
  <sheetFormatPr defaultRowHeight="14.45"/>
  <cols>
    <col min="4" max="4" width="15.28515625" customWidth="1"/>
    <col min="5" max="5" width="6.7109375" customWidth="1"/>
    <col min="7" max="7" width="13.5703125" bestFit="1" customWidth="1"/>
    <col min="8" max="8" width="18.28515625" customWidth="1"/>
    <col min="9" max="9" width="0.85546875" customWidth="1"/>
  </cols>
  <sheetData>
    <row r="1" spans="1:9" ht="21">
      <c r="A1" s="44" t="s">
        <v>0</v>
      </c>
      <c r="B1" s="45"/>
      <c r="C1" s="45"/>
      <c r="D1" s="45"/>
      <c r="E1" s="45"/>
      <c r="F1" s="45"/>
      <c r="G1" s="45"/>
      <c r="H1" s="45"/>
      <c r="I1" s="46"/>
    </row>
    <row r="2" spans="1:9">
      <c r="A2" s="47" t="s">
        <v>1</v>
      </c>
      <c r="B2" s="48"/>
      <c r="C2" s="48"/>
      <c r="D2" s="48"/>
      <c r="E2" s="48"/>
      <c r="F2" s="48"/>
      <c r="G2" s="48"/>
      <c r="H2" s="48"/>
      <c r="I2" s="49"/>
    </row>
    <row r="3" spans="1:9" ht="18.600000000000001" customHeight="1">
      <c r="A3" s="50" t="s">
        <v>2</v>
      </c>
      <c r="B3" s="51"/>
      <c r="C3" s="51"/>
      <c r="D3" s="51"/>
      <c r="E3" s="51"/>
      <c r="F3" s="51"/>
      <c r="G3" s="42" t="s">
        <v>3</v>
      </c>
      <c r="H3" s="33" t="s">
        <v>22</v>
      </c>
      <c r="I3" s="15"/>
    </row>
    <row r="4" spans="1:9" ht="15.6" customHeight="1">
      <c r="A4" s="50" t="s">
        <v>5</v>
      </c>
      <c r="B4" s="51"/>
      <c r="C4" s="51"/>
      <c r="D4" s="51"/>
      <c r="E4" s="51"/>
      <c r="F4" s="51"/>
      <c r="G4" s="43" t="s">
        <v>6</v>
      </c>
      <c r="H4" s="34">
        <v>44713</v>
      </c>
      <c r="I4" s="16"/>
    </row>
    <row r="5" spans="1:9">
      <c r="A5" s="52"/>
      <c r="B5" s="53"/>
      <c r="C5" s="53"/>
      <c r="D5" s="53"/>
      <c r="E5" s="53"/>
      <c r="F5" s="53"/>
      <c r="G5" s="53"/>
      <c r="H5" s="53"/>
      <c r="I5" s="54"/>
    </row>
    <row r="6" spans="1:9" ht="30">
      <c r="A6" s="55" t="s">
        <v>7</v>
      </c>
      <c r="B6" s="56"/>
      <c r="C6" s="56"/>
      <c r="D6" s="56"/>
      <c r="E6" s="56"/>
      <c r="F6" s="56"/>
      <c r="G6" s="56"/>
      <c r="H6" s="56"/>
      <c r="I6" s="57"/>
    </row>
    <row r="7" spans="1:9" ht="15">
      <c r="A7" s="58"/>
      <c r="B7" s="59"/>
      <c r="C7" s="59"/>
      <c r="D7" s="59"/>
      <c r="E7" s="59"/>
      <c r="F7" s="59"/>
      <c r="G7" s="59"/>
      <c r="H7" s="59"/>
      <c r="I7" s="60"/>
    </row>
    <row r="8" spans="1:9" ht="14.45" customHeight="1">
      <c r="A8" s="35" t="s">
        <v>8</v>
      </c>
      <c r="B8" s="31"/>
      <c r="C8" s="31"/>
      <c r="D8" s="112"/>
      <c r="E8" s="112"/>
      <c r="F8" s="31"/>
      <c r="G8" s="31"/>
      <c r="H8" s="31"/>
      <c r="I8" s="14"/>
    </row>
    <row r="9" spans="1:9" ht="15">
      <c r="A9" s="117" t="s">
        <v>9</v>
      </c>
      <c r="B9" s="118"/>
      <c r="C9" s="118"/>
      <c r="D9" s="118"/>
      <c r="E9" s="118"/>
      <c r="F9" s="118"/>
      <c r="G9" s="118"/>
      <c r="H9" s="118"/>
      <c r="I9" s="67"/>
    </row>
    <row r="10" spans="1:9" ht="15">
      <c r="A10" s="117" t="s">
        <v>10</v>
      </c>
      <c r="B10" s="118"/>
      <c r="C10" s="118"/>
      <c r="D10" s="118"/>
      <c r="E10" s="118"/>
      <c r="F10" s="118"/>
      <c r="G10" s="118"/>
      <c r="H10" s="118"/>
      <c r="I10" s="67"/>
    </row>
    <row r="11" spans="1:9" ht="15">
      <c r="A11" s="115"/>
      <c r="B11" s="116"/>
      <c r="C11" s="116"/>
      <c r="D11" s="116"/>
      <c r="E11" s="116"/>
      <c r="F11" s="116"/>
      <c r="G11" s="66"/>
      <c r="H11" s="66"/>
      <c r="I11" s="67"/>
    </row>
    <row r="12" spans="1:9" ht="15">
      <c r="A12" s="119"/>
      <c r="B12" s="120"/>
      <c r="C12" s="120"/>
      <c r="D12" s="120"/>
      <c r="E12" s="120"/>
      <c r="F12" s="120"/>
      <c r="G12" s="120"/>
      <c r="H12" s="120"/>
      <c r="I12" s="121"/>
    </row>
    <row r="13" spans="1:9" ht="27.6">
      <c r="A13" s="7" t="s">
        <v>11</v>
      </c>
      <c r="B13" s="68" t="s">
        <v>12</v>
      </c>
      <c r="C13" s="69"/>
      <c r="D13" s="69"/>
      <c r="E13" s="70"/>
      <c r="F13" s="9" t="s">
        <v>13</v>
      </c>
      <c r="G13" s="8" t="s">
        <v>14</v>
      </c>
      <c r="H13" s="71" t="s">
        <v>15</v>
      </c>
      <c r="I13" s="72"/>
    </row>
    <row r="14" spans="1:9">
      <c r="A14" s="3">
        <v>1</v>
      </c>
      <c r="B14" s="73" t="s">
        <v>23</v>
      </c>
      <c r="C14" s="74"/>
      <c r="D14" s="74"/>
      <c r="E14" s="75"/>
      <c r="F14" s="1">
        <v>1000</v>
      </c>
      <c r="G14" s="18">
        <v>2700</v>
      </c>
      <c r="H14" s="76">
        <f>F14*G14</f>
        <v>2700000</v>
      </c>
      <c r="I14" s="77"/>
    </row>
    <row r="15" spans="1:9">
      <c r="A15" s="5">
        <v>2</v>
      </c>
      <c r="B15" s="61" t="s">
        <v>24</v>
      </c>
      <c r="C15" s="62"/>
      <c r="D15" s="62"/>
      <c r="E15" s="63"/>
      <c r="F15" s="6">
        <v>1000</v>
      </c>
      <c r="G15" s="17">
        <v>54</v>
      </c>
      <c r="H15" s="64">
        <f>F15*G15</f>
        <v>54000</v>
      </c>
      <c r="I15" s="65"/>
    </row>
    <row r="16" spans="1:9">
      <c r="A16" s="3"/>
      <c r="B16" s="73"/>
      <c r="C16" s="74"/>
      <c r="D16" s="74"/>
      <c r="E16" s="75"/>
      <c r="F16" s="1"/>
      <c r="G16" s="11"/>
      <c r="H16" s="78"/>
      <c r="I16" s="79"/>
    </row>
    <row r="17" spans="1:9">
      <c r="A17" s="5"/>
      <c r="B17" s="61"/>
      <c r="C17" s="62"/>
      <c r="D17" s="62"/>
      <c r="E17" s="63"/>
      <c r="F17" s="6"/>
      <c r="G17" s="12"/>
      <c r="H17" s="64"/>
      <c r="I17" s="65"/>
    </row>
    <row r="18" spans="1:9">
      <c r="A18" s="3"/>
      <c r="B18" s="73"/>
      <c r="C18" s="74"/>
      <c r="D18" s="74"/>
      <c r="E18" s="75"/>
      <c r="F18" s="1"/>
      <c r="G18" s="11"/>
      <c r="H18" s="78"/>
      <c r="I18" s="79"/>
    </row>
    <row r="19" spans="1:9">
      <c r="A19" s="5"/>
      <c r="B19" s="61"/>
      <c r="C19" s="62"/>
      <c r="D19" s="62"/>
      <c r="E19" s="63"/>
      <c r="F19" s="6"/>
      <c r="G19" s="12"/>
      <c r="H19" s="64"/>
      <c r="I19" s="65"/>
    </row>
    <row r="20" spans="1:9">
      <c r="A20" s="3"/>
      <c r="B20" s="73"/>
      <c r="C20" s="74"/>
      <c r="D20" s="74"/>
      <c r="E20" s="75"/>
      <c r="F20" s="1"/>
      <c r="G20" s="11"/>
      <c r="H20" s="78"/>
      <c r="I20" s="79"/>
    </row>
    <row r="21" spans="1:9">
      <c r="A21" s="5"/>
      <c r="B21" s="61"/>
      <c r="C21" s="62"/>
      <c r="D21" s="62"/>
      <c r="E21" s="63"/>
      <c r="F21" s="6"/>
      <c r="G21" s="12"/>
      <c r="H21" s="64"/>
      <c r="I21" s="65"/>
    </row>
    <row r="22" spans="1:9">
      <c r="A22" s="3"/>
      <c r="B22" s="73"/>
      <c r="C22" s="74"/>
      <c r="D22" s="74"/>
      <c r="E22" s="75"/>
      <c r="F22" s="1"/>
      <c r="G22" s="11"/>
      <c r="H22" s="78"/>
      <c r="I22" s="79"/>
    </row>
    <row r="23" spans="1:9">
      <c r="A23" s="5"/>
      <c r="B23" s="61"/>
      <c r="C23" s="62"/>
      <c r="D23" s="62"/>
      <c r="E23" s="63"/>
      <c r="F23" s="6"/>
      <c r="G23" s="12"/>
      <c r="H23" s="64"/>
      <c r="I23" s="65"/>
    </row>
    <row r="24" spans="1:9">
      <c r="A24" s="3"/>
      <c r="B24" s="73"/>
      <c r="C24" s="74"/>
      <c r="D24" s="74"/>
      <c r="E24" s="75"/>
      <c r="F24" s="1"/>
      <c r="G24" s="11"/>
      <c r="H24" s="78"/>
      <c r="I24" s="79"/>
    </row>
    <row r="25" spans="1:9">
      <c r="A25" s="5"/>
      <c r="B25" s="61"/>
      <c r="C25" s="62"/>
      <c r="D25" s="62"/>
      <c r="E25" s="63"/>
      <c r="F25" s="6"/>
      <c r="G25" s="12"/>
      <c r="H25" s="64"/>
      <c r="I25" s="65"/>
    </row>
    <row r="26" spans="1:9">
      <c r="A26" s="3"/>
      <c r="B26" s="73"/>
      <c r="C26" s="74"/>
      <c r="D26" s="74"/>
      <c r="E26" s="75"/>
      <c r="F26" s="1"/>
      <c r="G26" s="11"/>
      <c r="H26" s="78"/>
      <c r="I26" s="79"/>
    </row>
    <row r="27" spans="1:9">
      <c r="A27" s="5"/>
      <c r="B27" s="61"/>
      <c r="C27" s="62"/>
      <c r="D27" s="62"/>
      <c r="E27" s="63"/>
      <c r="F27" s="6"/>
      <c r="G27" s="12"/>
      <c r="H27" s="64"/>
      <c r="I27" s="65"/>
    </row>
    <row r="28" spans="1:9">
      <c r="A28" s="3"/>
      <c r="B28" s="73"/>
      <c r="C28" s="74"/>
      <c r="D28" s="74"/>
      <c r="E28" s="75"/>
      <c r="F28" s="1"/>
      <c r="G28" s="11"/>
      <c r="H28" s="78"/>
      <c r="I28" s="79"/>
    </row>
    <row r="29" spans="1:9">
      <c r="A29" s="5"/>
      <c r="B29" s="61"/>
      <c r="C29" s="62"/>
      <c r="D29" s="62"/>
      <c r="E29" s="63"/>
      <c r="F29" s="6"/>
      <c r="G29" s="12"/>
      <c r="H29" s="64"/>
      <c r="I29" s="65"/>
    </row>
    <row r="30" spans="1:9">
      <c r="A30" s="3"/>
      <c r="B30" s="73"/>
      <c r="C30" s="74"/>
      <c r="D30" s="74"/>
      <c r="E30" s="75"/>
      <c r="F30" s="1"/>
      <c r="G30" s="11"/>
      <c r="H30" s="78"/>
      <c r="I30" s="79"/>
    </row>
    <row r="31" spans="1:9">
      <c r="A31" s="5"/>
      <c r="B31" s="61"/>
      <c r="C31" s="62"/>
      <c r="D31" s="62"/>
      <c r="E31" s="63"/>
      <c r="F31" s="6"/>
      <c r="G31" s="12"/>
      <c r="H31" s="64"/>
      <c r="I31" s="65"/>
    </row>
    <row r="32" spans="1:9">
      <c r="A32" s="3"/>
      <c r="B32" s="73"/>
      <c r="C32" s="74"/>
      <c r="D32" s="74"/>
      <c r="E32" s="75"/>
      <c r="F32" s="1"/>
      <c r="G32" s="11"/>
      <c r="H32" s="78"/>
      <c r="I32" s="79"/>
    </row>
    <row r="33" spans="1:9">
      <c r="A33" s="5"/>
      <c r="B33" s="61"/>
      <c r="C33" s="62"/>
      <c r="D33" s="62"/>
      <c r="E33" s="63"/>
      <c r="F33" s="6"/>
      <c r="G33" s="12"/>
      <c r="H33" s="64"/>
      <c r="I33" s="65"/>
    </row>
    <row r="34" spans="1:9">
      <c r="A34" s="3"/>
      <c r="B34" s="73"/>
      <c r="C34" s="74"/>
      <c r="D34" s="74"/>
      <c r="E34" s="75"/>
      <c r="F34" s="1"/>
      <c r="G34" s="11"/>
      <c r="H34" s="78"/>
      <c r="I34" s="79"/>
    </row>
    <row r="35" spans="1:9" ht="21.6" thickBot="1">
      <c r="A35" s="80" t="s">
        <v>18</v>
      </c>
      <c r="B35" s="81"/>
      <c r="C35" s="81"/>
      <c r="D35" s="81"/>
      <c r="E35" s="81"/>
      <c r="F35" s="81"/>
      <c r="G35" s="82"/>
      <c r="H35" s="97">
        <f>H14-H15</f>
        <v>2646000</v>
      </c>
      <c r="I35" s="98"/>
    </row>
    <row r="36" spans="1:9">
      <c r="A36" s="99"/>
      <c r="B36" s="100"/>
      <c r="C36" s="100"/>
      <c r="D36" s="100"/>
      <c r="E36" s="100"/>
      <c r="F36" s="100"/>
      <c r="G36" s="100"/>
      <c r="H36" s="100"/>
      <c r="I36" s="101"/>
    </row>
    <row r="37" spans="1:9" ht="21">
      <c r="A37" s="13"/>
      <c r="B37" s="36"/>
      <c r="C37" s="36"/>
      <c r="D37" s="37"/>
      <c r="E37" s="102" t="s">
        <v>19</v>
      </c>
      <c r="F37" s="102"/>
      <c r="G37" s="102"/>
      <c r="H37" s="103">
        <f>H35</f>
        <v>2646000</v>
      </c>
      <c r="I37" s="104"/>
    </row>
    <row r="38" spans="1:9" ht="17.45">
      <c r="A38" s="13"/>
      <c r="B38" s="36"/>
      <c r="C38" s="36"/>
      <c r="D38" s="37"/>
      <c r="E38" s="105" t="s">
        <v>20</v>
      </c>
      <c r="F38" s="105"/>
      <c r="G38" s="105"/>
      <c r="H38" s="106">
        <v>347420</v>
      </c>
      <c r="I38" s="107"/>
    </row>
    <row r="39" spans="1:9">
      <c r="A39" s="13"/>
      <c r="B39" s="36"/>
      <c r="C39" s="36"/>
      <c r="D39" s="37"/>
      <c r="E39" s="89" t="s">
        <v>18</v>
      </c>
      <c r="F39" s="89"/>
      <c r="G39" s="89"/>
      <c r="H39" s="91">
        <f>H37+H38</f>
        <v>2993420</v>
      </c>
      <c r="I39" s="92"/>
    </row>
    <row r="40" spans="1:9" ht="15" thickBot="1">
      <c r="A40" s="95"/>
      <c r="B40" s="96"/>
      <c r="C40" s="96"/>
      <c r="D40" s="10"/>
      <c r="E40" s="90"/>
      <c r="F40" s="90"/>
      <c r="G40" s="90"/>
      <c r="H40" s="93"/>
      <c r="I40" s="94"/>
    </row>
    <row r="41" spans="1:9">
      <c r="A41" s="83" t="s">
        <v>21</v>
      </c>
      <c r="B41" s="84"/>
      <c r="C41" s="84"/>
      <c r="D41" s="84"/>
      <c r="E41" s="84"/>
      <c r="F41" s="84"/>
      <c r="G41" s="84"/>
      <c r="H41" s="84"/>
      <c r="I41" s="85"/>
    </row>
    <row r="42" spans="1:9" ht="15" thickBot="1">
      <c r="A42" s="86"/>
      <c r="B42" s="87"/>
      <c r="C42" s="87"/>
      <c r="D42" s="87"/>
      <c r="E42" s="87"/>
      <c r="F42" s="87"/>
      <c r="G42" s="87"/>
      <c r="H42" s="87"/>
      <c r="I42" s="88"/>
    </row>
  </sheetData>
  <mergeCells count="68">
    <mergeCell ref="A9:I9"/>
    <mergeCell ref="A10:I10"/>
    <mergeCell ref="A11:F11"/>
    <mergeCell ref="B29:E29"/>
    <mergeCell ref="H29:I29"/>
    <mergeCell ref="B30:E30"/>
    <mergeCell ref="H30:I30"/>
    <mergeCell ref="B26:E26"/>
    <mergeCell ref="H26:I26"/>
    <mergeCell ref="B27:E27"/>
    <mergeCell ref="H27:I27"/>
    <mergeCell ref="B28:E28"/>
    <mergeCell ref="H28:I28"/>
    <mergeCell ref="B24:E24"/>
    <mergeCell ref="H24:I24"/>
    <mergeCell ref="B20:E20"/>
    <mergeCell ref="H20:I20"/>
    <mergeCell ref="B25:E25"/>
    <mergeCell ref="H25:I25"/>
    <mergeCell ref="A35:G35"/>
    <mergeCell ref="A41:I42"/>
    <mergeCell ref="E39:G40"/>
    <mergeCell ref="H39:I40"/>
    <mergeCell ref="A40:C40"/>
    <mergeCell ref="H35:I35"/>
    <mergeCell ref="A36:I36"/>
    <mergeCell ref="E37:G37"/>
    <mergeCell ref="H37:I37"/>
    <mergeCell ref="E38:G38"/>
    <mergeCell ref="H38:I38"/>
    <mergeCell ref="B32:E32"/>
    <mergeCell ref="H32:I32"/>
    <mergeCell ref="B33:E33"/>
    <mergeCell ref="H33:I33"/>
    <mergeCell ref="H34:I34"/>
    <mergeCell ref="B34:E34"/>
    <mergeCell ref="B16:E16"/>
    <mergeCell ref="H16:I16"/>
    <mergeCell ref="B17:E17"/>
    <mergeCell ref="H17:I17"/>
    <mergeCell ref="B31:E31"/>
    <mergeCell ref="H31:I31"/>
    <mergeCell ref="B18:E18"/>
    <mergeCell ref="H18:I18"/>
    <mergeCell ref="B19:E19"/>
    <mergeCell ref="H19:I19"/>
    <mergeCell ref="B21:E21"/>
    <mergeCell ref="H21:I21"/>
    <mergeCell ref="B22:E22"/>
    <mergeCell ref="H22:I22"/>
    <mergeCell ref="B23:E23"/>
    <mergeCell ref="H23:I23"/>
    <mergeCell ref="B15:E15"/>
    <mergeCell ref="H15:I15"/>
    <mergeCell ref="A7:I7"/>
    <mergeCell ref="G11:I11"/>
    <mergeCell ref="A12:I12"/>
    <mergeCell ref="B13:E13"/>
    <mergeCell ref="H13:I13"/>
    <mergeCell ref="B14:E14"/>
    <mergeCell ref="H14:I14"/>
    <mergeCell ref="D8:E8"/>
    <mergeCell ref="A6:I6"/>
    <mergeCell ref="A1:I1"/>
    <mergeCell ref="A2:I2"/>
    <mergeCell ref="A3:F3"/>
    <mergeCell ref="A4:F4"/>
    <mergeCell ref="A5:I5"/>
  </mergeCells>
  <pageMargins left="0.7" right="0.7" top="0.75" bottom="0.75" header="0.3" footer="0.3"/>
  <pageSetup paperSize="9" fitToHeight="0" orientation="portrait" horizontalDpi="300" verticalDpi="3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6BF8F-60A9-41B3-9520-3BB7A17AD614}">
  <sheetPr>
    <pageSetUpPr fitToPage="1"/>
  </sheetPr>
  <dimension ref="A1:I42"/>
  <sheetViews>
    <sheetView showGridLines="0" zoomScaleNormal="100" workbookViewId="0">
      <selection activeCell="G14" sqref="G14:G15"/>
    </sheetView>
  </sheetViews>
  <sheetFormatPr defaultRowHeight="14.45"/>
  <cols>
    <col min="4" max="4" width="15.28515625" customWidth="1"/>
    <col min="5" max="5" width="6.7109375" customWidth="1"/>
    <col min="7" max="7" width="13.5703125" bestFit="1" customWidth="1"/>
    <col min="8" max="8" width="16.42578125" customWidth="1"/>
    <col min="9" max="9" width="2.85546875" customWidth="1"/>
  </cols>
  <sheetData>
    <row r="1" spans="1:9" ht="21">
      <c r="A1" s="44" t="s">
        <v>0</v>
      </c>
      <c r="B1" s="45"/>
      <c r="C1" s="45"/>
      <c r="D1" s="45"/>
      <c r="E1" s="45"/>
      <c r="F1" s="45"/>
      <c r="G1" s="45"/>
      <c r="H1" s="45"/>
      <c r="I1" s="46"/>
    </row>
    <row r="2" spans="1:9">
      <c r="A2" s="47" t="s">
        <v>1</v>
      </c>
      <c r="B2" s="48"/>
      <c r="C2" s="48"/>
      <c r="D2" s="48"/>
      <c r="E2" s="48"/>
      <c r="F2" s="48"/>
      <c r="G2" s="48"/>
      <c r="H2" s="48"/>
      <c r="I2" s="49"/>
    </row>
    <row r="3" spans="1:9" ht="18.600000000000001" customHeight="1">
      <c r="A3" s="50" t="s">
        <v>2</v>
      </c>
      <c r="B3" s="51"/>
      <c r="C3" s="51"/>
      <c r="D3" s="51"/>
      <c r="E3" s="51"/>
      <c r="F3" s="51"/>
      <c r="G3" s="42" t="s">
        <v>3</v>
      </c>
      <c r="H3" s="33" t="s">
        <v>25</v>
      </c>
      <c r="I3" s="15"/>
    </row>
    <row r="4" spans="1:9" ht="15.6" customHeight="1">
      <c r="A4" s="50" t="s">
        <v>5</v>
      </c>
      <c r="B4" s="51"/>
      <c r="C4" s="51"/>
      <c r="D4" s="51"/>
      <c r="E4" s="51"/>
      <c r="F4" s="51"/>
      <c r="G4" s="43" t="s">
        <v>6</v>
      </c>
      <c r="H4" s="34">
        <v>44763</v>
      </c>
      <c r="I4" s="16"/>
    </row>
    <row r="5" spans="1:9">
      <c r="A5" s="52"/>
      <c r="B5" s="53"/>
      <c r="C5" s="53"/>
      <c r="D5" s="53"/>
      <c r="E5" s="53"/>
      <c r="F5" s="53"/>
      <c r="G5" s="53"/>
      <c r="H5" s="53"/>
      <c r="I5" s="54"/>
    </row>
    <row r="6" spans="1:9" ht="30">
      <c r="A6" s="55" t="s">
        <v>7</v>
      </c>
      <c r="B6" s="56"/>
      <c r="C6" s="56"/>
      <c r="D6" s="56"/>
      <c r="E6" s="56"/>
      <c r="F6" s="56"/>
      <c r="G6" s="56"/>
      <c r="H6" s="56"/>
      <c r="I6" s="57"/>
    </row>
    <row r="7" spans="1:9" ht="15">
      <c r="A7" s="58"/>
      <c r="B7" s="59"/>
      <c r="C7" s="59"/>
      <c r="D7" s="59"/>
      <c r="E7" s="59"/>
      <c r="F7" s="59"/>
      <c r="G7" s="59"/>
      <c r="H7" s="59"/>
      <c r="I7" s="60"/>
    </row>
    <row r="8" spans="1:9" ht="14.45" customHeight="1">
      <c r="A8" s="35" t="s">
        <v>8</v>
      </c>
      <c r="B8" s="31"/>
      <c r="C8" s="31"/>
      <c r="D8" s="112"/>
      <c r="E8" s="112"/>
      <c r="F8" s="31"/>
      <c r="G8" s="31"/>
      <c r="H8" s="31"/>
      <c r="I8" s="14"/>
    </row>
    <row r="9" spans="1:9" ht="15">
      <c r="A9" s="117" t="s">
        <v>9</v>
      </c>
      <c r="B9" s="118"/>
      <c r="C9" s="118"/>
      <c r="D9" s="118"/>
      <c r="E9" s="118"/>
      <c r="F9" s="118"/>
      <c r="G9" s="118"/>
      <c r="H9" s="118"/>
      <c r="I9" s="67"/>
    </row>
    <row r="10" spans="1:9" ht="15">
      <c r="A10" s="117" t="s">
        <v>10</v>
      </c>
      <c r="B10" s="118"/>
      <c r="C10" s="118"/>
      <c r="D10" s="118"/>
      <c r="E10" s="118"/>
      <c r="F10" s="118"/>
      <c r="G10" s="118"/>
      <c r="H10" s="118"/>
      <c r="I10" s="67"/>
    </row>
    <row r="11" spans="1:9" ht="15">
      <c r="A11" s="115"/>
      <c r="B11" s="116"/>
      <c r="C11" s="116"/>
      <c r="D11" s="116"/>
      <c r="E11" s="116"/>
      <c r="F11" s="116"/>
      <c r="G11" s="66"/>
      <c r="H11" s="66"/>
      <c r="I11" s="67"/>
    </row>
    <row r="12" spans="1:9" ht="15">
      <c r="A12" s="119"/>
      <c r="B12" s="120"/>
      <c r="C12" s="120"/>
      <c r="D12" s="120"/>
      <c r="E12" s="120"/>
      <c r="F12" s="120"/>
      <c r="G12" s="120"/>
      <c r="H12" s="120"/>
      <c r="I12" s="121"/>
    </row>
    <row r="13" spans="1:9" ht="27.6">
      <c r="A13" s="7" t="s">
        <v>11</v>
      </c>
      <c r="B13" s="68" t="s">
        <v>12</v>
      </c>
      <c r="C13" s="69"/>
      <c r="D13" s="69"/>
      <c r="E13" s="70"/>
      <c r="F13" s="9" t="s">
        <v>13</v>
      </c>
      <c r="G13" s="8" t="s">
        <v>14</v>
      </c>
      <c r="H13" s="71" t="s">
        <v>15</v>
      </c>
      <c r="I13" s="72"/>
    </row>
    <row r="14" spans="1:9">
      <c r="A14" s="3">
        <v>1</v>
      </c>
      <c r="B14" s="73" t="s">
        <v>26</v>
      </c>
      <c r="C14" s="74"/>
      <c r="D14" s="74"/>
      <c r="E14" s="75"/>
      <c r="F14" s="1">
        <v>500</v>
      </c>
      <c r="G14" s="18">
        <v>1699</v>
      </c>
      <c r="H14" s="76">
        <f>F14*G14</f>
        <v>849500</v>
      </c>
      <c r="I14" s="77"/>
    </row>
    <row r="15" spans="1:9">
      <c r="A15" s="5">
        <v>2</v>
      </c>
      <c r="B15" s="61" t="s">
        <v>27</v>
      </c>
      <c r="C15" s="62"/>
      <c r="D15" s="62"/>
      <c r="E15" s="63"/>
      <c r="F15" s="6">
        <v>500</v>
      </c>
      <c r="G15" s="17">
        <v>81</v>
      </c>
      <c r="H15" s="64">
        <f>F15*G15</f>
        <v>40500</v>
      </c>
      <c r="I15" s="65"/>
    </row>
    <row r="16" spans="1:9">
      <c r="A16" s="3"/>
      <c r="B16" s="73"/>
      <c r="C16" s="74"/>
      <c r="D16" s="74"/>
      <c r="E16" s="75"/>
      <c r="F16" s="1"/>
      <c r="G16" s="11"/>
      <c r="H16" s="78"/>
      <c r="I16" s="79"/>
    </row>
    <row r="17" spans="1:9">
      <c r="A17" s="5"/>
      <c r="B17" s="61"/>
      <c r="C17" s="62"/>
      <c r="D17" s="62"/>
      <c r="E17" s="63"/>
      <c r="F17" s="6"/>
      <c r="G17" s="12"/>
      <c r="H17" s="64"/>
      <c r="I17" s="65"/>
    </row>
    <row r="18" spans="1:9">
      <c r="A18" s="3"/>
      <c r="B18" s="73"/>
      <c r="C18" s="74"/>
      <c r="D18" s="74"/>
      <c r="E18" s="75"/>
      <c r="F18" s="1"/>
      <c r="G18" s="11"/>
      <c r="H18" s="78"/>
      <c r="I18" s="79"/>
    </row>
    <row r="19" spans="1:9">
      <c r="A19" s="5"/>
      <c r="B19" s="61"/>
      <c r="C19" s="62"/>
      <c r="D19" s="62"/>
      <c r="E19" s="63"/>
      <c r="F19" s="6"/>
      <c r="G19" s="12"/>
      <c r="H19" s="64"/>
      <c r="I19" s="65"/>
    </row>
    <row r="20" spans="1:9">
      <c r="A20" s="3"/>
      <c r="B20" s="73"/>
      <c r="C20" s="74"/>
      <c r="D20" s="74"/>
      <c r="E20" s="75"/>
      <c r="F20" s="1"/>
      <c r="G20" s="11"/>
      <c r="H20" s="78"/>
      <c r="I20" s="79"/>
    </row>
    <row r="21" spans="1:9">
      <c r="A21" s="5"/>
      <c r="B21" s="61"/>
      <c r="C21" s="62"/>
      <c r="D21" s="62"/>
      <c r="E21" s="63"/>
      <c r="F21" s="6"/>
      <c r="G21" s="12"/>
      <c r="H21" s="64"/>
      <c r="I21" s="65"/>
    </row>
    <row r="22" spans="1:9">
      <c r="A22" s="3"/>
      <c r="B22" s="73"/>
      <c r="C22" s="74"/>
      <c r="D22" s="74"/>
      <c r="E22" s="75"/>
      <c r="F22" s="1"/>
      <c r="G22" s="11"/>
      <c r="H22" s="78"/>
      <c r="I22" s="79"/>
    </row>
    <row r="23" spans="1:9">
      <c r="A23" s="5"/>
      <c r="B23" s="61"/>
      <c r="C23" s="62"/>
      <c r="D23" s="62"/>
      <c r="E23" s="63"/>
      <c r="F23" s="6"/>
      <c r="G23" s="12"/>
      <c r="H23" s="64"/>
      <c r="I23" s="65"/>
    </row>
    <row r="24" spans="1:9">
      <c r="A24" s="3"/>
      <c r="B24" s="73"/>
      <c r="C24" s="74"/>
      <c r="D24" s="74"/>
      <c r="E24" s="75"/>
      <c r="F24" s="1"/>
      <c r="G24" s="11"/>
      <c r="H24" s="78"/>
      <c r="I24" s="79"/>
    </row>
    <row r="25" spans="1:9">
      <c r="A25" s="5"/>
      <c r="B25" s="61"/>
      <c r="C25" s="62"/>
      <c r="D25" s="62"/>
      <c r="E25" s="63"/>
      <c r="F25" s="6"/>
      <c r="G25" s="12"/>
      <c r="H25" s="64"/>
      <c r="I25" s="65"/>
    </row>
    <row r="26" spans="1:9">
      <c r="A26" s="3"/>
      <c r="B26" s="73"/>
      <c r="C26" s="74"/>
      <c r="D26" s="74"/>
      <c r="E26" s="75"/>
      <c r="F26" s="1"/>
      <c r="G26" s="11"/>
      <c r="H26" s="78"/>
      <c r="I26" s="79"/>
    </row>
    <row r="27" spans="1:9">
      <c r="A27" s="5"/>
      <c r="B27" s="61"/>
      <c r="C27" s="62"/>
      <c r="D27" s="62"/>
      <c r="E27" s="63"/>
      <c r="F27" s="6"/>
      <c r="G27" s="12"/>
      <c r="H27" s="64"/>
      <c r="I27" s="65"/>
    </row>
    <row r="28" spans="1:9">
      <c r="A28" s="3"/>
      <c r="B28" s="73"/>
      <c r="C28" s="74"/>
      <c r="D28" s="74"/>
      <c r="E28" s="75"/>
      <c r="F28" s="1"/>
      <c r="G28" s="11"/>
      <c r="H28" s="78"/>
      <c r="I28" s="79"/>
    </row>
    <row r="29" spans="1:9">
      <c r="A29" s="5"/>
      <c r="B29" s="61"/>
      <c r="C29" s="62"/>
      <c r="D29" s="62"/>
      <c r="E29" s="63"/>
      <c r="F29" s="6"/>
      <c r="G29" s="12"/>
      <c r="H29" s="64"/>
      <c r="I29" s="65"/>
    </row>
    <row r="30" spans="1:9">
      <c r="A30" s="3"/>
      <c r="B30" s="73"/>
      <c r="C30" s="74"/>
      <c r="D30" s="74"/>
      <c r="E30" s="75"/>
      <c r="F30" s="1"/>
      <c r="G30" s="11"/>
      <c r="H30" s="78"/>
      <c r="I30" s="79"/>
    </row>
    <row r="31" spans="1:9">
      <c r="A31" s="5"/>
      <c r="B31" s="61"/>
      <c r="C31" s="62"/>
      <c r="D31" s="62"/>
      <c r="E31" s="63"/>
      <c r="F31" s="6"/>
      <c r="G31" s="12"/>
      <c r="H31" s="64"/>
      <c r="I31" s="65"/>
    </row>
    <row r="32" spans="1:9">
      <c r="A32" s="3"/>
      <c r="B32" s="73"/>
      <c r="C32" s="74"/>
      <c r="D32" s="74"/>
      <c r="E32" s="75"/>
      <c r="F32" s="1"/>
      <c r="G32" s="11"/>
      <c r="H32" s="78"/>
      <c r="I32" s="79"/>
    </row>
    <row r="33" spans="1:9">
      <c r="A33" s="5"/>
      <c r="B33" s="61"/>
      <c r="C33" s="62"/>
      <c r="D33" s="62"/>
      <c r="E33" s="63"/>
      <c r="F33" s="6"/>
      <c r="G33" s="12"/>
      <c r="H33" s="64"/>
      <c r="I33" s="65"/>
    </row>
    <row r="34" spans="1:9" ht="21.6" thickBot="1">
      <c r="A34" s="80" t="s">
        <v>18</v>
      </c>
      <c r="B34" s="81"/>
      <c r="C34" s="81"/>
      <c r="D34" s="81"/>
      <c r="E34" s="81"/>
      <c r="F34" s="81"/>
      <c r="G34" s="82"/>
      <c r="H34" s="108">
        <f>H14+H15</f>
        <v>890000</v>
      </c>
      <c r="I34" s="109"/>
    </row>
    <row r="35" spans="1:9">
      <c r="A35" s="99"/>
      <c r="B35" s="100"/>
      <c r="C35" s="100"/>
      <c r="D35" s="100"/>
      <c r="E35" s="100"/>
      <c r="F35" s="100"/>
      <c r="G35" s="100"/>
      <c r="H35" s="100"/>
      <c r="I35" s="101"/>
    </row>
    <row r="36" spans="1:9" ht="21">
      <c r="A36" s="13"/>
      <c r="B36" s="36"/>
      <c r="C36" s="36"/>
      <c r="D36" s="37"/>
      <c r="E36" s="102" t="s">
        <v>19</v>
      </c>
      <c r="F36" s="102"/>
      <c r="G36" s="102"/>
      <c r="H36" s="103">
        <f>H34</f>
        <v>890000</v>
      </c>
      <c r="I36" s="104"/>
    </row>
    <row r="37" spans="1:9" ht="17.45">
      <c r="A37" s="13"/>
      <c r="B37" s="36"/>
      <c r="C37" s="36"/>
      <c r="D37" s="37"/>
      <c r="E37" s="105" t="s">
        <v>20</v>
      </c>
      <c r="F37" s="105"/>
      <c r="G37" s="105"/>
      <c r="H37" s="106">
        <v>113475</v>
      </c>
      <c r="I37" s="107"/>
    </row>
    <row r="38" spans="1:9">
      <c r="A38" s="13"/>
      <c r="B38" s="36"/>
      <c r="C38" s="36"/>
      <c r="D38" s="37"/>
      <c r="E38" s="89" t="s">
        <v>18</v>
      </c>
      <c r="F38" s="89"/>
      <c r="G38" s="89"/>
      <c r="H38" s="91">
        <f>H36+H37</f>
        <v>1003475</v>
      </c>
      <c r="I38" s="92"/>
    </row>
    <row r="39" spans="1:9" ht="15" thickBot="1">
      <c r="A39" s="95"/>
      <c r="B39" s="96"/>
      <c r="C39" s="96"/>
      <c r="D39" s="10"/>
      <c r="E39" s="90"/>
      <c r="F39" s="90"/>
      <c r="G39" s="90"/>
      <c r="H39" s="93"/>
      <c r="I39" s="94"/>
    </row>
    <row r="40" spans="1:9">
      <c r="A40" s="83" t="s">
        <v>21</v>
      </c>
      <c r="B40" s="84"/>
      <c r="C40" s="84"/>
      <c r="D40" s="84"/>
      <c r="E40" s="84"/>
      <c r="F40" s="84"/>
      <c r="G40" s="84"/>
      <c r="H40" s="84"/>
      <c r="I40" s="85"/>
    </row>
    <row r="41" spans="1:9" ht="15" thickBot="1">
      <c r="A41" s="86"/>
      <c r="B41" s="87"/>
      <c r="C41" s="87"/>
      <c r="D41" s="87"/>
      <c r="E41" s="87"/>
      <c r="F41" s="87"/>
      <c r="G41" s="87"/>
      <c r="H41" s="87"/>
      <c r="I41" s="88"/>
    </row>
    <row r="42" spans="1:9" ht="15" thickBot="1">
      <c r="A42" s="38"/>
      <c r="B42" s="39"/>
      <c r="C42" s="39"/>
      <c r="D42" s="39"/>
      <c r="E42" s="39"/>
      <c r="F42" s="39"/>
      <c r="G42" s="39"/>
      <c r="H42" s="39"/>
      <c r="I42" s="40"/>
    </row>
  </sheetData>
  <mergeCells count="66">
    <mergeCell ref="A9:I9"/>
    <mergeCell ref="A10:I10"/>
    <mergeCell ref="A11:F11"/>
    <mergeCell ref="B31:E31"/>
    <mergeCell ref="H31:I31"/>
    <mergeCell ref="B32:E32"/>
    <mergeCell ref="H32:I32"/>
    <mergeCell ref="B33:E33"/>
    <mergeCell ref="H33:I33"/>
    <mergeCell ref="B28:E28"/>
    <mergeCell ref="H28:I28"/>
    <mergeCell ref="B29:E29"/>
    <mergeCell ref="H29:I29"/>
    <mergeCell ref="B30:E30"/>
    <mergeCell ref="H30:I30"/>
    <mergeCell ref="B25:E25"/>
    <mergeCell ref="H25:I25"/>
    <mergeCell ref="B26:E26"/>
    <mergeCell ref="H26:I26"/>
    <mergeCell ref="B27:E27"/>
    <mergeCell ref="H27:I27"/>
    <mergeCell ref="B22:E22"/>
    <mergeCell ref="H22:I22"/>
    <mergeCell ref="B23:E23"/>
    <mergeCell ref="H23:I23"/>
    <mergeCell ref="B24:E24"/>
    <mergeCell ref="H24:I24"/>
    <mergeCell ref="B19:E19"/>
    <mergeCell ref="H19:I19"/>
    <mergeCell ref="B20:E20"/>
    <mergeCell ref="H20:I20"/>
    <mergeCell ref="B21:E21"/>
    <mergeCell ref="H21:I21"/>
    <mergeCell ref="B16:E16"/>
    <mergeCell ref="H16:I16"/>
    <mergeCell ref="B17:E17"/>
    <mergeCell ref="H17:I17"/>
    <mergeCell ref="B18:E18"/>
    <mergeCell ref="H18:I18"/>
    <mergeCell ref="A34:G34"/>
    <mergeCell ref="A40:I41"/>
    <mergeCell ref="E38:G39"/>
    <mergeCell ref="H38:I39"/>
    <mergeCell ref="A39:C39"/>
    <mergeCell ref="H34:I34"/>
    <mergeCell ref="A35:I35"/>
    <mergeCell ref="E36:G36"/>
    <mergeCell ref="H36:I36"/>
    <mergeCell ref="E37:G37"/>
    <mergeCell ref="H37:I37"/>
    <mergeCell ref="B15:E15"/>
    <mergeCell ref="H15:I15"/>
    <mergeCell ref="A7:I7"/>
    <mergeCell ref="G11:I11"/>
    <mergeCell ref="A12:I12"/>
    <mergeCell ref="B13:E13"/>
    <mergeCell ref="H13:I13"/>
    <mergeCell ref="B14:E14"/>
    <mergeCell ref="H14:I14"/>
    <mergeCell ref="D8:E8"/>
    <mergeCell ref="A6:I6"/>
    <mergeCell ref="A1:I1"/>
    <mergeCell ref="A2:I2"/>
    <mergeCell ref="A3:F3"/>
    <mergeCell ref="A4:F4"/>
    <mergeCell ref="A5:I5"/>
  </mergeCells>
  <pageMargins left="0.7" right="0.7" top="0.75" bottom="0.75" header="0.3" footer="0.3"/>
  <pageSetup paperSize="9" fitToHeight="0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26820-2285-432E-B749-B2B36148ED95}">
  <sheetPr>
    <pageSetUpPr fitToPage="1"/>
  </sheetPr>
  <dimension ref="A1:I42"/>
  <sheetViews>
    <sheetView showGridLines="0" zoomScaleNormal="100" workbookViewId="0">
      <selection activeCell="G14" sqref="G14:G16"/>
    </sheetView>
  </sheetViews>
  <sheetFormatPr defaultRowHeight="14.45"/>
  <cols>
    <col min="4" max="4" width="15.28515625" customWidth="1"/>
    <col min="5" max="5" width="6.7109375" customWidth="1"/>
    <col min="7" max="7" width="13.5703125" bestFit="1" customWidth="1"/>
    <col min="8" max="8" width="16.42578125" customWidth="1"/>
    <col min="9" max="9" width="2.85546875" customWidth="1"/>
  </cols>
  <sheetData>
    <row r="1" spans="1:9" ht="21">
      <c r="A1" s="44" t="s">
        <v>0</v>
      </c>
      <c r="B1" s="45"/>
      <c r="C1" s="45"/>
      <c r="D1" s="45"/>
      <c r="E1" s="45"/>
      <c r="F1" s="45"/>
      <c r="G1" s="45"/>
      <c r="H1" s="45"/>
      <c r="I1" s="46"/>
    </row>
    <row r="2" spans="1:9">
      <c r="A2" s="47" t="s">
        <v>1</v>
      </c>
      <c r="B2" s="48"/>
      <c r="C2" s="48"/>
      <c r="D2" s="48"/>
      <c r="E2" s="48"/>
      <c r="F2" s="48"/>
      <c r="G2" s="48"/>
      <c r="H2" s="48"/>
      <c r="I2" s="49"/>
    </row>
    <row r="3" spans="1:9" ht="18.600000000000001" customHeight="1">
      <c r="A3" s="50" t="s">
        <v>2</v>
      </c>
      <c r="B3" s="51"/>
      <c r="C3" s="51"/>
      <c r="D3" s="51"/>
      <c r="E3" s="51"/>
      <c r="F3" s="51"/>
      <c r="G3" s="42" t="s">
        <v>3</v>
      </c>
      <c r="H3" s="33" t="s">
        <v>28</v>
      </c>
      <c r="I3" s="15"/>
    </row>
    <row r="4" spans="1:9" ht="15.6" customHeight="1">
      <c r="A4" s="50" t="s">
        <v>5</v>
      </c>
      <c r="B4" s="51"/>
      <c r="C4" s="51"/>
      <c r="D4" s="51"/>
      <c r="E4" s="51"/>
      <c r="F4" s="51"/>
      <c r="G4" s="43" t="s">
        <v>6</v>
      </c>
      <c r="H4" s="34">
        <v>44833</v>
      </c>
      <c r="I4" s="16"/>
    </row>
    <row r="5" spans="1:9">
      <c r="A5" s="52"/>
      <c r="B5" s="53"/>
      <c r="C5" s="53"/>
      <c r="D5" s="53"/>
      <c r="E5" s="53"/>
      <c r="F5" s="53"/>
      <c r="G5" s="53"/>
      <c r="H5" s="53"/>
      <c r="I5" s="54"/>
    </row>
    <row r="6" spans="1:9" ht="30">
      <c r="A6" s="55" t="s">
        <v>7</v>
      </c>
      <c r="B6" s="56"/>
      <c r="C6" s="56"/>
      <c r="D6" s="56"/>
      <c r="E6" s="56"/>
      <c r="F6" s="56"/>
      <c r="G6" s="56"/>
      <c r="H6" s="56"/>
      <c r="I6" s="57"/>
    </row>
    <row r="7" spans="1:9" ht="15">
      <c r="A7" s="58"/>
      <c r="B7" s="59"/>
      <c r="C7" s="59"/>
      <c r="D7" s="59"/>
      <c r="E7" s="59"/>
      <c r="F7" s="59"/>
      <c r="G7" s="59"/>
      <c r="H7" s="59"/>
      <c r="I7" s="60"/>
    </row>
    <row r="8" spans="1:9" ht="14.45" customHeight="1">
      <c r="A8" s="35" t="s">
        <v>8</v>
      </c>
      <c r="B8" s="31"/>
      <c r="C8" s="31"/>
      <c r="D8" s="112"/>
      <c r="E8" s="112"/>
      <c r="F8" s="31"/>
      <c r="G8" s="31"/>
      <c r="H8" s="31"/>
      <c r="I8" s="14"/>
    </row>
    <row r="9" spans="1:9" ht="15">
      <c r="A9" s="117" t="s">
        <v>9</v>
      </c>
      <c r="B9" s="118"/>
      <c r="C9" s="118"/>
      <c r="D9" s="118"/>
      <c r="E9" s="118"/>
      <c r="F9" s="118"/>
      <c r="G9" s="118"/>
      <c r="H9" s="118"/>
      <c r="I9" s="67"/>
    </row>
    <row r="10" spans="1:9" ht="15">
      <c r="A10" s="117" t="s">
        <v>10</v>
      </c>
      <c r="B10" s="118"/>
      <c r="C10" s="118"/>
      <c r="D10" s="118"/>
      <c r="E10" s="118"/>
      <c r="F10" s="118"/>
      <c r="G10" s="118"/>
      <c r="H10" s="118"/>
      <c r="I10" s="67"/>
    </row>
    <row r="11" spans="1:9" ht="15">
      <c r="A11" s="115"/>
      <c r="B11" s="116"/>
      <c r="C11" s="116"/>
      <c r="D11" s="116"/>
      <c r="E11" s="116"/>
      <c r="F11" s="116"/>
      <c r="G11" s="66"/>
      <c r="H11" s="66"/>
      <c r="I11" s="67"/>
    </row>
    <row r="12" spans="1:9" ht="15">
      <c r="A12" s="119"/>
      <c r="B12" s="120"/>
      <c r="C12" s="120"/>
      <c r="D12" s="120"/>
      <c r="E12" s="120"/>
      <c r="F12" s="120"/>
      <c r="G12" s="120"/>
      <c r="H12" s="120"/>
      <c r="I12" s="121"/>
    </row>
    <row r="13" spans="1:9" ht="27.6">
      <c r="A13" s="7" t="s">
        <v>11</v>
      </c>
      <c r="B13" s="68" t="s">
        <v>12</v>
      </c>
      <c r="C13" s="69"/>
      <c r="D13" s="69"/>
      <c r="E13" s="70"/>
      <c r="F13" s="9" t="s">
        <v>13</v>
      </c>
      <c r="G13" s="8" t="s">
        <v>14</v>
      </c>
      <c r="H13" s="71" t="s">
        <v>15</v>
      </c>
      <c r="I13" s="72"/>
    </row>
    <row r="14" spans="1:9">
      <c r="A14" s="3">
        <v>1</v>
      </c>
      <c r="B14" s="73" t="s">
        <v>29</v>
      </c>
      <c r="C14" s="74"/>
      <c r="D14" s="74"/>
      <c r="E14" s="75"/>
      <c r="F14" s="1">
        <v>1500</v>
      </c>
      <c r="G14" s="18">
        <v>1867</v>
      </c>
      <c r="H14" s="76">
        <f>F14*G14</f>
        <v>2800500</v>
      </c>
      <c r="I14" s="77"/>
    </row>
    <row r="15" spans="1:9">
      <c r="A15" s="5">
        <v>2</v>
      </c>
      <c r="B15" s="61" t="s">
        <v>30</v>
      </c>
      <c r="C15" s="62"/>
      <c r="D15" s="62"/>
      <c r="E15" s="63"/>
      <c r="F15" s="6">
        <v>1500</v>
      </c>
      <c r="G15" s="17">
        <v>64</v>
      </c>
      <c r="H15" s="64">
        <f>+F15*G15</f>
        <v>96000</v>
      </c>
      <c r="I15" s="65"/>
    </row>
    <row r="16" spans="1:9">
      <c r="A16" s="3">
        <v>3</v>
      </c>
      <c r="B16" s="73" t="s">
        <v>31</v>
      </c>
      <c r="C16" s="74"/>
      <c r="D16" s="74"/>
      <c r="E16" s="75"/>
      <c r="F16" s="1">
        <v>1500</v>
      </c>
      <c r="G16" s="18">
        <v>83</v>
      </c>
      <c r="H16" s="78">
        <f>+F16*G16</f>
        <v>124500</v>
      </c>
      <c r="I16" s="79"/>
    </row>
    <row r="17" spans="1:9">
      <c r="A17" s="5"/>
      <c r="B17" s="61"/>
      <c r="C17" s="62"/>
      <c r="D17" s="62"/>
      <c r="E17" s="63"/>
      <c r="F17" s="6"/>
      <c r="G17" s="12"/>
      <c r="H17" s="64"/>
      <c r="I17" s="65"/>
    </row>
    <row r="18" spans="1:9">
      <c r="A18" s="3"/>
      <c r="B18" s="73"/>
      <c r="C18" s="74"/>
      <c r="D18" s="74"/>
      <c r="E18" s="75"/>
      <c r="F18" s="1"/>
      <c r="G18" s="11"/>
      <c r="H18" s="78"/>
      <c r="I18" s="79"/>
    </row>
    <row r="19" spans="1:9">
      <c r="A19" s="5"/>
      <c r="B19" s="61"/>
      <c r="C19" s="62"/>
      <c r="D19" s="62"/>
      <c r="E19" s="63"/>
      <c r="F19" s="6"/>
      <c r="G19" s="12"/>
      <c r="H19" s="64"/>
      <c r="I19" s="65"/>
    </row>
    <row r="20" spans="1:9">
      <c r="A20" s="3"/>
      <c r="B20" s="73"/>
      <c r="C20" s="74"/>
      <c r="D20" s="74"/>
      <c r="E20" s="75"/>
      <c r="F20" s="1"/>
      <c r="G20" s="11"/>
      <c r="H20" s="78"/>
      <c r="I20" s="79"/>
    </row>
    <row r="21" spans="1:9">
      <c r="A21" s="5"/>
      <c r="B21" s="61"/>
      <c r="C21" s="62"/>
      <c r="D21" s="62"/>
      <c r="E21" s="63"/>
      <c r="F21" s="6"/>
      <c r="G21" s="12"/>
      <c r="H21" s="64"/>
      <c r="I21" s="65"/>
    </row>
    <row r="22" spans="1:9">
      <c r="A22" s="3"/>
      <c r="B22" s="73"/>
      <c r="C22" s="74"/>
      <c r="D22" s="74"/>
      <c r="E22" s="75"/>
      <c r="F22" s="1"/>
      <c r="G22" s="11"/>
      <c r="H22" s="78"/>
      <c r="I22" s="79"/>
    </row>
    <row r="23" spans="1:9">
      <c r="A23" s="5"/>
      <c r="B23" s="61"/>
      <c r="C23" s="62"/>
      <c r="D23" s="62"/>
      <c r="E23" s="63"/>
      <c r="F23" s="6"/>
      <c r="G23" s="12"/>
      <c r="H23" s="64"/>
      <c r="I23" s="65"/>
    </row>
    <row r="24" spans="1:9">
      <c r="A24" s="3"/>
      <c r="B24" s="73"/>
      <c r="C24" s="74"/>
      <c r="D24" s="74"/>
      <c r="E24" s="75"/>
      <c r="F24" s="1"/>
      <c r="G24" s="11"/>
      <c r="H24" s="78"/>
      <c r="I24" s="79"/>
    </row>
    <row r="25" spans="1:9">
      <c r="A25" s="5"/>
      <c r="B25" s="61"/>
      <c r="C25" s="62"/>
      <c r="D25" s="62"/>
      <c r="E25" s="63"/>
      <c r="F25" s="6"/>
      <c r="G25" s="12"/>
      <c r="H25" s="64"/>
      <c r="I25" s="65"/>
    </row>
    <row r="26" spans="1:9">
      <c r="A26" s="3"/>
      <c r="B26" s="73"/>
      <c r="C26" s="74"/>
      <c r="D26" s="74"/>
      <c r="E26" s="75"/>
      <c r="F26" s="1"/>
      <c r="G26" s="11"/>
      <c r="H26" s="78"/>
      <c r="I26" s="79"/>
    </row>
    <row r="27" spans="1:9">
      <c r="A27" s="5"/>
      <c r="B27" s="61"/>
      <c r="C27" s="62"/>
      <c r="D27" s="62"/>
      <c r="E27" s="63"/>
      <c r="F27" s="6"/>
      <c r="G27" s="12"/>
      <c r="H27" s="64"/>
      <c r="I27" s="65"/>
    </row>
    <row r="28" spans="1:9">
      <c r="A28" s="3"/>
      <c r="B28" s="73"/>
      <c r="C28" s="74"/>
      <c r="D28" s="74"/>
      <c r="E28" s="75"/>
      <c r="F28" s="1"/>
      <c r="G28" s="11"/>
      <c r="H28" s="78"/>
      <c r="I28" s="79"/>
    </row>
    <row r="29" spans="1:9">
      <c r="A29" s="5"/>
      <c r="B29" s="61"/>
      <c r="C29" s="62"/>
      <c r="D29" s="62"/>
      <c r="E29" s="63"/>
      <c r="F29" s="6"/>
      <c r="G29" s="12"/>
      <c r="H29" s="64"/>
      <c r="I29" s="65"/>
    </row>
    <row r="30" spans="1:9">
      <c r="A30" s="3"/>
      <c r="B30" s="73"/>
      <c r="C30" s="74"/>
      <c r="D30" s="74"/>
      <c r="E30" s="75"/>
      <c r="F30" s="1"/>
      <c r="G30" s="11"/>
      <c r="H30" s="78"/>
      <c r="I30" s="79"/>
    </row>
    <row r="31" spans="1:9">
      <c r="A31" s="5"/>
      <c r="B31" s="61"/>
      <c r="C31" s="62"/>
      <c r="D31" s="62"/>
      <c r="E31" s="63"/>
      <c r="F31" s="6"/>
      <c r="G31" s="12"/>
      <c r="H31" s="64"/>
      <c r="I31" s="65"/>
    </row>
    <row r="32" spans="1:9">
      <c r="A32" s="3"/>
      <c r="B32" s="73"/>
      <c r="C32" s="74"/>
      <c r="D32" s="74"/>
      <c r="E32" s="75"/>
      <c r="F32" s="1"/>
      <c r="G32" s="11"/>
      <c r="H32" s="78"/>
      <c r="I32" s="79"/>
    </row>
    <row r="33" spans="1:9">
      <c r="A33" s="5"/>
      <c r="B33" s="61"/>
      <c r="C33" s="62"/>
      <c r="D33" s="62"/>
      <c r="E33" s="63"/>
      <c r="F33" s="6"/>
      <c r="G33" s="12"/>
      <c r="H33" s="64"/>
      <c r="I33" s="65"/>
    </row>
    <row r="34" spans="1:9" ht="21.6" thickBot="1">
      <c r="A34" s="80" t="s">
        <v>18</v>
      </c>
      <c r="B34" s="81"/>
      <c r="C34" s="81"/>
      <c r="D34" s="81"/>
      <c r="E34" s="81"/>
      <c r="F34" s="81"/>
      <c r="G34" s="82"/>
      <c r="H34" s="97">
        <f>H14+H15+H16</f>
        <v>3021000</v>
      </c>
      <c r="I34" s="98"/>
    </row>
    <row r="35" spans="1:9">
      <c r="A35" s="99"/>
      <c r="B35" s="100"/>
      <c r="C35" s="100"/>
      <c r="D35" s="100"/>
      <c r="E35" s="100"/>
      <c r="F35" s="100"/>
      <c r="G35" s="100"/>
      <c r="H35" s="100"/>
      <c r="I35" s="101"/>
    </row>
    <row r="36" spans="1:9" ht="21">
      <c r="A36" s="13"/>
      <c r="B36" s="36"/>
      <c r="C36" s="36"/>
      <c r="D36" s="37"/>
      <c r="E36" s="102" t="s">
        <v>19</v>
      </c>
      <c r="F36" s="102"/>
      <c r="G36" s="102"/>
      <c r="H36" s="103">
        <f>H34</f>
        <v>3021000</v>
      </c>
      <c r="I36" s="104"/>
    </row>
    <row r="37" spans="1:9" ht="17.45">
      <c r="A37" s="13"/>
      <c r="B37" s="36"/>
      <c r="C37" s="36"/>
      <c r="D37" s="37"/>
      <c r="E37" s="105" t="s">
        <v>20</v>
      </c>
      <c r="F37" s="105"/>
      <c r="G37" s="105"/>
      <c r="H37" s="106">
        <v>396657</v>
      </c>
      <c r="I37" s="107"/>
    </row>
    <row r="38" spans="1:9">
      <c r="A38" s="13"/>
      <c r="B38" s="36"/>
      <c r="C38" s="36"/>
      <c r="D38" s="37"/>
      <c r="E38" s="89" t="s">
        <v>18</v>
      </c>
      <c r="F38" s="89"/>
      <c r="G38" s="89"/>
      <c r="H38" s="91">
        <f>H36+H37</f>
        <v>3417657</v>
      </c>
      <c r="I38" s="92"/>
    </row>
    <row r="39" spans="1:9" ht="15" thickBot="1">
      <c r="A39" s="95"/>
      <c r="B39" s="96"/>
      <c r="C39" s="96"/>
      <c r="D39" s="10"/>
      <c r="E39" s="90"/>
      <c r="F39" s="90"/>
      <c r="G39" s="90"/>
      <c r="H39" s="93"/>
      <c r="I39" s="94"/>
    </row>
    <row r="40" spans="1:9">
      <c r="A40" s="83" t="s">
        <v>21</v>
      </c>
      <c r="B40" s="84"/>
      <c r="C40" s="84"/>
      <c r="D40" s="84"/>
      <c r="E40" s="84"/>
      <c r="F40" s="84"/>
      <c r="G40" s="84"/>
      <c r="H40" s="84"/>
      <c r="I40" s="85"/>
    </row>
    <row r="41" spans="1:9" ht="15" thickBot="1">
      <c r="A41" s="86"/>
      <c r="B41" s="87"/>
      <c r="C41" s="87"/>
      <c r="D41" s="87"/>
      <c r="E41" s="87"/>
      <c r="F41" s="87"/>
      <c r="G41" s="87"/>
      <c r="H41" s="87"/>
      <c r="I41" s="88"/>
    </row>
    <row r="42" spans="1:9" ht="15" thickBot="1">
      <c r="A42" s="38"/>
      <c r="B42" s="39"/>
      <c r="C42" s="39"/>
      <c r="D42" s="39"/>
      <c r="E42" s="39"/>
      <c r="F42" s="39"/>
      <c r="G42" s="39"/>
      <c r="H42" s="39"/>
      <c r="I42" s="40"/>
    </row>
  </sheetData>
  <mergeCells count="66">
    <mergeCell ref="A9:I9"/>
    <mergeCell ref="A10:I10"/>
    <mergeCell ref="A11:F11"/>
    <mergeCell ref="B17:E17"/>
    <mergeCell ref="H17:I17"/>
    <mergeCell ref="B26:E26"/>
    <mergeCell ref="H26:I26"/>
    <mergeCell ref="B27:E27"/>
    <mergeCell ref="H27:I27"/>
    <mergeCell ref="B28:E28"/>
    <mergeCell ref="H28:I28"/>
    <mergeCell ref="B23:E23"/>
    <mergeCell ref="H23:I23"/>
    <mergeCell ref="B24:E24"/>
    <mergeCell ref="H24:I24"/>
    <mergeCell ref="B25:E25"/>
    <mergeCell ref="H25:I25"/>
    <mergeCell ref="A34:G34"/>
    <mergeCell ref="A40:I41"/>
    <mergeCell ref="E38:G39"/>
    <mergeCell ref="H38:I39"/>
    <mergeCell ref="A39:C39"/>
    <mergeCell ref="H34:I34"/>
    <mergeCell ref="A35:I35"/>
    <mergeCell ref="E36:G36"/>
    <mergeCell ref="H36:I36"/>
    <mergeCell ref="E37:G37"/>
    <mergeCell ref="H37:I37"/>
    <mergeCell ref="B31:E31"/>
    <mergeCell ref="H31:I31"/>
    <mergeCell ref="B32:E32"/>
    <mergeCell ref="H32:I32"/>
    <mergeCell ref="H33:I33"/>
    <mergeCell ref="B33:E33"/>
    <mergeCell ref="B16:E16"/>
    <mergeCell ref="H16:I16"/>
    <mergeCell ref="B29:E29"/>
    <mergeCell ref="H29:I29"/>
    <mergeCell ref="B30:E30"/>
    <mergeCell ref="H30:I30"/>
    <mergeCell ref="B18:E18"/>
    <mergeCell ref="H18:I18"/>
    <mergeCell ref="B19:E19"/>
    <mergeCell ref="H19:I19"/>
    <mergeCell ref="B20:E20"/>
    <mergeCell ref="H20:I20"/>
    <mergeCell ref="B21:E21"/>
    <mergeCell ref="H21:I21"/>
    <mergeCell ref="B22:E22"/>
    <mergeCell ref="H22:I22"/>
    <mergeCell ref="B15:E15"/>
    <mergeCell ref="H15:I15"/>
    <mergeCell ref="A7:I7"/>
    <mergeCell ref="G11:I11"/>
    <mergeCell ref="A12:I12"/>
    <mergeCell ref="B13:E13"/>
    <mergeCell ref="H13:I13"/>
    <mergeCell ref="B14:E14"/>
    <mergeCell ref="H14:I14"/>
    <mergeCell ref="D8:E8"/>
    <mergeCell ref="A6:I6"/>
    <mergeCell ref="A1:I1"/>
    <mergeCell ref="A2:I2"/>
    <mergeCell ref="A3:F3"/>
    <mergeCell ref="A4:F4"/>
    <mergeCell ref="A5:I5"/>
  </mergeCells>
  <pageMargins left="0.7" right="0.7" top="0.75" bottom="0.75" header="0.3" footer="0.3"/>
  <pageSetup paperSize="9" fitToHeight="0" orientation="portrait" horizontalDpi="300" verticalDpi="30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DD4A2-6165-41C4-B909-4608829B5C2A}">
  <sheetPr>
    <pageSetUpPr fitToPage="1"/>
  </sheetPr>
  <dimension ref="A1:I42"/>
  <sheetViews>
    <sheetView showGridLines="0" zoomScaleNormal="100" workbookViewId="0">
      <selection activeCell="A11" sqref="A11:F11"/>
    </sheetView>
  </sheetViews>
  <sheetFormatPr defaultRowHeight="14.45"/>
  <cols>
    <col min="4" max="4" width="15.28515625" customWidth="1"/>
    <col min="5" max="5" width="6.7109375" customWidth="1"/>
    <col min="7" max="7" width="13.5703125" bestFit="1" customWidth="1"/>
    <col min="8" max="8" width="16.42578125" customWidth="1"/>
    <col min="9" max="9" width="2.85546875" customWidth="1"/>
  </cols>
  <sheetData>
    <row r="1" spans="1:9" ht="21">
      <c r="A1" s="44" t="s">
        <v>0</v>
      </c>
      <c r="B1" s="45"/>
      <c r="C1" s="45"/>
      <c r="D1" s="45"/>
      <c r="E1" s="45"/>
      <c r="F1" s="45"/>
      <c r="G1" s="45"/>
      <c r="H1" s="45"/>
      <c r="I1" s="46"/>
    </row>
    <row r="2" spans="1:9">
      <c r="A2" s="47" t="s">
        <v>1</v>
      </c>
      <c r="B2" s="48"/>
      <c r="C2" s="48"/>
      <c r="D2" s="48"/>
      <c r="E2" s="48"/>
      <c r="F2" s="48"/>
      <c r="G2" s="48"/>
      <c r="H2" s="48"/>
      <c r="I2" s="49"/>
    </row>
    <row r="3" spans="1:9" ht="18.600000000000001" customHeight="1">
      <c r="A3" s="50" t="s">
        <v>2</v>
      </c>
      <c r="B3" s="51"/>
      <c r="C3" s="51"/>
      <c r="D3" s="51"/>
      <c r="E3" s="51"/>
      <c r="F3" s="51"/>
      <c r="G3" s="42" t="s">
        <v>3</v>
      </c>
      <c r="H3" s="33" t="s">
        <v>32</v>
      </c>
      <c r="I3" s="15"/>
    </row>
    <row r="4" spans="1:9" ht="15.6" customHeight="1">
      <c r="A4" s="50" t="s">
        <v>5</v>
      </c>
      <c r="B4" s="51"/>
      <c r="C4" s="51"/>
      <c r="D4" s="51"/>
      <c r="E4" s="51"/>
      <c r="F4" s="51"/>
      <c r="G4" s="43" t="s">
        <v>6</v>
      </c>
      <c r="H4" s="34">
        <v>44854</v>
      </c>
      <c r="I4" s="16"/>
    </row>
    <row r="5" spans="1:9">
      <c r="A5" s="52"/>
      <c r="B5" s="53"/>
      <c r="C5" s="53"/>
      <c r="D5" s="53"/>
      <c r="E5" s="53"/>
      <c r="F5" s="53"/>
      <c r="G5" s="53"/>
      <c r="H5" s="53"/>
      <c r="I5" s="54"/>
    </row>
    <row r="6" spans="1:9" ht="30">
      <c r="A6" s="55" t="s">
        <v>7</v>
      </c>
      <c r="B6" s="56"/>
      <c r="C6" s="56"/>
      <c r="D6" s="56"/>
      <c r="E6" s="56"/>
      <c r="F6" s="56"/>
      <c r="G6" s="56"/>
      <c r="H6" s="56"/>
      <c r="I6" s="57"/>
    </row>
    <row r="7" spans="1:9" ht="15">
      <c r="A7" s="58"/>
      <c r="B7" s="59"/>
      <c r="C7" s="59"/>
      <c r="D7" s="59"/>
      <c r="E7" s="59"/>
      <c r="F7" s="59"/>
      <c r="G7" s="59"/>
      <c r="H7" s="59"/>
      <c r="I7" s="60"/>
    </row>
    <row r="8" spans="1:9" ht="14.45" customHeight="1">
      <c r="A8" s="35" t="s">
        <v>8</v>
      </c>
      <c r="B8" s="31"/>
      <c r="C8" s="31"/>
      <c r="D8" s="112"/>
      <c r="E8" s="112"/>
      <c r="F8" s="31"/>
      <c r="G8" s="31"/>
      <c r="H8" s="31"/>
      <c r="I8" s="14"/>
    </row>
    <row r="9" spans="1:9" ht="15">
      <c r="A9" s="117" t="s">
        <v>9</v>
      </c>
      <c r="B9" s="118"/>
      <c r="C9" s="118"/>
      <c r="D9" s="118"/>
      <c r="E9" s="118"/>
      <c r="F9" s="118"/>
      <c r="G9" s="118"/>
      <c r="H9" s="118"/>
      <c r="I9" s="67"/>
    </row>
    <row r="10" spans="1:9" ht="15">
      <c r="A10" s="117" t="s">
        <v>10</v>
      </c>
      <c r="B10" s="118"/>
      <c r="C10" s="118"/>
      <c r="D10" s="118"/>
      <c r="E10" s="118"/>
      <c r="F10" s="118"/>
      <c r="G10" s="118"/>
      <c r="H10" s="118"/>
      <c r="I10" s="67"/>
    </row>
    <row r="11" spans="1:9" ht="15">
      <c r="A11" s="115"/>
      <c r="B11" s="116"/>
      <c r="C11" s="116"/>
      <c r="D11" s="116"/>
      <c r="E11" s="116"/>
      <c r="F11" s="116"/>
      <c r="G11" s="66"/>
      <c r="H11" s="66"/>
      <c r="I11" s="67"/>
    </row>
    <row r="12" spans="1:9" ht="15">
      <c r="A12" s="119"/>
      <c r="B12" s="120"/>
      <c r="C12" s="120"/>
      <c r="D12" s="120"/>
      <c r="E12" s="120"/>
      <c r="F12" s="120"/>
      <c r="G12" s="120"/>
      <c r="H12" s="120"/>
      <c r="I12" s="121"/>
    </row>
    <row r="13" spans="1:9" ht="27.6">
      <c r="A13" s="7" t="s">
        <v>11</v>
      </c>
      <c r="B13" s="68" t="s">
        <v>12</v>
      </c>
      <c r="C13" s="69"/>
      <c r="D13" s="69"/>
      <c r="E13" s="70"/>
      <c r="F13" s="9" t="s">
        <v>13</v>
      </c>
      <c r="G13" s="8" t="s">
        <v>14</v>
      </c>
      <c r="H13" s="71" t="s">
        <v>15</v>
      </c>
      <c r="I13" s="72"/>
    </row>
    <row r="14" spans="1:9">
      <c r="A14" s="3">
        <v>1</v>
      </c>
      <c r="B14" s="73" t="s">
        <v>33</v>
      </c>
      <c r="C14" s="74"/>
      <c r="D14" s="74"/>
      <c r="E14" s="75"/>
      <c r="F14" s="1">
        <v>500</v>
      </c>
      <c r="G14" s="18">
        <v>2219.6</v>
      </c>
      <c r="H14" s="76">
        <f>F14*G14</f>
        <v>1109800</v>
      </c>
      <c r="I14" s="77"/>
    </row>
    <row r="15" spans="1:9">
      <c r="A15" s="5">
        <v>2</v>
      </c>
      <c r="B15" s="61" t="s">
        <v>31</v>
      </c>
      <c r="C15" s="62"/>
      <c r="D15" s="62"/>
      <c r="E15" s="63"/>
      <c r="F15" s="6">
        <v>500</v>
      </c>
      <c r="G15" s="17">
        <f>2349.6-G14</f>
        <v>130</v>
      </c>
      <c r="H15" s="64">
        <f>F15*G15</f>
        <v>65000</v>
      </c>
      <c r="I15" s="65"/>
    </row>
    <row r="16" spans="1:9">
      <c r="A16" s="3"/>
      <c r="B16" s="73"/>
      <c r="C16" s="74"/>
      <c r="D16" s="74"/>
      <c r="E16" s="75"/>
      <c r="F16" s="1"/>
      <c r="G16" s="11"/>
      <c r="H16" s="78"/>
      <c r="I16" s="79"/>
    </row>
    <row r="17" spans="1:9">
      <c r="A17" s="5"/>
      <c r="B17" s="61"/>
      <c r="C17" s="62"/>
      <c r="D17" s="62"/>
      <c r="E17" s="63"/>
      <c r="F17" s="6"/>
      <c r="G17" s="12"/>
      <c r="H17" s="64"/>
      <c r="I17" s="65"/>
    </row>
    <row r="18" spans="1:9">
      <c r="A18" s="3"/>
      <c r="B18" s="73"/>
      <c r="C18" s="74"/>
      <c r="D18" s="74"/>
      <c r="E18" s="75"/>
      <c r="F18" s="1"/>
      <c r="G18" s="11"/>
      <c r="H18" s="78"/>
      <c r="I18" s="79"/>
    </row>
    <row r="19" spans="1:9">
      <c r="A19" s="5"/>
      <c r="B19" s="61"/>
      <c r="C19" s="62"/>
      <c r="D19" s="62"/>
      <c r="E19" s="63"/>
      <c r="F19" s="6"/>
      <c r="G19" s="12"/>
      <c r="H19" s="64"/>
      <c r="I19" s="65"/>
    </row>
    <row r="20" spans="1:9">
      <c r="A20" s="3"/>
      <c r="B20" s="73"/>
      <c r="C20" s="74"/>
      <c r="D20" s="74"/>
      <c r="E20" s="75"/>
      <c r="F20" s="1"/>
      <c r="G20" s="11"/>
      <c r="H20" s="78"/>
      <c r="I20" s="79"/>
    </row>
    <row r="21" spans="1:9">
      <c r="A21" s="5"/>
      <c r="B21" s="61"/>
      <c r="C21" s="62"/>
      <c r="D21" s="62"/>
      <c r="E21" s="63"/>
      <c r="F21" s="6"/>
      <c r="G21" s="12"/>
      <c r="H21" s="64"/>
      <c r="I21" s="65"/>
    </row>
    <row r="22" spans="1:9">
      <c r="A22" s="3"/>
      <c r="B22" s="73"/>
      <c r="C22" s="74"/>
      <c r="D22" s="74"/>
      <c r="E22" s="75"/>
      <c r="F22" s="1"/>
      <c r="G22" s="11"/>
      <c r="H22" s="78"/>
      <c r="I22" s="79"/>
    </row>
    <row r="23" spans="1:9">
      <c r="A23" s="5"/>
      <c r="B23" s="61"/>
      <c r="C23" s="62"/>
      <c r="D23" s="62"/>
      <c r="E23" s="63"/>
      <c r="F23" s="6"/>
      <c r="G23" s="12"/>
      <c r="H23" s="64"/>
      <c r="I23" s="65"/>
    </row>
    <row r="24" spans="1:9">
      <c r="A24" s="3"/>
      <c r="B24" s="73"/>
      <c r="C24" s="74"/>
      <c r="D24" s="74"/>
      <c r="E24" s="75"/>
      <c r="F24" s="1"/>
      <c r="G24" s="11"/>
      <c r="H24" s="78"/>
      <c r="I24" s="79"/>
    </row>
    <row r="25" spans="1:9">
      <c r="A25" s="5"/>
      <c r="B25" s="61"/>
      <c r="C25" s="62"/>
      <c r="D25" s="62"/>
      <c r="E25" s="63"/>
      <c r="F25" s="6"/>
      <c r="G25" s="12"/>
      <c r="H25" s="64"/>
      <c r="I25" s="65"/>
    </row>
    <row r="26" spans="1:9">
      <c r="A26" s="3"/>
      <c r="B26" s="73"/>
      <c r="C26" s="74"/>
      <c r="D26" s="74"/>
      <c r="E26" s="75"/>
      <c r="F26" s="1"/>
      <c r="G26" s="11"/>
      <c r="H26" s="78"/>
      <c r="I26" s="79"/>
    </row>
    <row r="27" spans="1:9">
      <c r="A27" s="5"/>
      <c r="B27" s="61"/>
      <c r="C27" s="62"/>
      <c r="D27" s="62"/>
      <c r="E27" s="63"/>
      <c r="F27" s="6"/>
      <c r="G27" s="12"/>
      <c r="H27" s="64"/>
      <c r="I27" s="65"/>
    </row>
    <row r="28" spans="1:9">
      <c r="A28" s="3"/>
      <c r="B28" s="73"/>
      <c r="C28" s="74"/>
      <c r="D28" s="74"/>
      <c r="E28" s="75"/>
      <c r="F28" s="1"/>
      <c r="G28" s="11"/>
      <c r="H28" s="78"/>
      <c r="I28" s="79"/>
    </row>
    <row r="29" spans="1:9">
      <c r="A29" s="5"/>
      <c r="B29" s="61"/>
      <c r="C29" s="62"/>
      <c r="D29" s="62"/>
      <c r="E29" s="63"/>
      <c r="F29" s="6"/>
      <c r="G29" s="12"/>
      <c r="H29" s="64"/>
      <c r="I29" s="65"/>
    </row>
    <row r="30" spans="1:9">
      <c r="A30" s="3"/>
      <c r="B30" s="73"/>
      <c r="C30" s="74"/>
      <c r="D30" s="74"/>
      <c r="E30" s="75"/>
      <c r="F30" s="1"/>
      <c r="G30" s="11"/>
      <c r="H30" s="78"/>
      <c r="I30" s="79"/>
    </row>
    <row r="31" spans="1:9">
      <c r="A31" s="5"/>
      <c r="B31" s="61"/>
      <c r="C31" s="62"/>
      <c r="D31" s="62"/>
      <c r="E31" s="63"/>
      <c r="F31" s="6"/>
      <c r="G31" s="12"/>
      <c r="H31" s="64"/>
      <c r="I31" s="65"/>
    </row>
    <row r="32" spans="1:9">
      <c r="A32" s="3"/>
      <c r="B32" s="73"/>
      <c r="C32" s="74"/>
      <c r="D32" s="74"/>
      <c r="E32" s="75"/>
      <c r="F32" s="1"/>
      <c r="G32" s="11"/>
      <c r="H32" s="78"/>
      <c r="I32" s="79"/>
    </row>
    <row r="33" spans="1:9">
      <c r="A33" s="5"/>
      <c r="B33" s="61"/>
      <c r="C33" s="62"/>
      <c r="D33" s="62"/>
      <c r="E33" s="63"/>
      <c r="F33" s="6"/>
      <c r="G33" s="12"/>
      <c r="H33" s="64"/>
      <c r="I33" s="65"/>
    </row>
    <row r="34" spans="1:9" ht="21.6" thickBot="1">
      <c r="A34" s="80" t="s">
        <v>18</v>
      </c>
      <c r="B34" s="81"/>
      <c r="C34" s="81"/>
      <c r="D34" s="81"/>
      <c r="E34" s="81"/>
      <c r="F34" s="81"/>
      <c r="G34" s="82"/>
      <c r="H34" s="108">
        <f>H14+H15</f>
        <v>1174800</v>
      </c>
      <c r="I34" s="109"/>
    </row>
    <row r="35" spans="1:9">
      <c r="A35" s="99"/>
      <c r="B35" s="100"/>
      <c r="C35" s="100"/>
      <c r="D35" s="100"/>
      <c r="E35" s="100"/>
      <c r="F35" s="100"/>
      <c r="G35" s="100"/>
      <c r="H35" s="100"/>
      <c r="I35" s="101"/>
    </row>
    <row r="36" spans="1:9" ht="21">
      <c r="A36" s="13"/>
      <c r="B36" s="36"/>
      <c r="C36" s="36"/>
      <c r="D36" s="37"/>
      <c r="E36" s="102" t="s">
        <v>19</v>
      </c>
      <c r="F36" s="102"/>
      <c r="G36" s="102"/>
      <c r="H36" s="103">
        <f>H34</f>
        <v>1174800</v>
      </c>
      <c r="I36" s="104"/>
    </row>
    <row r="37" spans="1:9" ht="17.45">
      <c r="A37" s="13"/>
      <c r="B37" s="36"/>
      <c r="C37" s="36"/>
      <c r="D37" s="37"/>
      <c r="E37" s="105" t="s">
        <v>20</v>
      </c>
      <c r="F37" s="105"/>
      <c r="G37" s="105"/>
      <c r="H37" s="106">
        <v>154251</v>
      </c>
      <c r="I37" s="107"/>
    </row>
    <row r="38" spans="1:9">
      <c r="A38" s="13"/>
      <c r="B38" s="36"/>
      <c r="C38" s="36"/>
      <c r="D38" s="37"/>
      <c r="E38" s="89" t="s">
        <v>18</v>
      </c>
      <c r="F38" s="89"/>
      <c r="G38" s="89"/>
      <c r="H38" s="91">
        <f>H36+H37</f>
        <v>1329051</v>
      </c>
      <c r="I38" s="92"/>
    </row>
    <row r="39" spans="1:9" ht="15" thickBot="1">
      <c r="A39" s="95"/>
      <c r="B39" s="96"/>
      <c r="C39" s="96"/>
      <c r="D39" s="10"/>
      <c r="E39" s="90"/>
      <c r="F39" s="90"/>
      <c r="G39" s="90"/>
      <c r="H39" s="93"/>
      <c r="I39" s="94"/>
    </row>
    <row r="40" spans="1:9">
      <c r="A40" s="83" t="s">
        <v>21</v>
      </c>
      <c r="B40" s="84"/>
      <c r="C40" s="84"/>
      <c r="D40" s="84"/>
      <c r="E40" s="84"/>
      <c r="F40" s="84"/>
      <c r="G40" s="84"/>
      <c r="H40" s="84"/>
      <c r="I40" s="85"/>
    </row>
    <row r="41" spans="1:9" ht="15" thickBot="1">
      <c r="A41" s="86"/>
      <c r="B41" s="87"/>
      <c r="C41" s="87"/>
      <c r="D41" s="87"/>
      <c r="E41" s="87"/>
      <c r="F41" s="87"/>
      <c r="G41" s="87"/>
      <c r="H41" s="87"/>
      <c r="I41" s="88"/>
    </row>
    <row r="42" spans="1:9" ht="15" thickBot="1">
      <c r="A42" s="38"/>
      <c r="B42" s="39"/>
      <c r="C42" s="39"/>
      <c r="D42" s="39"/>
      <c r="E42" s="39"/>
      <c r="F42" s="39"/>
      <c r="G42" s="39"/>
      <c r="H42" s="39"/>
      <c r="I42" s="40"/>
    </row>
  </sheetData>
  <mergeCells count="66">
    <mergeCell ref="A9:I9"/>
    <mergeCell ref="A10:I10"/>
    <mergeCell ref="A11:F11"/>
    <mergeCell ref="B31:E31"/>
    <mergeCell ref="H31:I31"/>
    <mergeCell ref="B32:E32"/>
    <mergeCell ref="H32:I32"/>
    <mergeCell ref="B33:E33"/>
    <mergeCell ref="H33:I33"/>
    <mergeCell ref="B28:E28"/>
    <mergeCell ref="H28:I28"/>
    <mergeCell ref="B29:E29"/>
    <mergeCell ref="H29:I29"/>
    <mergeCell ref="B30:E30"/>
    <mergeCell ref="H30:I30"/>
    <mergeCell ref="B25:E25"/>
    <mergeCell ref="H25:I25"/>
    <mergeCell ref="B26:E26"/>
    <mergeCell ref="H26:I26"/>
    <mergeCell ref="B27:E27"/>
    <mergeCell ref="H27:I27"/>
    <mergeCell ref="B22:E22"/>
    <mergeCell ref="H22:I22"/>
    <mergeCell ref="B23:E23"/>
    <mergeCell ref="H23:I23"/>
    <mergeCell ref="B24:E24"/>
    <mergeCell ref="H24:I24"/>
    <mergeCell ref="B19:E19"/>
    <mergeCell ref="H19:I19"/>
    <mergeCell ref="B20:E20"/>
    <mergeCell ref="H20:I20"/>
    <mergeCell ref="B21:E21"/>
    <mergeCell ref="H21:I21"/>
    <mergeCell ref="B16:E16"/>
    <mergeCell ref="H16:I16"/>
    <mergeCell ref="B17:E17"/>
    <mergeCell ref="H17:I17"/>
    <mergeCell ref="B18:E18"/>
    <mergeCell ref="H18:I18"/>
    <mergeCell ref="A34:G34"/>
    <mergeCell ref="A40:I41"/>
    <mergeCell ref="E38:G39"/>
    <mergeCell ref="H38:I39"/>
    <mergeCell ref="A39:C39"/>
    <mergeCell ref="H34:I34"/>
    <mergeCell ref="A35:I35"/>
    <mergeCell ref="E36:G36"/>
    <mergeCell ref="H36:I36"/>
    <mergeCell ref="E37:G37"/>
    <mergeCell ref="H37:I37"/>
    <mergeCell ref="B15:E15"/>
    <mergeCell ref="H15:I15"/>
    <mergeCell ref="A7:I7"/>
    <mergeCell ref="G11:I11"/>
    <mergeCell ref="A12:I12"/>
    <mergeCell ref="B13:E13"/>
    <mergeCell ref="H13:I13"/>
    <mergeCell ref="B14:E14"/>
    <mergeCell ref="H14:I14"/>
    <mergeCell ref="D8:E8"/>
    <mergeCell ref="A6:I6"/>
    <mergeCell ref="A1:I1"/>
    <mergeCell ref="A2:I2"/>
    <mergeCell ref="A3:F3"/>
    <mergeCell ref="A4:F4"/>
    <mergeCell ref="A5:I5"/>
  </mergeCells>
  <pageMargins left="0.7" right="0.7" top="0.75" bottom="0.75" header="0.3" footer="0.3"/>
  <pageSetup paperSize="9" fitToHeight="0" orientation="portrait" horizontalDpi="300" verticalDpi="3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BBB2C-E059-4057-86DC-7019587EAFC6}">
  <sheetPr>
    <pageSetUpPr fitToPage="1"/>
  </sheetPr>
  <dimension ref="A1:I42"/>
  <sheetViews>
    <sheetView showGridLines="0" zoomScaleNormal="100" workbookViewId="0">
      <selection activeCell="F8" sqref="F8"/>
    </sheetView>
  </sheetViews>
  <sheetFormatPr defaultRowHeight="14.45"/>
  <cols>
    <col min="4" max="4" width="15.28515625" customWidth="1"/>
    <col min="5" max="5" width="6.7109375" customWidth="1"/>
    <col min="7" max="7" width="13.5703125" bestFit="1" customWidth="1"/>
    <col min="8" max="8" width="16.42578125" customWidth="1"/>
    <col min="9" max="9" width="2.85546875" customWidth="1"/>
  </cols>
  <sheetData>
    <row r="1" spans="1:9" ht="21">
      <c r="A1" s="44" t="s">
        <v>0</v>
      </c>
      <c r="B1" s="45"/>
      <c r="C1" s="45"/>
      <c r="D1" s="45"/>
      <c r="E1" s="45"/>
      <c r="F1" s="45"/>
      <c r="G1" s="45"/>
      <c r="H1" s="45"/>
      <c r="I1" s="46"/>
    </row>
    <row r="2" spans="1:9">
      <c r="A2" s="47" t="s">
        <v>1</v>
      </c>
      <c r="B2" s="48"/>
      <c r="C2" s="48"/>
      <c r="D2" s="48"/>
      <c r="E2" s="48"/>
      <c r="F2" s="48"/>
      <c r="G2" s="48"/>
      <c r="H2" s="48"/>
      <c r="I2" s="49"/>
    </row>
    <row r="3" spans="1:9" ht="18.600000000000001" customHeight="1">
      <c r="A3" s="50" t="s">
        <v>2</v>
      </c>
      <c r="B3" s="51"/>
      <c r="C3" s="51"/>
      <c r="D3" s="51"/>
      <c r="E3" s="51"/>
      <c r="F3" s="51"/>
      <c r="G3" s="42" t="s">
        <v>3</v>
      </c>
      <c r="H3" s="33" t="s">
        <v>34</v>
      </c>
      <c r="I3" s="15"/>
    </row>
    <row r="4" spans="1:9" ht="15.6" customHeight="1">
      <c r="A4" s="50" t="s">
        <v>5</v>
      </c>
      <c r="B4" s="51"/>
      <c r="C4" s="51"/>
      <c r="D4" s="51"/>
      <c r="E4" s="51"/>
      <c r="F4" s="51"/>
      <c r="G4" s="43" t="s">
        <v>6</v>
      </c>
      <c r="H4" s="34">
        <v>44688</v>
      </c>
      <c r="I4" s="16"/>
    </row>
    <row r="5" spans="1:9">
      <c r="A5" s="52"/>
      <c r="B5" s="53"/>
      <c r="C5" s="53"/>
      <c r="D5" s="53"/>
      <c r="E5" s="53"/>
      <c r="F5" s="53"/>
      <c r="G5" s="53"/>
      <c r="H5" s="53"/>
      <c r="I5" s="54"/>
    </row>
    <row r="6" spans="1:9" ht="30">
      <c r="A6" s="55" t="s">
        <v>7</v>
      </c>
      <c r="B6" s="56"/>
      <c r="C6" s="56"/>
      <c r="D6" s="56"/>
      <c r="E6" s="56"/>
      <c r="F6" s="56"/>
      <c r="G6" s="56"/>
      <c r="H6" s="56"/>
      <c r="I6" s="57"/>
    </row>
    <row r="7" spans="1:9" ht="15">
      <c r="A7" s="58"/>
      <c r="B7" s="59"/>
      <c r="C7" s="59"/>
      <c r="D7" s="59"/>
      <c r="E7" s="59"/>
      <c r="F7" s="59"/>
      <c r="G7" s="59"/>
      <c r="H7" s="59"/>
      <c r="I7" s="60"/>
    </row>
    <row r="8" spans="1:9" ht="14.45" customHeight="1">
      <c r="A8" s="35" t="s">
        <v>35</v>
      </c>
      <c r="B8" s="31"/>
      <c r="C8" s="31"/>
      <c r="D8" s="112"/>
      <c r="E8" s="112"/>
      <c r="F8" s="31"/>
      <c r="G8" s="31"/>
      <c r="H8" s="31"/>
      <c r="I8" s="14"/>
    </row>
    <row r="9" spans="1:9" ht="15">
      <c r="A9" s="117" t="s">
        <v>36</v>
      </c>
      <c r="B9" s="118"/>
      <c r="C9" s="118"/>
      <c r="D9" s="118"/>
      <c r="E9" s="118"/>
      <c r="F9" s="118"/>
      <c r="G9" s="118"/>
      <c r="H9" s="118"/>
      <c r="I9" s="67"/>
    </row>
    <row r="10" spans="1:9" ht="15">
      <c r="A10" s="117" t="s">
        <v>37</v>
      </c>
      <c r="B10" s="118"/>
      <c r="C10" s="118"/>
      <c r="D10" s="118"/>
      <c r="E10" s="118"/>
      <c r="F10" s="118"/>
      <c r="G10" s="118"/>
      <c r="H10" s="118"/>
      <c r="I10" s="67"/>
    </row>
    <row r="11" spans="1:9" ht="15">
      <c r="A11" s="115"/>
      <c r="B11" s="116"/>
      <c r="C11" s="116"/>
      <c r="D11" s="116"/>
      <c r="E11" s="116"/>
      <c r="F11" s="116"/>
      <c r="G11" s="66"/>
      <c r="H11" s="66"/>
      <c r="I11" s="67"/>
    </row>
    <row r="12" spans="1:9" ht="15">
      <c r="A12" s="119"/>
      <c r="B12" s="120"/>
      <c r="C12" s="120"/>
      <c r="D12" s="120"/>
      <c r="E12" s="120"/>
      <c r="F12" s="120"/>
      <c r="G12" s="120"/>
      <c r="H12" s="120"/>
      <c r="I12" s="121"/>
    </row>
    <row r="13" spans="1:9" ht="27.6">
      <c r="A13" s="7" t="s">
        <v>11</v>
      </c>
      <c r="B13" s="68" t="s">
        <v>12</v>
      </c>
      <c r="C13" s="69"/>
      <c r="D13" s="69"/>
      <c r="E13" s="70"/>
      <c r="F13" s="9" t="s">
        <v>13</v>
      </c>
      <c r="G13" s="8" t="s">
        <v>14</v>
      </c>
      <c r="H13" s="71" t="s">
        <v>15</v>
      </c>
      <c r="I13" s="72"/>
    </row>
    <row r="14" spans="1:9">
      <c r="A14" s="3">
        <v>1</v>
      </c>
      <c r="B14" s="73" t="s">
        <v>38</v>
      </c>
      <c r="C14" s="74"/>
      <c r="D14" s="74"/>
      <c r="E14" s="75"/>
      <c r="F14" s="1">
        <v>500</v>
      </c>
      <c r="G14" s="18">
        <f>1780-G15</f>
        <v>1649.6</v>
      </c>
      <c r="H14" s="76">
        <f>F14*G14</f>
        <v>824800</v>
      </c>
      <c r="I14" s="77"/>
    </row>
    <row r="15" spans="1:9">
      <c r="A15" s="5">
        <v>2</v>
      </c>
      <c r="B15" s="61" t="s">
        <v>31</v>
      </c>
      <c r="C15" s="62"/>
      <c r="D15" s="62"/>
      <c r="E15" s="63"/>
      <c r="F15" s="6">
        <v>500</v>
      </c>
      <c r="G15" s="17">
        <v>130.4</v>
      </c>
      <c r="H15" s="64">
        <f>F15*G15</f>
        <v>65200</v>
      </c>
      <c r="I15" s="65"/>
    </row>
    <row r="16" spans="1:9">
      <c r="A16" s="3"/>
      <c r="B16" s="73"/>
      <c r="C16" s="74"/>
      <c r="D16" s="74"/>
      <c r="E16" s="75"/>
      <c r="F16" s="1"/>
      <c r="G16" s="11"/>
      <c r="H16" s="78"/>
      <c r="I16" s="79"/>
    </row>
    <row r="17" spans="1:9">
      <c r="A17" s="5"/>
      <c r="B17" s="61"/>
      <c r="C17" s="62"/>
      <c r="D17" s="62"/>
      <c r="E17" s="63"/>
      <c r="F17" s="6"/>
      <c r="G17" s="12"/>
      <c r="H17" s="64"/>
      <c r="I17" s="65"/>
    </row>
    <row r="18" spans="1:9">
      <c r="A18" s="3"/>
      <c r="B18" s="73"/>
      <c r="C18" s="74"/>
      <c r="D18" s="74"/>
      <c r="E18" s="75"/>
      <c r="F18" s="1"/>
      <c r="G18" s="11"/>
      <c r="H18" s="78"/>
      <c r="I18" s="79"/>
    </row>
    <row r="19" spans="1:9">
      <c r="A19" s="5"/>
      <c r="B19" s="61"/>
      <c r="C19" s="62"/>
      <c r="D19" s="62"/>
      <c r="E19" s="63"/>
      <c r="F19" s="6"/>
      <c r="G19" s="12"/>
      <c r="H19" s="64"/>
      <c r="I19" s="65"/>
    </row>
    <row r="20" spans="1:9">
      <c r="A20" s="3"/>
      <c r="B20" s="73"/>
      <c r="C20" s="74"/>
      <c r="D20" s="74"/>
      <c r="E20" s="75"/>
      <c r="F20" s="1"/>
      <c r="G20" s="11"/>
      <c r="H20" s="78"/>
      <c r="I20" s="79"/>
    </row>
    <row r="21" spans="1:9">
      <c r="A21" s="5"/>
      <c r="B21" s="61"/>
      <c r="C21" s="62"/>
      <c r="D21" s="62"/>
      <c r="E21" s="63"/>
      <c r="F21" s="6"/>
      <c r="G21" s="12"/>
      <c r="H21" s="64"/>
      <c r="I21" s="65"/>
    </row>
    <row r="22" spans="1:9">
      <c r="A22" s="3"/>
      <c r="B22" s="73"/>
      <c r="C22" s="74"/>
      <c r="D22" s="74"/>
      <c r="E22" s="75"/>
      <c r="F22" s="1"/>
      <c r="G22" s="11"/>
      <c r="H22" s="78"/>
      <c r="I22" s="79"/>
    </row>
    <row r="23" spans="1:9">
      <c r="A23" s="5"/>
      <c r="B23" s="61"/>
      <c r="C23" s="62"/>
      <c r="D23" s="62"/>
      <c r="E23" s="63"/>
      <c r="F23" s="6"/>
      <c r="G23" s="12"/>
      <c r="H23" s="64"/>
      <c r="I23" s="65"/>
    </row>
    <row r="24" spans="1:9">
      <c r="A24" s="3"/>
      <c r="B24" s="73"/>
      <c r="C24" s="74"/>
      <c r="D24" s="74"/>
      <c r="E24" s="75"/>
      <c r="F24" s="1"/>
      <c r="G24" s="11"/>
      <c r="H24" s="78"/>
      <c r="I24" s="79"/>
    </row>
    <row r="25" spans="1:9">
      <c r="A25" s="5"/>
      <c r="B25" s="61"/>
      <c r="C25" s="62"/>
      <c r="D25" s="62"/>
      <c r="E25" s="63"/>
      <c r="F25" s="6"/>
      <c r="G25" s="12"/>
      <c r="H25" s="64"/>
      <c r="I25" s="65"/>
    </row>
    <row r="26" spans="1:9">
      <c r="A26" s="3"/>
      <c r="B26" s="73"/>
      <c r="C26" s="74"/>
      <c r="D26" s="74"/>
      <c r="E26" s="75"/>
      <c r="F26" s="1"/>
      <c r="G26" s="11"/>
      <c r="H26" s="78"/>
      <c r="I26" s="79"/>
    </row>
    <row r="27" spans="1:9">
      <c r="A27" s="5"/>
      <c r="B27" s="61"/>
      <c r="C27" s="62"/>
      <c r="D27" s="62"/>
      <c r="E27" s="63"/>
      <c r="F27" s="6"/>
      <c r="G27" s="12"/>
      <c r="H27" s="64"/>
      <c r="I27" s="65"/>
    </row>
    <row r="28" spans="1:9">
      <c r="A28" s="3"/>
      <c r="B28" s="73"/>
      <c r="C28" s="74"/>
      <c r="D28" s="74"/>
      <c r="E28" s="75"/>
      <c r="F28" s="1"/>
      <c r="G28" s="11"/>
      <c r="H28" s="78"/>
      <c r="I28" s="79"/>
    </row>
    <row r="29" spans="1:9">
      <c r="A29" s="5"/>
      <c r="B29" s="61"/>
      <c r="C29" s="62"/>
      <c r="D29" s="62"/>
      <c r="E29" s="63"/>
      <c r="F29" s="6"/>
      <c r="G29" s="12"/>
      <c r="H29" s="64"/>
      <c r="I29" s="65"/>
    </row>
    <row r="30" spans="1:9">
      <c r="A30" s="3"/>
      <c r="B30" s="73"/>
      <c r="C30" s="74"/>
      <c r="D30" s="74"/>
      <c r="E30" s="75"/>
      <c r="F30" s="1"/>
      <c r="G30" s="11"/>
      <c r="H30" s="78"/>
      <c r="I30" s="79"/>
    </row>
    <row r="31" spans="1:9">
      <c r="A31" s="5"/>
      <c r="B31" s="61"/>
      <c r="C31" s="62"/>
      <c r="D31" s="62"/>
      <c r="E31" s="63"/>
      <c r="F31" s="6"/>
      <c r="G31" s="12"/>
      <c r="H31" s="64"/>
      <c r="I31" s="65"/>
    </row>
    <row r="32" spans="1:9">
      <c r="A32" s="3"/>
      <c r="B32" s="73"/>
      <c r="C32" s="74"/>
      <c r="D32" s="74"/>
      <c r="E32" s="75"/>
      <c r="F32" s="1"/>
      <c r="G32" s="11"/>
      <c r="H32" s="78"/>
      <c r="I32" s="79"/>
    </row>
    <row r="33" spans="1:9">
      <c r="A33" s="5"/>
      <c r="B33" s="61"/>
      <c r="C33" s="62"/>
      <c r="D33" s="62"/>
      <c r="E33" s="63"/>
      <c r="F33" s="6"/>
      <c r="G33" s="12"/>
      <c r="H33" s="64"/>
      <c r="I33" s="65"/>
    </row>
    <row r="34" spans="1:9" ht="21.6" thickBot="1">
      <c r="A34" s="80" t="s">
        <v>18</v>
      </c>
      <c r="B34" s="81"/>
      <c r="C34" s="81"/>
      <c r="D34" s="81"/>
      <c r="E34" s="81"/>
      <c r="F34" s="81"/>
      <c r="G34" s="82"/>
      <c r="H34" s="97">
        <f>H14+H15</f>
        <v>890000</v>
      </c>
      <c r="I34" s="98"/>
    </row>
    <row r="35" spans="1:9">
      <c r="A35" s="99"/>
      <c r="B35" s="100"/>
      <c r="C35" s="100"/>
      <c r="D35" s="100"/>
      <c r="E35" s="100"/>
      <c r="F35" s="100"/>
      <c r="G35" s="100"/>
      <c r="H35" s="100"/>
      <c r="I35" s="101"/>
    </row>
    <row r="36" spans="1:9" ht="21">
      <c r="A36" s="13"/>
      <c r="B36" s="36"/>
      <c r="C36" s="36"/>
      <c r="D36" s="37"/>
      <c r="E36" s="102" t="s">
        <v>19</v>
      </c>
      <c r="F36" s="102"/>
      <c r="G36" s="102"/>
      <c r="H36" s="103">
        <f>H34</f>
        <v>890000</v>
      </c>
      <c r="I36" s="104"/>
    </row>
    <row r="37" spans="1:9" ht="17.45">
      <c r="A37" s="13"/>
      <c r="B37" s="36"/>
      <c r="C37" s="36"/>
      <c r="D37" s="37"/>
      <c r="E37" s="105" t="s">
        <v>20</v>
      </c>
      <c r="F37" s="105"/>
      <c r="G37" s="105"/>
      <c r="H37" s="106">
        <v>86241</v>
      </c>
      <c r="I37" s="107"/>
    </row>
    <row r="38" spans="1:9">
      <c r="A38" s="13"/>
      <c r="B38" s="36"/>
      <c r="C38" s="36"/>
      <c r="D38" s="37"/>
      <c r="E38" s="89" t="s">
        <v>18</v>
      </c>
      <c r="F38" s="89"/>
      <c r="G38" s="89"/>
      <c r="H38" s="91">
        <f>H36+H37</f>
        <v>976241</v>
      </c>
      <c r="I38" s="92"/>
    </row>
    <row r="39" spans="1:9" ht="15" thickBot="1">
      <c r="A39" s="95"/>
      <c r="B39" s="96"/>
      <c r="C39" s="96"/>
      <c r="D39" s="10"/>
      <c r="E39" s="90"/>
      <c r="F39" s="90"/>
      <c r="G39" s="90"/>
      <c r="H39" s="93"/>
      <c r="I39" s="94"/>
    </row>
    <row r="40" spans="1:9">
      <c r="A40" s="83" t="s">
        <v>21</v>
      </c>
      <c r="B40" s="84"/>
      <c r="C40" s="84"/>
      <c r="D40" s="84"/>
      <c r="E40" s="84"/>
      <c r="F40" s="84"/>
      <c r="G40" s="84"/>
      <c r="H40" s="84"/>
      <c r="I40" s="85"/>
    </row>
    <row r="41" spans="1:9" ht="15" thickBot="1">
      <c r="A41" s="86"/>
      <c r="B41" s="87"/>
      <c r="C41" s="87"/>
      <c r="D41" s="87"/>
      <c r="E41" s="87"/>
      <c r="F41" s="87"/>
      <c r="G41" s="87"/>
      <c r="H41" s="87"/>
      <c r="I41" s="88"/>
    </row>
    <row r="42" spans="1:9" ht="15" thickBot="1">
      <c r="A42" s="38"/>
      <c r="B42" s="39"/>
      <c r="C42" s="39"/>
      <c r="D42" s="39"/>
      <c r="E42" s="39"/>
      <c r="F42" s="39"/>
      <c r="G42" s="39"/>
      <c r="H42" s="39"/>
      <c r="I42" s="40"/>
    </row>
  </sheetData>
  <mergeCells count="66">
    <mergeCell ref="A9:I9"/>
    <mergeCell ref="A10:I10"/>
    <mergeCell ref="A11:F11"/>
    <mergeCell ref="B25:E25"/>
    <mergeCell ref="H25:I25"/>
    <mergeCell ref="B26:E26"/>
    <mergeCell ref="H26:I26"/>
    <mergeCell ref="B27:E27"/>
    <mergeCell ref="H27:I27"/>
    <mergeCell ref="B22:E22"/>
    <mergeCell ref="H22:I22"/>
    <mergeCell ref="B23:E23"/>
    <mergeCell ref="H23:I23"/>
    <mergeCell ref="B24:E24"/>
    <mergeCell ref="H24:I24"/>
    <mergeCell ref="B19:E19"/>
    <mergeCell ref="H19:I19"/>
    <mergeCell ref="B20:E20"/>
    <mergeCell ref="H20:I20"/>
    <mergeCell ref="B21:E21"/>
    <mergeCell ref="H21:I21"/>
    <mergeCell ref="B16:E16"/>
    <mergeCell ref="H16:I16"/>
    <mergeCell ref="B17:E17"/>
    <mergeCell ref="H17:I17"/>
    <mergeCell ref="B18:E18"/>
    <mergeCell ref="H18:I18"/>
    <mergeCell ref="A34:G34"/>
    <mergeCell ref="A40:I41"/>
    <mergeCell ref="E38:G39"/>
    <mergeCell ref="H38:I39"/>
    <mergeCell ref="A39:C39"/>
    <mergeCell ref="H34:I34"/>
    <mergeCell ref="A35:I35"/>
    <mergeCell ref="E36:G36"/>
    <mergeCell ref="H36:I36"/>
    <mergeCell ref="E37:G37"/>
    <mergeCell ref="H37:I37"/>
    <mergeCell ref="B31:E31"/>
    <mergeCell ref="H31:I31"/>
    <mergeCell ref="B32:E32"/>
    <mergeCell ref="H32:I32"/>
    <mergeCell ref="H33:I33"/>
    <mergeCell ref="B33:E33"/>
    <mergeCell ref="B28:E28"/>
    <mergeCell ref="H28:I28"/>
    <mergeCell ref="B29:E29"/>
    <mergeCell ref="H29:I29"/>
    <mergeCell ref="B30:E30"/>
    <mergeCell ref="H30:I30"/>
    <mergeCell ref="B15:E15"/>
    <mergeCell ref="H15:I15"/>
    <mergeCell ref="A7:I7"/>
    <mergeCell ref="G11:I11"/>
    <mergeCell ref="A12:I12"/>
    <mergeCell ref="B13:E13"/>
    <mergeCell ref="H13:I13"/>
    <mergeCell ref="B14:E14"/>
    <mergeCell ref="H14:I14"/>
    <mergeCell ref="D8:E8"/>
    <mergeCell ref="A6:I6"/>
    <mergeCell ref="A1:I1"/>
    <mergeCell ref="A2:I2"/>
    <mergeCell ref="A3:F3"/>
    <mergeCell ref="A4:F4"/>
    <mergeCell ref="A5:I5"/>
  </mergeCells>
  <pageMargins left="0.7" right="0.7" top="0.75" bottom="0.75" header="0.3" footer="0.3"/>
  <pageSetup paperSize="9" fitToHeight="0" orientation="portrait" horizontalDpi="300" verticalDpi="3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F787F-6D46-48CB-9072-07637E55A39A}">
  <sheetPr>
    <pageSetUpPr fitToPage="1"/>
  </sheetPr>
  <dimension ref="A1:I42"/>
  <sheetViews>
    <sheetView showGridLines="0" zoomScaleNormal="100" workbookViewId="0">
      <selection activeCell="G16" sqref="G16:G17"/>
    </sheetView>
  </sheetViews>
  <sheetFormatPr defaultRowHeight="14.45"/>
  <cols>
    <col min="4" max="4" width="15.28515625" customWidth="1"/>
    <col min="5" max="5" width="6.7109375" customWidth="1"/>
    <col min="7" max="7" width="13.5703125" bestFit="1" customWidth="1"/>
    <col min="8" max="8" width="16.42578125" customWidth="1"/>
    <col min="9" max="9" width="2.85546875" customWidth="1"/>
  </cols>
  <sheetData>
    <row r="1" spans="1:9" ht="21">
      <c r="A1" s="44" t="s">
        <v>0</v>
      </c>
      <c r="B1" s="45"/>
      <c r="C1" s="45"/>
      <c r="D1" s="45"/>
      <c r="E1" s="45"/>
      <c r="F1" s="45"/>
      <c r="G1" s="45"/>
      <c r="H1" s="45"/>
      <c r="I1" s="46"/>
    </row>
    <row r="2" spans="1:9">
      <c r="A2" s="47" t="s">
        <v>1</v>
      </c>
      <c r="B2" s="48"/>
      <c r="C2" s="48"/>
      <c r="D2" s="48"/>
      <c r="E2" s="48"/>
      <c r="F2" s="48"/>
      <c r="G2" s="48"/>
      <c r="H2" s="48"/>
      <c r="I2" s="49"/>
    </row>
    <row r="3" spans="1:9" ht="18.600000000000001" customHeight="1">
      <c r="A3" s="50" t="s">
        <v>2</v>
      </c>
      <c r="B3" s="51"/>
      <c r="C3" s="51"/>
      <c r="D3" s="51"/>
      <c r="E3" s="51"/>
      <c r="F3" s="51"/>
      <c r="G3" s="42" t="s">
        <v>3</v>
      </c>
      <c r="H3" s="33" t="s">
        <v>39</v>
      </c>
      <c r="I3" s="15"/>
    </row>
    <row r="4" spans="1:9" ht="15.6" customHeight="1">
      <c r="A4" s="50" t="s">
        <v>5</v>
      </c>
      <c r="B4" s="51"/>
      <c r="C4" s="51"/>
      <c r="D4" s="51"/>
      <c r="E4" s="51"/>
      <c r="F4" s="51"/>
      <c r="G4" s="43" t="s">
        <v>6</v>
      </c>
      <c r="H4" s="34">
        <v>44693</v>
      </c>
      <c r="I4" s="16"/>
    </row>
    <row r="5" spans="1:9">
      <c r="A5" s="52"/>
      <c r="B5" s="53"/>
      <c r="C5" s="53"/>
      <c r="D5" s="53"/>
      <c r="E5" s="53"/>
      <c r="F5" s="53"/>
      <c r="G5" s="53"/>
      <c r="H5" s="53"/>
      <c r="I5" s="54"/>
    </row>
    <row r="6" spans="1:9" ht="30">
      <c r="A6" s="55" t="s">
        <v>7</v>
      </c>
      <c r="B6" s="56"/>
      <c r="C6" s="56"/>
      <c r="D6" s="56"/>
      <c r="E6" s="56"/>
      <c r="F6" s="56"/>
      <c r="G6" s="56"/>
      <c r="H6" s="56"/>
      <c r="I6" s="57"/>
    </row>
    <row r="7" spans="1:9" ht="15">
      <c r="A7" s="58"/>
      <c r="B7" s="59"/>
      <c r="C7" s="59"/>
      <c r="D7" s="59"/>
      <c r="E7" s="59"/>
      <c r="F7" s="59"/>
      <c r="G7" s="59"/>
      <c r="H7" s="59"/>
      <c r="I7" s="60"/>
    </row>
    <row r="8" spans="1:9" ht="14.45" customHeight="1">
      <c r="A8" s="35" t="s">
        <v>35</v>
      </c>
      <c r="B8" s="31"/>
      <c r="C8" s="31"/>
      <c r="D8" s="112"/>
      <c r="E8" s="112"/>
      <c r="F8" s="31"/>
      <c r="G8" s="31"/>
      <c r="H8" s="31"/>
      <c r="I8" s="14"/>
    </row>
    <row r="9" spans="1:9" ht="15">
      <c r="A9" s="117" t="s">
        <v>36</v>
      </c>
      <c r="B9" s="118"/>
      <c r="C9" s="118"/>
      <c r="D9" s="118"/>
      <c r="E9" s="118"/>
      <c r="F9" s="113"/>
      <c r="G9" s="113"/>
      <c r="H9" s="113"/>
      <c r="I9" s="114"/>
    </row>
    <row r="10" spans="1:9" ht="15">
      <c r="A10" s="117" t="s">
        <v>37</v>
      </c>
      <c r="B10" s="118"/>
      <c r="C10" s="118"/>
      <c r="D10" s="118"/>
      <c r="E10" s="118"/>
      <c r="F10" s="118"/>
      <c r="G10" s="113"/>
      <c r="H10" s="113"/>
      <c r="I10" s="114"/>
    </row>
    <row r="11" spans="1:9" ht="15">
      <c r="A11" s="115"/>
      <c r="B11" s="116"/>
      <c r="C11" s="116"/>
      <c r="D11" s="116"/>
      <c r="E11" s="116"/>
      <c r="F11" s="116"/>
      <c r="G11" s="66"/>
      <c r="H11" s="66"/>
      <c r="I11" s="67"/>
    </row>
    <row r="12" spans="1:9" ht="15">
      <c r="A12" s="119"/>
      <c r="B12" s="120"/>
      <c r="C12" s="120"/>
      <c r="D12" s="120"/>
      <c r="E12" s="120"/>
      <c r="F12" s="120"/>
      <c r="G12" s="120"/>
      <c r="H12" s="120"/>
      <c r="I12" s="121"/>
    </row>
    <row r="13" spans="1:9" ht="27.6">
      <c r="A13" s="7" t="s">
        <v>11</v>
      </c>
      <c r="B13" s="68" t="s">
        <v>12</v>
      </c>
      <c r="C13" s="69"/>
      <c r="D13" s="69"/>
      <c r="E13" s="70"/>
      <c r="F13" s="9" t="s">
        <v>13</v>
      </c>
      <c r="G13" s="8" t="s">
        <v>14</v>
      </c>
      <c r="H13" s="71" t="s">
        <v>15</v>
      </c>
      <c r="I13" s="72"/>
    </row>
    <row r="14" spans="1:9">
      <c r="A14" s="3">
        <v>1</v>
      </c>
      <c r="B14" s="73" t="s">
        <v>40</v>
      </c>
      <c r="C14" s="74"/>
      <c r="D14" s="74"/>
      <c r="E14" s="75"/>
      <c r="F14" s="1">
        <v>500</v>
      </c>
      <c r="G14" s="18">
        <v>1662</v>
      </c>
      <c r="H14" s="76">
        <f>F14*G14</f>
        <v>831000</v>
      </c>
      <c r="I14" s="77"/>
    </row>
    <row r="15" spans="1:9">
      <c r="A15" s="5">
        <v>2</v>
      </c>
      <c r="B15" s="61" t="s">
        <v>41</v>
      </c>
      <c r="C15" s="62"/>
      <c r="D15" s="62"/>
      <c r="E15" s="63"/>
      <c r="F15" s="6">
        <v>500</v>
      </c>
      <c r="G15" s="17">
        <v>150</v>
      </c>
      <c r="H15" s="64">
        <f>F15*G15</f>
        <v>75000</v>
      </c>
      <c r="I15" s="65"/>
    </row>
    <row r="16" spans="1:9">
      <c r="A16" s="3">
        <v>3</v>
      </c>
      <c r="B16" s="73" t="s">
        <v>31</v>
      </c>
      <c r="C16" s="74"/>
      <c r="D16" s="74"/>
      <c r="E16" s="75"/>
      <c r="F16" s="1">
        <v>500</v>
      </c>
      <c r="G16" s="18">
        <v>88</v>
      </c>
      <c r="H16" s="78">
        <f>F16*G16</f>
        <v>44000</v>
      </c>
      <c r="I16" s="79"/>
    </row>
    <row r="17" spans="1:9">
      <c r="A17" s="5">
        <v>4</v>
      </c>
      <c r="B17" s="61" t="s">
        <v>24</v>
      </c>
      <c r="C17" s="62"/>
      <c r="D17" s="62"/>
      <c r="E17" s="63"/>
      <c r="F17" s="6">
        <v>500</v>
      </c>
      <c r="G17" s="17">
        <v>120</v>
      </c>
      <c r="H17" s="64">
        <f>F17*G17</f>
        <v>60000</v>
      </c>
      <c r="I17" s="65"/>
    </row>
    <row r="18" spans="1:9">
      <c r="A18" s="3"/>
      <c r="B18" s="73"/>
      <c r="C18" s="74"/>
      <c r="D18" s="74"/>
      <c r="E18" s="75"/>
      <c r="F18" s="1"/>
      <c r="G18" s="11"/>
      <c r="H18" s="78"/>
      <c r="I18" s="79"/>
    </row>
    <row r="19" spans="1:9">
      <c r="A19" s="5"/>
      <c r="B19" s="61"/>
      <c r="C19" s="62"/>
      <c r="D19" s="62"/>
      <c r="E19" s="63"/>
      <c r="F19" s="6"/>
      <c r="G19" s="12"/>
      <c r="H19" s="64"/>
      <c r="I19" s="65"/>
    </row>
    <row r="20" spans="1:9">
      <c r="A20" s="3"/>
      <c r="B20" s="73"/>
      <c r="C20" s="74"/>
      <c r="D20" s="74"/>
      <c r="E20" s="75"/>
      <c r="F20" s="1"/>
      <c r="G20" s="11"/>
      <c r="H20" s="78"/>
      <c r="I20" s="79"/>
    </row>
    <row r="21" spans="1:9">
      <c r="A21" s="5"/>
      <c r="B21" s="61"/>
      <c r="C21" s="62"/>
      <c r="D21" s="62"/>
      <c r="E21" s="63"/>
      <c r="F21" s="6"/>
      <c r="G21" s="12"/>
      <c r="H21" s="64"/>
      <c r="I21" s="65"/>
    </row>
    <row r="22" spans="1:9">
      <c r="A22" s="3"/>
      <c r="B22" s="73"/>
      <c r="C22" s="74"/>
      <c r="D22" s="74"/>
      <c r="E22" s="75"/>
      <c r="F22" s="1"/>
      <c r="G22" s="11"/>
      <c r="H22" s="78"/>
      <c r="I22" s="79"/>
    </row>
    <row r="23" spans="1:9">
      <c r="A23" s="5"/>
      <c r="B23" s="61"/>
      <c r="C23" s="62"/>
      <c r="D23" s="62"/>
      <c r="E23" s="63"/>
      <c r="F23" s="6"/>
      <c r="G23" s="12"/>
      <c r="H23" s="64"/>
      <c r="I23" s="65"/>
    </row>
    <row r="24" spans="1:9">
      <c r="A24" s="3"/>
      <c r="B24" s="73"/>
      <c r="C24" s="74"/>
      <c r="D24" s="74"/>
      <c r="E24" s="75"/>
      <c r="F24" s="1"/>
      <c r="G24" s="11"/>
      <c r="H24" s="78"/>
      <c r="I24" s="79"/>
    </row>
    <row r="25" spans="1:9">
      <c r="A25" s="5"/>
      <c r="B25" s="61"/>
      <c r="C25" s="62"/>
      <c r="D25" s="62"/>
      <c r="E25" s="63"/>
      <c r="F25" s="6"/>
      <c r="G25" s="12"/>
      <c r="H25" s="64"/>
      <c r="I25" s="65"/>
    </row>
    <row r="26" spans="1:9">
      <c r="A26" s="3"/>
      <c r="B26" s="73"/>
      <c r="C26" s="74"/>
      <c r="D26" s="74"/>
      <c r="E26" s="75"/>
      <c r="F26" s="1"/>
      <c r="G26" s="11"/>
      <c r="H26" s="78"/>
      <c r="I26" s="79"/>
    </row>
    <row r="27" spans="1:9">
      <c r="A27" s="5"/>
      <c r="B27" s="61"/>
      <c r="C27" s="62"/>
      <c r="D27" s="62"/>
      <c r="E27" s="63"/>
      <c r="F27" s="6"/>
      <c r="G27" s="12"/>
      <c r="H27" s="64"/>
      <c r="I27" s="65"/>
    </row>
    <row r="28" spans="1:9">
      <c r="A28" s="3"/>
      <c r="B28" s="73"/>
      <c r="C28" s="74"/>
      <c r="D28" s="74"/>
      <c r="E28" s="75"/>
      <c r="F28" s="1"/>
      <c r="G28" s="11"/>
      <c r="H28" s="78"/>
      <c r="I28" s="79"/>
    </row>
    <row r="29" spans="1:9">
      <c r="A29" s="5"/>
      <c r="B29" s="61"/>
      <c r="C29" s="62"/>
      <c r="D29" s="62"/>
      <c r="E29" s="63"/>
      <c r="F29" s="6"/>
      <c r="G29" s="12"/>
      <c r="H29" s="64"/>
      <c r="I29" s="65"/>
    </row>
    <row r="30" spans="1:9">
      <c r="A30" s="3"/>
      <c r="B30" s="73"/>
      <c r="C30" s="74"/>
      <c r="D30" s="74"/>
      <c r="E30" s="75"/>
      <c r="F30" s="1"/>
      <c r="G30" s="11"/>
      <c r="H30" s="78"/>
      <c r="I30" s="79"/>
    </row>
    <row r="31" spans="1:9">
      <c r="A31" s="5"/>
      <c r="B31" s="61"/>
      <c r="C31" s="62"/>
      <c r="D31" s="62"/>
      <c r="E31" s="63"/>
      <c r="F31" s="6"/>
      <c r="G31" s="12"/>
      <c r="H31" s="64"/>
      <c r="I31" s="65"/>
    </row>
    <row r="32" spans="1:9">
      <c r="A32" s="3"/>
      <c r="B32" s="73"/>
      <c r="C32" s="74"/>
      <c r="D32" s="74"/>
      <c r="E32" s="75"/>
      <c r="F32" s="1"/>
      <c r="G32" s="11"/>
      <c r="H32" s="78"/>
      <c r="I32" s="79"/>
    </row>
    <row r="33" spans="1:9">
      <c r="A33" s="5"/>
      <c r="B33" s="61"/>
      <c r="C33" s="62"/>
      <c r="D33" s="62"/>
      <c r="E33" s="63"/>
      <c r="F33" s="6"/>
      <c r="G33" s="12"/>
      <c r="H33" s="64"/>
      <c r="I33" s="65"/>
    </row>
    <row r="34" spans="1:9" ht="21.6" thickBot="1">
      <c r="A34" s="80" t="s">
        <v>18</v>
      </c>
      <c r="B34" s="81"/>
      <c r="C34" s="81"/>
      <c r="D34" s="81"/>
      <c r="E34" s="81"/>
      <c r="F34" s="81"/>
      <c r="G34" s="82"/>
      <c r="H34" s="97">
        <f>H14+H15+H16-H17</f>
        <v>890000</v>
      </c>
      <c r="I34" s="98"/>
    </row>
    <row r="35" spans="1:9">
      <c r="A35" s="99"/>
      <c r="B35" s="100"/>
      <c r="C35" s="100"/>
      <c r="D35" s="100"/>
      <c r="E35" s="100"/>
      <c r="F35" s="100"/>
      <c r="G35" s="100"/>
      <c r="H35" s="100"/>
      <c r="I35" s="101"/>
    </row>
    <row r="36" spans="1:9" ht="21">
      <c r="A36" s="13"/>
      <c r="B36" s="36"/>
      <c r="C36" s="36"/>
      <c r="D36" s="37"/>
      <c r="E36" s="102" t="s">
        <v>19</v>
      </c>
      <c r="F36" s="102"/>
      <c r="G36" s="102"/>
      <c r="H36" s="103">
        <f>H34</f>
        <v>890000</v>
      </c>
      <c r="I36" s="104"/>
    </row>
    <row r="37" spans="1:9" ht="17.45">
      <c r="A37" s="13"/>
      <c r="B37" s="36"/>
      <c r="C37" s="36"/>
      <c r="D37" s="37"/>
      <c r="E37" s="105" t="s">
        <v>20</v>
      </c>
      <c r="F37" s="105"/>
      <c r="G37" s="105"/>
      <c r="H37" s="106">
        <v>113475</v>
      </c>
      <c r="I37" s="107"/>
    </row>
    <row r="38" spans="1:9">
      <c r="A38" s="13"/>
      <c r="B38" s="36"/>
      <c r="C38" s="36"/>
      <c r="D38" s="37"/>
      <c r="E38" s="89" t="s">
        <v>18</v>
      </c>
      <c r="F38" s="89"/>
      <c r="G38" s="89"/>
      <c r="H38" s="91">
        <f>H36+H37</f>
        <v>1003475</v>
      </c>
      <c r="I38" s="92"/>
    </row>
    <row r="39" spans="1:9" ht="15" thickBot="1">
      <c r="A39" s="95"/>
      <c r="B39" s="96"/>
      <c r="C39" s="96"/>
      <c r="D39" s="10"/>
      <c r="E39" s="90"/>
      <c r="F39" s="90"/>
      <c r="G39" s="90"/>
      <c r="H39" s="93"/>
      <c r="I39" s="94"/>
    </row>
    <row r="40" spans="1:9">
      <c r="A40" s="83" t="s">
        <v>21</v>
      </c>
      <c r="B40" s="84"/>
      <c r="C40" s="84"/>
      <c r="D40" s="84"/>
      <c r="E40" s="84"/>
      <c r="F40" s="84"/>
      <c r="G40" s="84"/>
      <c r="H40" s="84"/>
      <c r="I40" s="85"/>
    </row>
    <row r="41" spans="1:9" ht="15" thickBot="1">
      <c r="A41" s="86"/>
      <c r="B41" s="87"/>
      <c r="C41" s="87"/>
      <c r="D41" s="87"/>
      <c r="E41" s="87"/>
      <c r="F41" s="87"/>
      <c r="G41" s="87"/>
      <c r="H41" s="87"/>
      <c r="I41" s="88"/>
    </row>
    <row r="42" spans="1:9" ht="15" thickBot="1">
      <c r="A42" s="38"/>
      <c r="B42" s="39"/>
      <c r="C42" s="39"/>
      <c r="D42" s="39"/>
      <c r="E42" s="39"/>
      <c r="F42" s="39"/>
      <c r="G42" s="39"/>
      <c r="H42" s="39"/>
      <c r="I42" s="40"/>
    </row>
  </sheetData>
  <mergeCells count="66">
    <mergeCell ref="A10:F10"/>
    <mergeCell ref="A9:E9"/>
    <mergeCell ref="A11:F11"/>
    <mergeCell ref="B18:E18"/>
    <mergeCell ref="H18:I18"/>
    <mergeCell ref="B27:E27"/>
    <mergeCell ref="H27:I27"/>
    <mergeCell ref="B28:E28"/>
    <mergeCell ref="H28:I28"/>
    <mergeCell ref="B29:E29"/>
    <mergeCell ref="H29:I29"/>
    <mergeCell ref="B24:E24"/>
    <mergeCell ref="H24:I24"/>
    <mergeCell ref="B25:E25"/>
    <mergeCell ref="H25:I25"/>
    <mergeCell ref="B26:E26"/>
    <mergeCell ref="H26:I26"/>
    <mergeCell ref="A34:G34"/>
    <mergeCell ref="A40:I41"/>
    <mergeCell ref="E38:G39"/>
    <mergeCell ref="H38:I39"/>
    <mergeCell ref="A39:C39"/>
    <mergeCell ref="H34:I34"/>
    <mergeCell ref="A35:I35"/>
    <mergeCell ref="E36:G36"/>
    <mergeCell ref="H36:I36"/>
    <mergeCell ref="E37:G37"/>
    <mergeCell ref="H37:I37"/>
    <mergeCell ref="B31:E31"/>
    <mergeCell ref="H31:I31"/>
    <mergeCell ref="B32:E32"/>
    <mergeCell ref="H32:I32"/>
    <mergeCell ref="H33:I33"/>
    <mergeCell ref="B33:E33"/>
    <mergeCell ref="B16:E16"/>
    <mergeCell ref="H16:I16"/>
    <mergeCell ref="B17:E17"/>
    <mergeCell ref="H17:I17"/>
    <mergeCell ref="B30:E30"/>
    <mergeCell ref="H30:I30"/>
    <mergeCell ref="B19:E19"/>
    <mergeCell ref="H19:I19"/>
    <mergeCell ref="B20:E20"/>
    <mergeCell ref="H20:I20"/>
    <mergeCell ref="B21:E21"/>
    <mergeCell ref="H21:I21"/>
    <mergeCell ref="B22:E22"/>
    <mergeCell ref="H22:I22"/>
    <mergeCell ref="B23:E23"/>
    <mergeCell ref="H23:I23"/>
    <mergeCell ref="B15:E15"/>
    <mergeCell ref="H15:I15"/>
    <mergeCell ref="A7:I7"/>
    <mergeCell ref="G11:I11"/>
    <mergeCell ref="A12:I12"/>
    <mergeCell ref="B13:E13"/>
    <mergeCell ref="H13:I13"/>
    <mergeCell ref="B14:E14"/>
    <mergeCell ref="H14:I14"/>
    <mergeCell ref="D8:E8"/>
    <mergeCell ref="A6:I6"/>
    <mergeCell ref="A1:I1"/>
    <mergeCell ref="A2:I2"/>
    <mergeCell ref="A3:F3"/>
    <mergeCell ref="A4:F4"/>
    <mergeCell ref="A5:I5"/>
  </mergeCells>
  <pageMargins left="0.7" right="0.7" top="0.75" bottom="0.75" header="0.3" footer="0.3"/>
  <pageSetup paperSize="9" fitToHeight="0"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60851-8DDA-4B08-BD35-2F906408D54D}">
  <sheetPr>
    <pageSetUpPr fitToPage="1"/>
  </sheetPr>
  <dimension ref="A1:I42"/>
  <sheetViews>
    <sheetView showGridLines="0" zoomScaleNormal="100" workbookViewId="0">
      <selection activeCell="A9" sqref="A9:I9"/>
    </sheetView>
  </sheetViews>
  <sheetFormatPr defaultRowHeight="14.45"/>
  <cols>
    <col min="4" max="4" width="15.28515625" customWidth="1"/>
    <col min="5" max="5" width="6.7109375" customWidth="1"/>
    <col min="7" max="7" width="13.5703125" bestFit="1" customWidth="1"/>
    <col min="8" max="8" width="16.42578125" customWidth="1"/>
    <col min="9" max="9" width="2.85546875" customWidth="1"/>
  </cols>
  <sheetData>
    <row r="1" spans="1:9" ht="21">
      <c r="A1" s="44" t="s">
        <v>0</v>
      </c>
      <c r="B1" s="45"/>
      <c r="C1" s="45"/>
      <c r="D1" s="45"/>
      <c r="E1" s="45"/>
      <c r="F1" s="45"/>
      <c r="G1" s="45"/>
      <c r="H1" s="45"/>
      <c r="I1" s="46"/>
    </row>
    <row r="2" spans="1:9">
      <c r="A2" s="47" t="s">
        <v>1</v>
      </c>
      <c r="B2" s="48"/>
      <c r="C2" s="48"/>
      <c r="D2" s="48"/>
      <c r="E2" s="48"/>
      <c r="F2" s="48"/>
      <c r="G2" s="48"/>
      <c r="H2" s="48"/>
      <c r="I2" s="49"/>
    </row>
    <row r="3" spans="1:9" ht="18.600000000000001" customHeight="1">
      <c r="A3" s="50" t="s">
        <v>2</v>
      </c>
      <c r="B3" s="51"/>
      <c r="C3" s="51"/>
      <c r="D3" s="51"/>
      <c r="E3" s="51"/>
      <c r="F3" s="51"/>
      <c r="G3" s="42" t="s">
        <v>3</v>
      </c>
      <c r="H3" s="33" t="s">
        <v>42</v>
      </c>
      <c r="I3" s="15"/>
    </row>
    <row r="4" spans="1:9" ht="15.6" customHeight="1">
      <c r="A4" s="50" t="s">
        <v>5</v>
      </c>
      <c r="B4" s="51"/>
      <c r="C4" s="51"/>
      <c r="D4" s="51"/>
      <c r="E4" s="51"/>
      <c r="F4" s="51"/>
      <c r="G4" s="43" t="s">
        <v>6</v>
      </c>
      <c r="H4" s="34">
        <v>44713</v>
      </c>
      <c r="I4" s="16"/>
    </row>
    <row r="5" spans="1:9">
      <c r="A5" s="52"/>
      <c r="B5" s="53"/>
      <c r="C5" s="53"/>
      <c r="D5" s="53"/>
      <c r="E5" s="53"/>
      <c r="F5" s="53"/>
      <c r="G5" s="53"/>
      <c r="H5" s="53"/>
      <c r="I5" s="54"/>
    </row>
    <row r="6" spans="1:9" ht="30">
      <c r="A6" s="55" t="s">
        <v>7</v>
      </c>
      <c r="B6" s="56"/>
      <c r="C6" s="56"/>
      <c r="D6" s="56"/>
      <c r="E6" s="56"/>
      <c r="F6" s="56"/>
      <c r="G6" s="56"/>
      <c r="H6" s="56"/>
      <c r="I6" s="57"/>
    </row>
    <row r="7" spans="1:9" ht="15">
      <c r="A7" s="58"/>
      <c r="B7" s="59"/>
      <c r="C7" s="59"/>
      <c r="D7" s="59"/>
      <c r="E7" s="59"/>
      <c r="F7" s="59"/>
      <c r="G7" s="59"/>
      <c r="H7" s="59"/>
      <c r="I7" s="60"/>
    </row>
    <row r="8" spans="1:9" ht="14.45" customHeight="1">
      <c r="A8" s="35" t="s">
        <v>35</v>
      </c>
      <c r="B8" s="31"/>
      <c r="C8" s="31"/>
      <c r="D8" s="112"/>
      <c r="E8" s="112"/>
      <c r="F8" s="31"/>
      <c r="G8" s="31"/>
      <c r="H8" s="31"/>
      <c r="I8" s="14"/>
    </row>
    <row r="9" spans="1:9" ht="15">
      <c r="A9" s="117" t="s">
        <v>36</v>
      </c>
      <c r="B9" s="118"/>
      <c r="C9" s="118"/>
      <c r="D9" s="118"/>
      <c r="E9" s="118"/>
      <c r="F9" s="118"/>
      <c r="G9" s="118"/>
      <c r="H9" s="118"/>
      <c r="I9" s="67"/>
    </row>
    <row r="10" spans="1:9" ht="15">
      <c r="A10" s="117" t="s">
        <v>37</v>
      </c>
      <c r="B10" s="118"/>
      <c r="C10" s="118"/>
      <c r="D10" s="118"/>
      <c r="E10" s="118"/>
      <c r="F10" s="118"/>
      <c r="G10" s="118"/>
      <c r="H10" s="118"/>
      <c r="I10" s="67"/>
    </row>
    <row r="11" spans="1:9" ht="15">
      <c r="A11" s="115"/>
      <c r="B11" s="116"/>
      <c r="C11" s="116"/>
      <c r="D11" s="116"/>
      <c r="E11" s="116"/>
      <c r="F11" s="116"/>
      <c r="G11" s="66"/>
      <c r="H11" s="66"/>
      <c r="I11" s="67"/>
    </row>
    <row r="12" spans="1:9" ht="15">
      <c r="A12" s="119"/>
      <c r="B12" s="120"/>
      <c r="C12" s="120"/>
      <c r="D12" s="120"/>
      <c r="E12" s="120"/>
      <c r="F12" s="120"/>
      <c r="G12" s="120"/>
      <c r="H12" s="120"/>
      <c r="I12" s="121"/>
    </row>
    <row r="13" spans="1:9" ht="27.6">
      <c r="A13" s="7" t="s">
        <v>11</v>
      </c>
      <c r="B13" s="68" t="s">
        <v>12</v>
      </c>
      <c r="C13" s="69"/>
      <c r="D13" s="69"/>
      <c r="E13" s="70"/>
      <c r="F13" s="9" t="s">
        <v>13</v>
      </c>
      <c r="G13" s="8" t="s">
        <v>14</v>
      </c>
      <c r="H13" s="71" t="s">
        <v>15</v>
      </c>
      <c r="I13" s="72"/>
    </row>
    <row r="14" spans="1:9">
      <c r="A14" s="3">
        <v>1</v>
      </c>
      <c r="B14" s="73" t="s">
        <v>43</v>
      </c>
      <c r="C14" s="74"/>
      <c r="D14" s="74"/>
      <c r="E14" s="75"/>
      <c r="F14" s="1">
        <v>1500</v>
      </c>
      <c r="G14" s="18">
        <v>2007</v>
      </c>
      <c r="H14" s="76">
        <f>F14*G14</f>
        <v>3010500</v>
      </c>
      <c r="I14" s="77"/>
    </row>
    <row r="15" spans="1:9">
      <c r="A15" s="5">
        <v>2</v>
      </c>
      <c r="B15" s="61" t="s">
        <v>44</v>
      </c>
      <c r="C15" s="62"/>
      <c r="D15" s="62"/>
      <c r="E15" s="63"/>
      <c r="F15" s="6">
        <v>1500</v>
      </c>
      <c r="G15" s="17">
        <v>184</v>
      </c>
      <c r="H15" s="64">
        <f>+F15*G15</f>
        <v>276000</v>
      </c>
      <c r="I15" s="65"/>
    </row>
    <row r="16" spans="1:9">
      <c r="A16" s="3"/>
      <c r="B16" s="73"/>
      <c r="C16" s="74"/>
      <c r="D16" s="74"/>
      <c r="E16" s="75"/>
      <c r="F16" s="1"/>
      <c r="G16" s="11"/>
      <c r="H16" s="78"/>
      <c r="I16" s="79"/>
    </row>
    <row r="17" spans="1:9">
      <c r="A17" s="5"/>
      <c r="B17" s="61"/>
      <c r="C17" s="62"/>
      <c r="D17" s="62"/>
      <c r="E17" s="63"/>
      <c r="F17" s="6"/>
      <c r="G17" s="12"/>
      <c r="H17" s="64"/>
      <c r="I17" s="65"/>
    </row>
    <row r="18" spans="1:9">
      <c r="A18" s="3"/>
      <c r="B18" s="73"/>
      <c r="C18" s="74"/>
      <c r="D18" s="74"/>
      <c r="E18" s="75"/>
      <c r="F18" s="1"/>
      <c r="G18" s="11"/>
      <c r="H18" s="78"/>
      <c r="I18" s="79"/>
    </row>
    <row r="19" spans="1:9">
      <c r="A19" s="5"/>
      <c r="B19" s="61"/>
      <c r="C19" s="62"/>
      <c r="D19" s="62"/>
      <c r="E19" s="63"/>
      <c r="F19" s="6"/>
      <c r="G19" s="12"/>
      <c r="H19" s="64"/>
      <c r="I19" s="65"/>
    </row>
    <row r="20" spans="1:9">
      <c r="A20" s="3"/>
      <c r="B20" s="73"/>
      <c r="C20" s="74"/>
      <c r="D20" s="74"/>
      <c r="E20" s="75"/>
      <c r="F20" s="1"/>
      <c r="G20" s="11"/>
      <c r="H20" s="78"/>
      <c r="I20" s="79"/>
    </row>
    <row r="21" spans="1:9">
      <c r="A21" s="5"/>
      <c r="B21" s="61"/>
      <c r="C21" s="62"/>
      <c r="D21" s="62"/>
      <c r="E21" s="63"/>
      <c r="F21" s="6"/>
      <c r="G21" s="12"/>
      <c r="H21" s="64"/>
      <c r="I21" s="65"/>
    </row>
    <row r="22" spans="1:9">
      <c r="A22" s="3"/>
      <c r="B22" s="73"/>
      <c r="C22" s="74"/>
      <c r="D22" s="74"/>
      <c r="E22" s="75"/>
      <c r="F22" s="1"/>
      <c r="G22" s="11"/>
      <c r="H22" s="78"/>
      <c r="I22" s="79"/>
    </row>
    <row r="23" spans="1:9">
      <c r="A23" s="5"/>
      <c r="B23" s="61"/>
      <c r="C23" s="62"/>
      <c r="D23" s="62"/>
      <c r="E23" s="63"/>
      <c r="F23" s="6"/>
      <c r="G23" s="12"/>
      <c r="H23" s="64"/>
      <c r="I23" s="65"/>
    </row>
    <row r="24" spans="1:9">
      <c r="A24" s="3"/>
      <c r="B24" s="73"/>
      <c r="C24" s="74"/>
      <c r="D24" s="74"/>
      <c r="E24" s="75"/>
      <c r="F24" s="1"/>
      <c r="G24" s="11"/>
      <c r="H24" s="78"/>
      <c r="I24" s="79"/>
    </row>
    <row r="25" spans="1:9">
      <c r="A25" s="5"/>
      <c r="B25" s="61"/>
      <c r="C25" s="62"/>
      <c r="D25" s="62"/>
      <c r="E25" s="63"/>
      <c r="F25" s="6"/>
      <c r="G25" s="12"/>
      <c r="H25" s="64"/>
      <c r="I25" s="65"/>
    </row>
    <row r="26" spans="1:9">
      <c r="A26" s="3"/>
      <c r="B26" s="73"/>
      <c r="C26" s="74"/>
      <c r="D26" s="74"/>
      <c r="E26" s="75"/>
      <c r="F26" s="1"/>
      <c r="G26" s="11"/>
      <c r="H26" s="78"/>
      <c r="I26" s="79"/>
    </row>
    <row r="27" spans="1:9">
      <c r="A27" s="5"/>
      <c r="B27" s="61"/>
      <c r="C27" s="62"/>
      <c r="D27" s="62"/>
      <c r="E27" s="63"/>
      <c r="F27" s="6"/>
      <c r="G27" s="12"/>
      <c r="H27" s="64"/>
      <c r="I27" s="65"/>
    </row>
    <row r="28" spans="1:9">
      <c r="A28" s="3"/>
      <c r="B28" s="73"/>
      <c r="C28" s="74"/>
      <c r="D28" s="74"/>
      <c r="E28" s="75"/>
      <c r="F28" s="1"/>
      <c r="G28" s="11"/>
      <c r="H28" s="78"/>
      <c r="I28" s="79"/>
    </row>
    <row r="29" spans="1:9">
      <c r="A29" s="5"/>
      <c r="B29" s="61"/>
      <c r="C29" s="62"/>
      <c r="D29" s="62"/>
      <c r="E29" s="63"/>
      <c r="F29" s="6"/>
      <c r="G29" s="12"/>
      <c r="H29" s="64"/>
      <c r="I29" s="65"/>
    </row>
    <row r="30" spans="1:9">
      <c r="A30" s="3"/>
      <c r="B30" s="73"/>
      <c r="C30" s="74"/>
      <c r="D30" s="74"/>
      <c r="E30" s="75"/>
      <c r="F30" s="1"/>
      <c r="G30" s="11"/>
      <c r="H30" s="78"/>
      <c r="I30" s="79"/>
    </row>
    <row r="31" spans="1:9">
      <c r="A31" s="5"/>
      <c r="B31" s="19"/>
      <c r="C31" s="20"/>
      <c r="D31" s="20"/>
      <c r="E31" s="21"/>
      <c r="F31" s="6"/>
      <c r="G31" s="12"/>
      <c r="H31" s="22"/>
      <c r="I31" s="23"/>
    </row>
    <row r="32" spans="1:9">
      <c r="A32" s="4"/>
      <c r="B32" s="73"/>
      <c r="C32" s="74"/>
      <c r="D32" s="74"/>
      <c r="E32" s="75"/>
      <c r="F32" s="2"/>
      <c r="G32" s="11"/>
      <c r="H32" s="110"/>
      <c r="I32" s="111"/>
    </row>
    <row r="33" spans="1:9">
      <c r="A33" s="5"/>
      <c r="B33" s="61"/>
      <c r="C33" s="62"/>
      <c r="D33" s="62"/>
      <c r="E33" s="63"/>
      <c r="F33" s="6"/>
      <c r="G33" s="12"/>
      <c r="H33" s="64"/>
      <c r="I33" s="65"/>
    </row>
    <row r="34" spans="1:9" ht="21.6" thickBot="1">
      <c r="A34" s="80" t="s">
        <v>18</v>
      </c>
      <c r="B34" s="81"/>
      <c r="C34" s="81"/>
      <c r="D34" s="81"/>
      <c r="E34" s="81"/>
      <c r="F34" s="81"/>
      <c r="G34" s="82"/>
      <c r="H34" s="97">
        <f>H14+H15</f>
        <v>3286500</v>
      </c>
      <c r="I34" s="98"/>
    </row>
    <row r="35" spans="1:9">
      <c r="A35" s="99"/>
      <c r="B35" s="100"/>
      <c r="C35" s="100"/>
      <c r="D35" s="100"/>
      <c r="E35" s="100"/>
      <c r="F35" s="100"/>
      <c r="G35" s="100"/>
      <c r="H35" s="100"/>
      <c r="I35" s="101"/>
    </row>
    <row r="36" spans="1:9" ht="21">
      <c r="A36" s="13"/>
      <c r="B36" s="36"/>
      <c r="C36" s="36"/>
      <c r="D36" s="37"/>
      <c r="E36" s="102" t="s">
        <v>19</v>
      </c>
      <c r="F36" s="102"/>
      <c r="G36" s="102"/>
      <c r="H36" s="103">
        <f>H34</f>
        <v>3286500</v>
      </c>
      <c r="I36" s="104"/>
    </row>
    <row r="37" spans="1:9" ht="17.45">
      <c r="A37" s="13"/>
      <c r="B37" s="36"/>
      <c r="C37" s="36"/>
      <c r="D37" s="37"/>
      <c r="E37" s="105" t="s">
        <v>20</v>
      </c>
      <c r="F37" s="105"/>
      <c r="G37" s="105"/>
      <c r="H37" s="106">
        <v>431517</v>
      </c>
      <c r="I37" s="107"/>
    </row>
    <row r="38" spans="1:9">
      <c r="A38" s="13"/>
      <c r="B38" s="36"/>
      <c r="C38" s="36"/>
      <c r="D38" s="37"/>
      <c r="E38" s="89" t="s">
        <v>18</v>
      </c>
      <c r="F38" s="89"/>
      <c r="G38" s="89"/>
      <c r="H38" s="91">
        <f>H36+H37</f>
        <v>3718017</v>
      </c>
      <c r="I38" s="92"/>
    </row>
    <row r="39" spans="1:9" ht="15" thickBot="1">
      <c r="A39" s="95"/>
      <c r="B39" s="96"/>
      <c r="C39" s="96"/>
      <c r="D39" s="10"/>
      <c r="E39" s="90"/>
      <c r="F39" s="90"/>
      <c r="G39" s="90"/>
      <c r="H39" s="93"/>
      <c r="I39" s="94"/>
    </row>
    <row r="40" spans="1:9">
      <c r="A40" s="83" t="s">
        <v>21</v>
      </c>
      <c r="B40" s="84"/>
      <c r="C40" s="84"/>
      <c r="D40" s="84"/>
      <c r="E40" s="84"/>
      <c r="F40" s="84"/>
      <c r="G40" s="84"/>
      <c r="H40" s="84"/>
      <c r="I40" s="85"/>
    </row>
    <row r="41" spans="1:9" ht="15" thickBot="1">
      <c r="A41" s="86"/>
      <c r="B41" s="87"/>
      <c r="C41" s="87"/>
      <c r="D41" s="87"/>
      <c r="E41" s="87"/>
      <c r="F41" s="87"/>
      <c r="G41" s="87"/>
      <c r="H41" s="87"/>
      <c r="I41" s="88"/>
    </row>
    <row r="42" spans="1:9" ht="15" thickBot="1">
      <c r="A42" s="38"/>
      <c r="B42" s="39"/>
      <c r="C42" s="39"/>
      <c r="D42" s="39"/>
      <c r="E42" s="39"/>
      <c r="F42" s="39"/>
      <c r="G42" s="39"/>
      <c r="H42" s="39"/>
      <c r="I42" s="40"/>
    </row>
  </sheetData>
  <mergeCells count="64">
    <mergeCell ref="A9:I9"/>
    <mergeCell ref="A10:I10"/>
    <mergeCell ref="A11:F11"/>
    <mergeCell ref="B28:E28"/>
    <mergeCell ref="H28:I28"/>
    <mergeCell ref="B29:E29"/>
    <mergeCell ref="H29:I29"/>
    <mergeCell ref="B30:E30"/>
    <mergeCell ref="H30:I30"/>
    <mergeCell ref="B25:E25"/>
    <mergeCell ref="H25:I25"/>
    <mergeCell ref="B26:E26"/>
    <mergeCell ref="H26:I26"/>
    <mergeCell ref="B27:E27"/>
    <mergeCell ref="H27:I27"/>
    <mergeCell ref="A34:G34"/>
    <mergeCell ref="A40:I41"/>
    <mergeCell ref="E38:G39"/>
    <mergeCell ref="H38:I39"/>
    <mergeCell ref="A39:C39"/>
    <mergeCell ref="H34:I34"/>
    <mergeCell ref="A35:I35"/>
    <mergeCell ref="E36:G36"/>
    <mergeCell ref="H36:I36"/>
    <mergeCell ref="E37:G37"/>
    <mergeCell ref="H37:I37"/>
    <mergeCell ref="B19:E19"/>
    <mergeCell ref="H19:I19"/>
    <mergeCell ref="B32:E32"/>
    <mergeCell ref="H32:I32"/>
    <mergeCell ref="H33:I33"/>
    <mergeCell ref="B33:E33"/>
    <mergeCell ref="B20:E20"/>
    <mergeCell ref="H20:I20"/>
    <mergeCell ref="B21:E21"/>
    <mergeCell ref="H21:I21"/>
    <mergeCell ref="B22:E22"/>
    <mergeCell ref="H22:I22"/>
    <mergeCell ref="B23:E23"/>
    <mergeCell ref="H23:I23"/>
    <mergeCell ref="B24:E24"/>
    <mergeCell ref="H24:I24"/>
    <mergeCell ref="B16:E16"/>
    <mergeCell ref="H16:I16"/>
    <mergeCell ref="B17:E17"/>
    <mergeCell ref="H17:I17"/>
    <mergeCell ref="B18:E18"/>
    <mergeCell ref="H18:I18"/>
    <mergeCell ref="B15:E15"/>
    <mergeCell ref="H15:I15"/>
    <mergeCell ref="A7:I7"/>
    <mergeCell ref="G11:I11"/>
    <mergeCell ref="A12:I12"/>
    <mergeCell ref="B13:E13"/>
    <mergeCell ref="H13:I13"/>
    <mergeCell ref="B14:E14"/>
    <mergeCell ref="H14:I14"/>
    <mergeCell ref="D8:E8"/>
    <mergeCell ref="A6:I6"/>
    <mergeCell ref="A1:I1"/>
    <mergeCell ref="A2:I2"/>
    <mergeCell ref="A3:F3"/>
    <mergeCell ref="A4:F4"/>
    <mergeCell ref="A5:I5"/>
  </mergeCells>
  <pageMargins left="0.7" right="0.7" top="0.75" bottom="0.75" header="0.3" footer="0.3"/>
  <pageSetup paperSize="9" fitToHeight="0" orientation="portrait" horizontalDpi="300" verticalDpi="300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350BC-3FBC-4050-AF26-6B96297DDB8C}">
  <sheetPr>
    <pageSetUpPr fitToPage="1"/>
  </sheetPr>
  <dimension ref="A1:I42"/>
  <sheetViews>
    <sheetView showGridLines="0" zoomScaleNormal="100" workbookViewId="0">
      <selection activeCell="G11" sqref="G11:I11"/>
    </sheetView>
  </sheetViews>
  <sheetFormatPr defaultRowHeight="14.45"/>
  <cols>
    <col min="4" max="4" width="15.28515625" customWidth="1"/>
    <col min="5" max="5" width="6.7109375" customWidth="1"/>
    <col min="7" max="7" width="13.5703125" bestFit="1" customWidth="1"/>
    <col min="8" max="8" width="16.42578125" customWidth="1"/>
    <col min="9" max="9" width="2.85546875" customWidth="1"/>
  </cols>
  <sheetData>
    <row r="1" spans="1:9" ht="21">
      <c r="A1" s="44" t="s">
        <v>0</v>
      </c>
      <c r="B1" s="45"/>
      <c r="C1" s="45"/>
      <c r="D1" s="45"/>
      <c r="E1" s="45"/>
      <c r="F1" s="45"/>
      <c r="G1" s="45"/>
      <c r="H1" s="45"/>
      <c r="I1" s="46"/>
    </row>
    <row r="2" spans="1:9">
      <c r="A2" s="47" t="s">
        <v>1</v>
      </c>
      <c r="B2" s="48"/>
      <c r="C2" s="48"/>
      <c r="D2" s="48"/>
      <c r="E2" s="48"/>
      <c r="F2" s="48"/>
      <c r="G2" s="48"/>
      <c r="H2" s="48"/>
      <c r="I2" s="49"/>
    </row>
    <row r="3" spans="1:9" ht="18.600000000000001" customHeight="1">
      <c r="A3" s="50" t="s">
        <v>2</v>
      </c>
      <c r="B3" s="51"/>
      <c r="C3" s="51"/>
      <c r="D3" s="51"/>
      <c r="E3" s="51"/>
      <c r="F3" s="51"/>
      <c r="G3" s="42" t="s">
        <v>3</v>
      </c>
      <c r="H3" s="33" t="s">
        <v>45</v>
      </c>
      <c r="I3" s="15"/>
    </row>
    <row r="4" spans="1:9" ht="15.6" customHeight="1">
      <c r="A4" s="50" t="s">
        <v>5</v>
      </c>
      <c r="B4" s="51"/>
      <c r="C4" s="51"/>
      <c r="D4" s="51"/>
      <c r="E4" s="51"/>
      <c r="F4" s="51"/>
      <c r="G4" s="43" t="s">
        <v>6</v>
      </c>
      <c r="H4" s="34">
        <v>44846</v>
      </c>
      <c r="I4" s="16"/>
    </row>
    <row r="5" spans="1:9">
      <c r="A5" s="52"/>
      <c r="B5" s="53"/>
      <c r="C5" s="53"/>
      <c r="D5" s="53"/>
      <c r="E5" s="53"/>
      <c r="F5" s="53"/>
      <c r="G5" s="53"/>
      <c r="H5" s="53"/>
      <c r="I5" s="54"/>
    </row>
    <row r="6" spans="1:9" ht="30">
      <c r="A6" s="55" t="s">
        <v>7</v>
      </c>
      <c r="B6" s="56"/>
      <c r="C6" s="56"/>
      <c r="D6" s="56"/>
      <c r="E6" s="56"/>
      <c r="F6" s="56"/>
      <c r="G6" s="56"/>
      <c r="H6" s="56"/>
      <c r="I6" s="57"/>
    </row>
    <row r="7" spans="1:9" ht="15">
      <c r="A7" s="58"/>
      <c r="B7" s="59"/>
      <c r="C7" s="59"/>
      <c r="D7" s="59"/>
      <c r="E7" s="59"/>
      <c r="F7" s="59"/>
      <c r="G7" s="59"/>
      <c r="H7" s="59"/>
      <c r="I7" s="60"/>
    </row>
    <row r="8" spans="1:9" ht="14.45" customHeight="1">
      <c r="A8" s="35" t="s">
        <v>35</v>
      </c>
      <c r="B8" s="31"/>
      <c r="C8" s="31"/>
      <c r="D8" s="112"/>
      <c r="E8" s="112"/>
      <c r="F8" s="31"/>
      <c r="G8" s="31"/>
      <c r="H8" s="31"/>
      <c r="I8" s="14"/>
    </row>
    <row r="9" spans="1:9" ht="15">
      <c r="A9" s="117" t="s">
        <v>36</v>
      </c>
      <c r="B9" s="118"/>
      <c r="C9" s="118"/>
      <c r="D9" s="118"/>
      <c r="E9" s="118"/>
      <c r="F9" s="118"/>
      <c r="G9" s="118"/>
      <c r="H9" s="118"/>
      <c r="I9" s="67"/>
    </row>
    <row r="10" spans="1:9" ht="15">
      <c r="A10" s="117" t="s">
        <v>37</v>
      </c>
      <c r="B10" s="118"/>
      <c r="C10" s="118"/>
      <c r="D10" s="118"/>
      <c r="E10" s="118"/>
      <c r="F10" s="118"/>
      <c r="G10" s="118"/>
      <c r="H10" s="118"/>
      <c r="I10" s="67"/>
    </row>
    <row r="11" spans="1:9" ht="15">
      <c r="A11" s="115"/>
      <c r="B11" s="116"/>
      <c r="C11" s="116"/>
      <c r="D11" s="116"/>
      <c r="E11" s="116"/>
      <c r="F11" s="116"/>
      <c r="G11" s="66"/>
      <c r="H11" s="66"/>
      <c r="I11" s="67"/>
    </row>
    <row r="12" spans="1:9" ht="15">
      <c r="A12" s="119"/>
      <c r="B12" s="120"/>
      <c r="C12" s="120"/>
      <c r="D12" s="120"/>
      <c r="E12" s="120"/>
      <c r="F12" s="120"/>
      <c r="G12" s="120"/>
      <c r="H12" s="120"/>
      <c r="I12" s="121"/>
    </row>
    <row r="13" spans="1:9" ht="27.6">
      <c r="A13" s="7" t="s">
        <v>11</v>
      </c>
      <c r="B13" s="68" t="s">
        <v>12</v>
      </c>
      <c r="C13" s="69"/>
      <c r="D13" s="69"/>
      <c r="E13" s="70"/>
      <c r="F13" s="9" t="s">
        <v>13</v>
      </c>
      <c r="G13" s="8" t="s">
        <v>14</v>
      </c>
      <c r="H13" s="71" t="s">
        <v>15</v>
      </c>
      <c r="I13" s="72"/>
    </row>
    <row r="14" spans="1:9">
      <c r="A14" s="3">
        <v>1</v>
      </c>
      <c r="B14" s="73" t="s">
        <v>46</v>
      </c>
      <c r="C14" s="74"/>
      <c r="D14" s="74"/>
      <c r="E14" s="75"/>
      <c r="F14" s="1">
        <v>2000</v>
      </c>
      <c r="G14" s="18">
        <v>2384</v>
      </c>
      <c r="H14" s="76">
        <f>F14*G14</f>
        <v>4768000</v>
      </c>
      <c r="I14" s="77"/>
    </row>
    <row r="15" spans="1:9">
      <c r="A15" s="5"/>
      <c r="B15" s="61"/>
      <c r="C15" s="62"/>
      <c r="D15" s="62"/>
      <c r="E15" s="63"/>
      <c r="F15" s="6"/>
      <c r="G15" s="17"/>
      <c r="H15" s="64"/>
      <c r="I15" s="65"/>
    </row>
    <row r="16" spans="1:9">
      <c r="A16" s="3"/>
      <c r="B16" s="73"/>
      <c r="C16" s="74"/>
      <c r="D16" s="74"/>
      <c r="E16" s="75"/>
      <c r="F16" s="1"/>
      <c r="G16" s="11"/>
      <c r="H16" s="78"/>
      <c r="I16" s="79"/>
    </row>
    <row r="17" spans="1:9">
      <c r="A17" s="5"/>
      <c r="B17" s="61"/>
      <c r="C17" s="62"/>
      <c r="D17" s="62"/>
      <c r="E17" s="63"/>
      <c r="F17" s="6"/>
      <c r="G17" s="12"/>
      <c r="H17" s="64"/>
      <c r="I17" s="65"/>
    </row>
    <row r="18" spans="1:9">
      <c r="A18" s="3"/>
      <c r="B18" s="73"/>
      <c r="C18" s="74"/>
      <c r="D18" s="74"/>
      <c r="E18" s="75"/>
      <c r="F18" s="1"/>
      <c r="G18" s="11"/>
      <c r="H18" s="78"/>
      <c r="I18" s="79"/>
    </row>
    <row r="19" spans="1:9">
      <c r="A19" s="5"/>
      <c r="B19" s="61"/>
      <c r="C19" s="62"/>
      <c r="D19" s="62"/>
      <c r="E19" s="63"/>
      <c r="F19" s="6"/>
      <c r="G19" s="12"/>
      <c r="H19" s="64"/>
      <c r="I19" s="65"/>
    </row>
    <row r="20" spans="1:9">
      <c r="A20" s="3"/>
      <c r="B20" s="73"/>
      <c r="C20" s="74"/>
      <c r="D20" s="74"/>
      <c r="E20" s="75"/>
      <c r="F20" s="1"/>
      <c r="G20" s="11"/>
      <c r="H20" s="78"/>
      <c r="I20" s="79"/>
    </row>
    <row r="21" spans="1:9">
      <c r="A21" s="5"/>
      <c r="B21" s="61"/>
      <c r="C21" s="62"/>
      <c r="D21" s="62"/>
      <c r="E21" s="63"/>
      <c r="F21" s="6"/>
      <c r="G21" s="12"/>
      <c r="H21" s="64"/>
      <c r="I21" s="65"/>
    </row>
    <row r="22" spans="1:9">
      <c r="A22" s="3"/>
      <c r="B22" s="73"/>
      <c r="C22" s="74"/>
      <c r="D22" s="74"/>
      <c r="E22" s="75"/>
      <c r="F22" s="1"/>
      <c r="G22" s="11"/>
      <c r="H22" s="78"/>
      <c r="I22" s="79"/>
    </row>
    <row r="23" spans="1:9">
      <c r="A23" s="5"/>
      <c r="B23" s="61"/>
      <c r="C23" s="62"/>
      <c r="D23" s="62"/>
      <c r="E23" s="63"/>
      <c r="F23" s="6"/>
      <c r="G23" s="12"/>
      <c r="H23" s="64"/>
      <c r="I23" s="65"/>
    </row>
    <row r="24" spans="1:9">
      <c r="A24" s="3"/>
      <c r="B24" s="73"/>
      <c r="C24" s="74"/>
      <c r="D24" s="74"/>
      <c r="E24" s="75"/>
      <c r="F24" s="1"/>
      <c r="G24" s="11"/>
      <c r="H24" s="78"/>
      <c r="I24" s="79"/>
    </row>
    <row r="25" spans="1:9">
      <c r="A25" s="5"/>
      <c r="B25" s="61"/>
      <c r="C25" s="62"/>
      <c r="D25" s="62"/>
      <c r="E25" s="63"/>
      <c r="F25" s="6"/>
      <c r="G25" s="12"/>
      <c r="H25" s="64"/>
      <c r="I25" s="65"/>
    </row>
    <row r="26" spans="1:9">
      <c r="A26" s="3"/>
      <c r="B26" s="73"/>
      <c r="C26" s="74"/>
      <c r="D26" s="74"/>
      <c r="E26" s="75"/>
      <c r="F26" s="1"/>
      <c r="G26" s="11"/>
      <c r="H26" s="78"/>
      <c r="I26" s="79"/>
    </row>
    <row r="27" spans="1:9">
      <c r="A27" s="5"/>
      <c r="B27" s="61"/>
      <c r="C27" s="62"/>
      <c r="D27" s="62"/>
      <c r="E27" s="63"/>
      <c r="F27" s="6"/>
      <c r="G27" s="12"/>
      <c r="H27" s="64"/>
      <c r="I27" s="65"/>
    </row>
    <row r="28" spans="1:9">
      <c r="A28" s="3"/>
      <c r="B28" s="73"/>
      <c r="C28" s="74"/>
      <c r="D28" s="74"/>
      <c r="E28" s="75"/>
      <c r="F28" s="1"/>
      <c r="G28" s="11"/>
      <c r="H28" s="78"/>
      <c r="I28" s="79"/>
    </row>
    <row r="29" spans="1:9">
      <c r="A29" s="5"/>
      <c r="B29" s="61"/>
      <c r="C29" s="62"/>
      <c r="D29" s="62"/>
      <c r="E29" s="63"/>
      <c r="F29" s="6"/>
      <c r="G29" s="12"/>
      <c r="H29" s="64"/>
      <c r="I29" s="65"/>
    </row>
    <row r="30" spans="1:9">
      <c r="A30" s="3"/>
      <c r="B30" s="73"/>
      <c r="C30" s="74"/>
      <c r="D30" s="74"/>
      <c r="E30" s="75"/>
      <c r="F30" s="1"/>
      <c r="G30" s="11"/>
      <c r="H30" s="78"/>
      <c r="I30" s="79"/>
    </row>
    <row r="31" spans="1:9">
      <c r="A31" s="5"/>
      <c r="B31" s="19"/>
      <c r="C31" s="20"/>
      <c r="D31" s="20"/>
      <c r="E31" s="21"/>
      <c r="F31" s="6"/>
      <c r="G31" s="12"/>
      <c r="H31" s="22"/>
      <c r="I31" s="23"/>
    </row>
    <row r="32" spans="1:9">
      <c r="A32" s="4"/>
      <c r="B32" s="73"/>
      <c r="C32" s="74"/>
      <c r="D32" s="74"/>
      <c r="E32" s="75"/>
      <c r="F32" s="2"/>
      <c r="G32" s="11"/>
      <c r="H32" s="110"/>
      <c r="I32" s="111"/>
    </row>
    <row r="33" spans="1:9">
      <c r="A33" s="5"/>
      <c r="B33" s="61"/>
      <c r="C33" s="62"/>
      <c r="D33" s="62"/>
      <c r="E33" s="63"/>
      <c r="F33" s="6"/>
      <c r="G33" s="12"/>
      <c r="H33" s="64"/>
      <c r="I33" s="65"/>
    </row>
    <row r="34" spans="1:9" ht="21.6" thickBot="1">
      <c r="A34" s="80" t="s">
        <v>18</v>
      </c>
      <c r="B34" s="81"/>
      <c r="C34" s="81"/>
      <c r="D34" s="81"/>
      <c r="E34" s="81"/>
      <c r="F34" s="81"/>
      <c r="G34" s="82"/>
      <c r="H34" s="97">
        <f>H14-H15</f>
        <v>4768000</v>
      </c>
      <c r="I34" s="98"/>
    </row>
    <row r="35" spans="1:9">
      <c r="A35" s="99"/>
      <c r="B35" s="100"/>
      <c r="C35" s="100"/>
      <c r="D35" s="100"/>
      <c r="E35" s="100"/>
      <c r="F35" s="100"/>
      <c r="G35" s="100"/>
      <c r="H35" s="100"/>
      <c r="I35" s="101"/>
    </row>
    <row r="36" spans="1:9" ht="21">
      <c r="A36" s="13"/>
      <c r="B36" s="36"/>
      <c r="C36" s="36"/>
      <c r="D36" s="37"/>
      <c r="E36" s="102" t="s">
        <v>19</v>
      </c>
      <c r="F36" s="102"/>
      <c r="G36" s="102"/>
      <c r="H36" s="103">
        <f>H34</f>
        <v>4768000</v>
      </c>
      <c r="I36" s="104"/>
    </row>
    <row r="37" spans="1:9" ht="17.45">
      <c r="A37" s="13"/>
      <c r="B37" s="36"/>
      <c r="C37" s="36"/>
      <c r="D37" s="37"/>
      <c r="E37" s="105" t="s">
        <v>20</v>
      </c>
      <c r="F37" s="105"/>
      <c r="G37" s="105"/>
      <c r="H37" s="106">
        <v>626038</v>
      </c>
      <c r="I37" s="107"/>
    </row>
    <row r="38" spans="1:9">
      <c r="A38" s="13"/>
      <c r="B38" s="36"/>
      <c r="C38" s="36"/>
      <c r="D38" s="37"/>
      <c r="E38" s="89" t="s">
        <v>18</v>
      </c>
      <c r="F38" s="89"/>
      <c r="G38" s="89"/>
      <c r="H38" s="91">
        <f>H36+H37</f>
        <v>5394038</v>
      </c>
      <c r="I38" s="92"/>
    </row>
    <row r="39" spans="1:9" ht="15" thickBot="1">
      <c r="A39" s="95"/>
      <c r="B39" s="96"/>
      <c r="C39" s="96"/>
      <c r="D39" s="10"/>
      <c r="E39" s="90"/>
      <c r="F39" s="90"/>
      <c r="G39" s="90"/>
      <c r="H39" s="93"/>
      <c r="I39" s="94"/>
    </row>
    <row r="40" spans="1:9">
      <c r="A40" s="83" t="s">
        <v>21</v>
      </c>
      <c r="B40" s="84"/>
      <c r="C40" s="84"/>
      <c r="D40" s="84"/>
      <c r="E40" s="84"/>
      <c r="F40" s="84"/>
      <c r="G40" s="84"/>
      <c r="H40" s="84"/>
      <c r="I40" s="85"/>
    </row>
    <row r="41" spans="1:9" ht="15" thickBot="1">
      <c r="A41" s="86"/>
      <c r="B41" s="87"/>
      <c r="C41" s="87"/>
      <c r="D41" s="87"/>
      <c r="E41" s="87"/>
      <c r="F41" s="87"/>
      <c r="G41" s="87"/>
      <c r="H41" s="87"/>
      <c r="I41" s="88"/>
    </row>
    <row r="42" spans="1:9" ht="15" thickBot="1">
      <c r="A42" s="38"/>
      <c r="B42" s="39"/>
      <c r="C42" s="39"/>
      <c r="D42" s="39"/>
      <c r="E42" s="39"/>
      <c r="F42" s="39"/>
      <c r="G42" s="39"/>
      <c r="H42" s="39"/>
      <c r="I42" s="40"/>
    </row>
  </sheetData>
  <mergeCells count="64">
    <mergeCell ref="B30:E30"/>
    <mergeCell ref="H30:I30"/>
    <mergeCell ref="D8:E8"/>
    <mergeCell ref="A9:I9"/>
    <mergeCell ref="A10:I10"/>
    <mergeCell ref="A11:F11"/>
    <mergeCell ref="B27:E27"/>
    <mergeCell ref="H27:I27"/>
    <mergeCell ref="B28:E28"/>
    <mergeCell ref="H28:I28"/>
    <mergeCell ref="B29:E29"/>
    <mergeCell ref="H29:I29"/>
    <mergeCell ref="A40:I41"/>
    <mergeCell ref="E38:G39"/>
    <mergeCell ref="H38:I39"/>
    <mergeCell ref="A39:C39"/>
    <mergeCell ref="H34:I34"/>
    <mergeCell ref="A35:I35"/>
    <mergeCell ref="E36:G36"/>
    <mergeCell ref="H36:I36"/>
    <mergeCell ref="E37:G37"/>
    <mergeCell ref="H37:I37"/>
    <mergeCell ref="B33:E33"/>
    <mergeCell ref="H33:I33"/>
    <mergeCell ref="B15:E15"/>
    <mergeCell ref="H15:I15"/>
    <mergeCell ref="A34:G34"/>
    <mergeCell ref="B16:E16"/>
    <mergeCell ref="H16:I16"/>
    <mergeCell ref="B17:E17"/>
    <mergeCell ref="H17:I17"/>
    <mergeCell ref="B18:E18"/>
    <mergeCell ref="H18:I18"/>
    <mergeCell ref="B19:E19"/>
    <mergeCell ref="H19:I19"/>
    <mergeCell ref="B20:E20"/>
    <mergeCell ref="H20:I20"/>
    <mergeCell ref="B21:E21"/>
    <mergeCell ref="B32:E32"/>
    <mergeCell ref="H32:I32"/>
    <mergeCell ref="H21:I21"/>
    <mergeCell ref="B22:E22"/>
    <mergeCell ref="H22:I22"/>
    <mergeCell ref="B23:E23"/>
    <mergeCell ref="H23:I23"/>
    <mergeCell ref="B24:E24"/>
    <mergeCell ref="H24:I24"/>
    <mergeCell ref="B25:E25"/>
    <mergeCell ref="H25:I25"/>
    <mergeCell ref="B26:E26"/>
    <mergeCell ref="H26:I26"/>
    <mergeCell ref="B14:E14"/>
    <mergeCell ref="H14:I14"/>
    <mergeCell ref="A6:I6"/>
    <mergeCell ref="A1:I1"/>
    <mergeCell ref="A2:I2"/>
    <mergeCell ref="A3:F3"/>
    <mergeCell ref="A4:F4"/>
    <mergeCell ref="A5:I5"/>
    <mergeCell ref="G11:I11"/>
    <mergeCell ref="A12:I12"/>
    <mergeCell ref="B13:E13"/>
    <mergeCell ref="H13:I13"/>
    <mergeCell ref="A7:I7"/>
  </mergeCells>
  <pageMargins left="0.7" right="0.7" top="0.75" bottom="0.75" header="0.3" footer="0.3"/>
  <pageSetup paperSize="9" fitToHeight="0" orientation="portrait" horizontalDpi="300" verticalDpi="300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475C1-F662-43CF-884E-90BADBCFA55C}">
  <sheetPr>
    <pageSetUpPr fitToPage="1"/>
  </sheetPr>
  <dimension ref="A1:I42"/>
  <sheetViews>
    <sheetView showGridLines="0" zoomScaleNormal="100" workbookViewId="0">
      <selection activeCell="A11" sqref="A11:F11"/>
    </sheetView>
  </sheetViews>
  <sheetFormatPr defaultRowHeight="14.45"/>
  <cols>
    <col min="4" max="4" width="15.28515625" customWidth="1"/>
    <col min="5" max="5" width="6.7109375" customWidth="1"/>
    <col min="7" max="7" width="13.5703125" bestFit="1" customWidth="1"/>
    <col min="8" max="8" width="16.42578125" customWidth="1"/>
    <col min="9" max="9" width="2.85546875" customWidth="1"/>
  </cols>
  <sheetData>
    <row r="1" spans="1:9" ht="21">
      <c r="A1" s="44" t="s">
        <v>0</v>
      </c>
      <c r="B1" s="45"/>
      <c r="C1" s="45"/>
      <c r="D1" s="45"/>
      <c r="E1" s="45"/>
      <c r="F1" s="45"/>
      <c r="G1" s="45"/>
      <c r="H1" s="45"/>
      <c r="I1" s="46"/>
    </row>
    <row r="2" spans="1:9">
      <c r="A2" s="47" t="s">
        <v>1</v>
      </c>
      <c r="B2" s="48"/>
      <c r="C2" s="48"/>
      <c r="D2" s="48"/>
      <c r="E2" s="48"/>
      <c r="F2" s="48"/>
      <c r="G2" s="48"/>
      <c r="H2" s="48"/>
      <c r="I2" s="49"/>
    </row>
    <row r="3" spans="1:9" ht="18.600000000000001" customHeight="1">
      <c r="A3" s="50" t="s">
        <v>2</v>
      </c>
      <c r="B3" s="51"/>
      <c r="C3" s="51"/>
      <c r="D3" s="51"/>
      <c r="E3" s="51"/>
      <c r="F3" s="51"/>
      <c r="G3" s="42" t="s">
        <v>3</v>
      </c>
      <c r="H3" s="33" t="s">
        <v>47</v>
      </c>
      <c r="I3" s="15"/>
    </row>
    <row r="4" spans="1:9" ht="15.6" customHeight="1">
      <c r="A4" s="50" t="s">
        <v>5</v>
      </c>
      <c r="B4" s="51"/>
      <c r="C4" s="51"/>
      <c r="D4" s="51"/>
      <c r="E4" s="51"/>
      <c r="F4" s="51"/>
      <c r="G4" s="43" t="s">
        <v>6</v>
      </c>
      <c r="H4" s="34">
        <v>44870</v>
      </c>
      <c r="I4" s="16"/>
    </row>
    <row r="5" spans="1:9">
      <c r="A5" s="52"/>
      <c r="B5" s="53"/>
      <c r="C5" s="53"/>
      <c r="D5" s="53"/>
      <c r="E5" s="53"/>
      <c r="F5" s="53"/>
      <c r="G5" s="53"/>
      <c r="H5" s="53"/>
      <c r="I5" s="54"/>
    </row>
    <row r="6" spans="1:9" ht="30">
      <c r="A6" s="55" t="s">
        <v>7</v>
      </c>
      <c r="B6" s="56"/>
      <c r="C6" s="56"/>
      <c r="D6" s="56"/>
      <c r="E6" s="56"/>
      <c r="F6" s="56"/>
      <c r="G6" s="56"/>
      <c r="H6" s="56"/>
      <c r="I6" s="57"/>
    </row>
    <row r="7" spans="1:9" ht="15">
      <c r="A7" s="58"/>
      <c r="B7" s="59"/>
      <c r="C7" s="59"/>
      <c r="D7" s="59"/>
      <c r="E7" s="59"/>
      <c r="F7" s="59"/>
      <c r="G7" s="59"/>
      <c r="H7" s="59"/>
      <c r="I7" s="60"/>
    </row>
    <row r="8" spans="1:9" ht="14.45" customHeight="1">
      <c r="A8" s="35" t="s">
        <v>35</v>
      </c>
      <c r="B8" s="31"/>
      <c r="C8" s="31"/>
      <c r="D8" s="112"/>
      <c r="E8" s="112"/>
      <c r="F8" s="31"/>
      <c r="G8" s="31"/>
      <c r="H8" s="31"/>
      <c r="I8" s="14"/>
    </row>
    <row r="9" spans="1:9" ht="15">
      <c r="A9" s="117" t="s">
        <v>36</v>
      </c>
      <c r="B9" s="118"/>
      <c r="C9" s="118"/>
      <c r="D9" s="118"/>
      <c r="E9" s="118"/>
      <c r="F9" s="118"/>
      <c r="G9" s="118"/>
      <c r="H9" s="118"/>
      <c r="I9" s="67"/>
    </row>
    <row r="10" spans="1:9" ht="15">
      <c r="A10" s="117" t="s">
        <v>37</v>
      </c>
      <c r="B10" s="118"/>
      <c r="C10" s="118"/>
      <c r="D10" s="118"/>
      <c r="E10" s="118"/>
      <c r="F10" s="118"/>
      <c r="G10" s="118"/>
      <c r="H10" s="118"/>
      <c r="I10" s="67"/>
    </row>
    <row r="11" spans="1:9" ht="15">
      <c r="A11" s="115"/>
      <c r="B11" s="116"/>
      <c r="C11" s="116"/>
      <c r="D11" s="116"/>
      <c r="E11" s="116"/>
      <c r="F11" s="116"/>
      <c r="G11" s="66"/>
      <c r="H11" s="66"/>
      <c r="I11" s="67"/>
    </row>
    <row r="12" spans="1:9" ht="15">
      <c r="A12" s="119"/>
      <c r="B12" s="120"/>
      <c r="C12" s="120"/>
      <c r="D12" s="120"/>
      <c r="E12" s="120"/>
      <c r="F12" s="120"/>
      <c r="G12" s="120"/>
      <c r="H12" s="120"/>
      <c r="I12" s="121"/>
    </row>
    <row r="13" spans="1:9" ht="27.6">
      <c r="A13" s="7" t="s">
        <v>11</v>
      </c>
      <c r="B13" s="68" t="s">
        <v>12</v>
      </c>
      <c r="C13" s="69"/>
      <c r="D13" s="69"/>
      <c r="E13" s="70"/>
      <c r="F13" s="9" t="s">
        <v>13</v>
      </c>
      <c r="G13" s="8" t="s">
        <v>14</v>
      </c>
      <c r="H13" s="71" t="s">
        <v>15</v>
      </c>
      <c r="I13" s="72"/>
    </row>
    <row r="14" spans="1:9">
      <c r="A14" s="3">
        <v>1</v>
      </c>
      <c r="B14" s="73" t="s">
        <v>48</v>
      </c>
      <c r="C14" s="74"/>
      <c r="D14" s="74"/>
      <c r="E14" s="75"/>
      <c r="F14" s="1">
        <v>50000</v>
      </c>
      <c r="G14" s="18">
        <v>108.5</v>
      </c>
      <c r="H14" s="76">
        <f>F14*G14</f>
        <v>5425000</v>
      </c>
      <c r="I14" s="77"/>
    </row>
    <row r="15" spans="1:9">
      <c r="A15" s="5"/>
      <c r="B15" s="19"/>
      <c r="C15" s="20"/>
      <c r="D15" s="20"/>
      <c r="E15" s="21"/>
      <c r="F15" s="6"/>
      <c r="G15" s="12"/>
      <c r="H15" s="22"/>
      <c r="I15" s="23"/>
    </row>
    <row r="16" spans="1:9">
      <c r="A16" s="3"/>
      <c r="B16" s="24"/>
      <c r="C16" s="25"/>
      <c r="D16" s="25"/>
      <c r="E16" s="26"/>
      <c r="F16" s="1"/>
      <c r="G16" s="11"/>
      <c r="H16" s="29"/>
      <c r="I16" s="30"/>
    </row>
    <row r="17" spans="1:9">
      <c r="A17" s="5"/>
      <c r="B17" s="19"/>
      <c r="C17" s="20"/>
      <c r="D17" s="20"/>
      <c r="E17" s="21"/>
      <c r="F17" s="6"/>
      <c r="G17" s="12"/>
      <c r="H17" s="22"/>
      <c r="I17" s="23"/>
    </row>
    <row r="18" spans="1:9">
      <c r="A18" s="3"/>
      <c r="B18" s="24"/>
      <c r="C18" s="25"/>
      <c r="D18" s="25"/>
      <c r="E18" s="26"/>
      <c r="F18" s="1"/>
      <c r="G18" s="11"/>
      <c r="H18" s="29"/>
      <c r="I18" s="30"/>
    </row>
    <row r="19" spans="1:9">
      <c r="A19" s="5"/>
      <c r="B19" s="19"/>
      <c r="C19" s="20"/>
      <c r="D19" s="20"/>
      <c r="E19" s="21"/>
      <c r="F19" s="6"/>
      <c r="G19" s="12"/>
      <c r="H19" s="22"/>
      <c r="I19" s="23"/>
    </row>
    <row r="20" spans="1:9">
      <c r="A20" s="3"/>
      <c r="B20" s="24"/>
      <c r="C20" s="25"/>
      <c r="D20" s="25"/>
      <c r="E20" s="26"/>
      <c r="F20" s="1"/>
      <c r="G20" s="11"/>
      <c r="H20" s="29"/>
      <c r="I20" s="30"/>
    </row>
    <row r="21" spans="1:9">
      <c r="A21" s="5"/>
      <c r="B21" s="19"/>
      <c r="C21" s="20"/>
      <c r="D21" s="20"/>
      <c r="E21" s="21"/>
      <c r="F21" s="6"/>
      <c r="G21" s="12"/>
      <c r="H21" s="22"/>
      <c r="I21" s="23"/>
    </row>
    <row r="22" spans="1:9">
      <c r="A22" s="3"/>
      <c r="B22" s="24"/>
      <c r="C22" s="25"/>
      <c r="D22" s="25"/>
      <c r="E22" s="26"/>
      <c r="F22" s="1"/>
      <c r="G22" s="11"/>
      <c r="H22" s="29"/>
      <c r="I22" s="30"/>
    </row>
    <row r="23" spans="1:9">
      <c r="A23" s="5"/>
      <c r="B23" s="19"/>
      <c r="C23" s="20"/>
      <c r="D23" s="20"/>
      <c r="E23" s="21"/>
      <c r="F23" s="6"/>
      <c r="G23" s="12"/>
      <c r="H23" s="22"/>
      <c r="I23" s="23"/>
    </row>
    <row r="24" spans="1:9">
      <c r="A24" s="3"/>
      <c r="B24" s="24"/>
      <c r="C24" s="25"/>
      <c r="D24" s="25"/>
      <c r="E24" s="26"/>
      <c r="F24" s="1"/>
      <c r="G24" s="11"/>
      <c r="H24" s="29"/>
      <c r="I24" s="30"/>
    </row>
    <row r="25" spans="1:9">
      <c r="A25" s="5"/>
      <c r="B25" s="19"/>
      <c r="C25" s="20"/>
      <c r="D25" s="20"/>
      <c r="E25" s="21"/>
      <c r="F25" s="6"/>
      <c r="G25" s="12"/>
      <c r="H25" s="22"/>
      <c r="I25" s="23"/>
    </row>
    <row r="26" spans="1:9">
      <c r="A26" s="3"/>
      <c r="B26" s="24"/>
      <c r="C26" s="25"/>
      <c r="D26" s="25"/>
      <c r="E26" s="26"/>
      <c r="F26" s="1"/>
      <c r="G26" s="11"/>
      <c r="H26" s="29"/>
      <c r="I26" s="30"/>
    </row>
    <row r="27" spans="1:9">
      <c r="A27" s="5"/>
      <c r="B27" s="19"/>
      <c r="C27" s="20"/>
      <c r="D27" s="20"/>
      <c r="E27" s="21"/>
      <c r="F27" s="6"/>
      <c r="G27" s="12"/>
      <c r="H27" s="22"/>
      <c r="I27" s="23"/>
    </row>
    <row r="28" spans="1:9">
      <c r="A28" s="4"/>
      <c r="B28" s="24"/>
      <c r="C28" s="25"/>
      <c r="D28" s="25"/>
      <c r="E28" s="26"/>
      <c r="F28" s="2"/>
      <c r="G28" s="11"/>
      <c r="H28" s="27"/>
      <c r="I28" s="28"/>
    </row>
    <row r="29" spans="1:9">
      <c r="A29" s="5"/>
      <c r="B29" s="19"/>
      <c r="C29" s="20"/>
      <c r="D29" s="20"/>
      <c r="E29" s="21"/>
      <c r="F29" s="6"/>
      <c r="G29" s="12"/>
      <c r="H29" s="22"/>
      <c r="I29" s="23"/>
    </row>
    <row r="30" spans="1:9">
      <c r="A30" s="3"/>
      <c r="B30" s="24"/>
      <c r="C30" s="25"/>
      <c r="D30" s="25"/>
      <c r="E30" s="26"/>
      <c r="F30" s="1"/>
      <c r="G30" s="11"/>
      <c r="H30" s="29"/>
      <c r="I30" s="30"/>
    </row>
    <row r="31" spans="1:9">
      <c r="A31" s="5"/>
      <c r="B31" s="19"/>
      <c r="C31" s="20"/>
      <c r="D31" s="20"/>
      <c r="E31" s="21"/>
      <c r="F31" s="6"/>
      <c r="G31" s="12"/>
      <c r="H31" s="22"/>
      <c r="I31" s="23"/>
    </row>
    <row r="32" spans="1:9">
      <c r="A32" s="3"/>
      <c r="B32" s="73"/>
      <c r="C32" s="74"/>
      <c r="D32" s="74"/>
      <c r="E32" s="75"/>
      <c r="F32" s="1"/>
      <c r="G32" s="11"/>
      <c r="H32" s="78"/>
      <c r="I32" s="79"/>
    </row>
    <row r="33" spans="1:9">
      <c r="A33" s="5"/>
      <c r="B33" s="19"/>
      <c r="C33" s="20"/>
      <c r="D33" s="20"/>
      <c r="E33" s="21"/>
      <c r="F33" s="6"/>
      <c r="G33" s="12"/>
      <c r="H33" s="22"/>
      <c r="I33" s="23"/>
    </row>
    <row r="34" spans="1:9" ht="21.6" thickBot="1">
      <c r="A34" s="80" t="s">
        <v>18</v>
      </c>
      <c r="B34" s="81"/>
      <c r="C34" s="81"/>
      <c r="D34" s="81"/>
      <c r="E34" s="81"/>
      <c r="F34" s="81"/>
      <c r="G34" s="82"/>
      <c r="H34" s="108">
        <f>H14-H22</f>
        <v>5425000</v>
      </c>
      <c r="I34" s="109"/>
    </row>
    <row r="35" spans="1:9">
      <c r="A35" s="99"/>
      <c r="B35" s="100"/>
      <c r="C35" s="100"/>
      <c r="D35" s="100"/>
      <c r="E35" s="100"/>
      <c r="F35" s="100"/>
      <c r="G35" s="100"/>
      <c r="H35" s="100"/>
      <c r="I35" s="101"/>
    </row>
    <row r="36" spans="1:9" ht="21">
      <c r="A36" s="13"/>
      <c r="B36" s="36"/>
      <c r="C36" s="36"/>
      <c r="D36" s="37"/>
      <c r="E36" s="102" t="s">
        <v>19</v>
      </c>
      <c r="F36" s="102"/>
      <c r="G36" s="102"/>
      <c r="H36" s="103">
        <f>H34</f>
        <v>5425000</v>
      </c>
      <c r="I36" s="104"/>
    </row>
    <row r="37" spans="1:9" ht="17.45">
      <c r="A37" s="13"/>
      <c r="B37" s="36"/>
      <c r="C37" s="36"/>
      <c r="D37" s="37"/>
      <c r="E37" s="105" t="s">
        <v>20</v>
      </c>
      <c r="F37" s="105"/>
      <c r="G37" s="105"/>
      <c r="H37" s="106">
        <v>821888</v>
      </c>
      <c r="I37" s="107"/>
    </row>
    <row r="38" spans="1:9">
      <c r="A38" s="13"/>
      <c r="B38" s="36"/>
      <c r="C38" s="36"/>
      <c r="D38" s="37"/>
      <c r="E38" s="89" t="s">
        <v>18</v>
      </c>
      <c r="F38" s="89"/>
      <c r="G38" s="89"/>
      <c r="H38" s="91">
        <f>H36+H37</f>
        <v>6246888</v>
      </c>
      <c r="I38" s="92"/>
    </row>
    <row r="39" spans="1:9" ht="15" thickBot="1">
      <c r="A39" s="95"/>
      <c r="B39" s="96"/>
      <c r="C39" s="96"/>
      <c r="D39" s="10"/>
      <c r="E39" s="90"/>
      <c r="F39" s="90"/>
      <c r="G39" s="90"/>
      <c r="H39" s="93"/>
      <c r="I39" s="94"/>
    </row>
    <row r="40" spans="1:9">
      <c r="A40" s="83" t="s">
        <v>21</v>
      </c>
      <c r="B40" s="84"/>
      <c r="C40" s="84"/>
      <c r="D40" s="84"/>
      <c r="E40" s="84"/>
      <c r="F40" s="84"/>
      <c r="G40" s="84"/>
      <c r="H40" s="84"/>
      <c r="I40" s="85"/>
    </row>
    <row r="41" spans="1:9" ht="15" thickBot="1">
      <c r="A41" s="86"/>
      <c r="B41" s="87"/>
      <c r="C41" s="87"/>
      <c r="D41" s="87"/>
      <c r="E41" s="87"/>
      <c r="F41" s="87"/>
      <c r="G41" s="87"/>
      <c r="H41" s="87"/>
      <c r="I41" s="88"/>
    </row>
    <row r="42" spans="1:9" ht="15" thickBot="1">
      <c r="A42" s="38"/>
      <c r="B42" s="39"/>
      <c r="C42" s="39"/>
      <c r="D42" s="39"/>
      <c r="E42" s="39"/>
      <c r="F42" s="39"/>
      <c r="G42" s="39"/>
      <c r="H42" s="39"/>
      <c r="I42" s="40"/>
    </row>
  </sheetData>
  <mergeCells count="30">
    <mergeCell ref="A10:I10"/>
    <mergeCell ref="A11:F11"/>
    <mergeCell ref="A9:I9"/>
    <mergeCell ref="A34:G34"/>
    <mergeCell ref="A40:I41"/>
    <mergeCell ref="E38:G39"/>
    <mergeCell ref="H38:I39"/>
    <mergeCell ref="A39:C39"/>
    <mergeCell ref="H34:I34"/>
    <mergeCell ref="A35:I35"/>
    <mergeCell ref="E36:G36"/>
    <mergeCell ref="H36:I36"/>
    <mergeCell ref="E37:G37"/>
    <mergeCell ref="H37:I37"/>
    <mergeCell ref="B32:E32"/>
    <mergeCell ref="H32:I32"/>
    <mergeCell ref="A7:I7"/>
    <mergeCell ref="G11:I11"/>
    <mergeCell ref="A12:I12"/>
    <mergeCell ref="B13:E13"/>
    <mergeCell ref="H13:I13"/>
    <mergeCell ref="B14:E14"/>
    <mergeCell ref="H14:I14"/>
    <mergeCell ref="D8:E8"/>
    <mergeCell ref="A6:I6"/>
    <mergeCell ref="A1:I1"/>
    <mergeCell ref="A2:I2"/>
    <mergeCell ref="A3:F3"/>
    <mergeCell ref="A4:F4"/>
    <mergeCell ref="A5:I5"/>
  </mergeCells>
  <pageMargins left="0.7" right="0.7" top="0.75" bottom="0.75" header="0.3" footer="0.3"/>
  <pageSetup paperSize="9" fitToHeight="0" orientation="portrait" horizontalDpi="300" verticalDpi="30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B252F-5DE0-4891-89E6-B219146ABE58}">
  <sheetPr>
    <pageSetUpPr fitToPage="1"/>
  </sheetPr>
  <dimension ref="A1:I42"/>
  <sheetViews>
    <sheetView showGridLines="0" zoomScaleNormal="100" workbookViewId="0">
      <selection activeCell="A9" sqref="A9:I9"/>
    </sheetView>
  </sheetViews>
  <sheetFormatPr defaultRowHeight="14.45"/>
  <cols>
    <col min="4" max="4" width="15.28515625" customWidth="1"/>
    <col min="5" max="5" width="6.7109375" customWidth="1"/>
    <col min="7" max="7" width="13.5703125" bestFit="1" customWidth="1"/>
    <col min="8" max="8" width="16.42578125" customWidth="1"/>
    <col min="9" max="9" width="2.85546875" customWidth="1"/>
  </cols>
  <sheetData>
    <row r="1" spans="1:9" ht="21">
      <c r="A1" s="44" t="s">
        <v>0</v>
      </c>
      <c r="B1" s="45"/>
      <c r="C1" s="45"/>
      <c r="D1" s="45"/>
      <c r="E1" s="45"/>
      <c r="F1" s="45"/>
      <c r="G1" s="45"/>
      <c r="H1" s="45"/>
      <c r="I1" s="46"/>
    </row>
    <row r="2" spans="1:9">
      <c r="A2" s="47" t="s">
        <v>1</v>
      </c>
      <c r="B2" s="48"/>
      <c r="C2" s="48"/>
      <c r="D2" s="48"/>
      <c r="E2" s="48"/>
      <c r="F2" s="48"/>
      <c r="G2" s="48"/>
      <c r="H2" s="48"/>
      <c r="I2" s="49"/>
    </row>
    <row r="3" spans="1:9" ht="18.600000000000001" customHeight="1">
      <c r="A3" s="50" t="s">
        <v>2</v>
      </c>
      <c r="B3" s="51"/>
      <c r="C3" s="51"/>
      <c r="D3" s="51"/>
      <c r="E3" s="51"/>
      <c r="F3" s="51"/>
      <c r="G3" s="42" t="s">
        <v>3</v>
      </c>
      <c r="H3" s="33" t="s">
        <v>49</v>
      </c>
      <c r="I3" s="15"/>
    </row>
    <row r="4" spans="1:9" ht="15.6" customHeight="1">
      <c r="A4" s="50" t="s">
        <v>5</v>
      </c>
      <c r="B4" s="51"/>
      <c r="C4" s="51"/>
      <c r="D4" s="51"/>
      <c r="E4" s="51"/>
      <c r="F4" s="51"/>
      <c r="G4" s="43" t="s">
        <v>6</v>
      </c>
      <c r="H4" s="34">
        <v>44690</v>
      </c>
      <c r="I4" s="16"/>
    </row>
    <row r="5" spans="1:9">
      <c r="A5" s="52"/>
      <c r="B5" s="53"/>
      <c r="C5" s="53"/>
      <c r="D5" s="53"/>
      <c r="E5" s="53"/>
      <c r="F5" s="53"/>
      <c r="G5" s="53"/>
      <c r="H5" s="53"/>
      <c r="I5" s="54"/>
    </row>
    <row r="6" spans="1:9" ht="30">
      <c r="A6" s="55" t="s">
        <v>7</v>
      </c>
      <c r="B6" s="56"/>
      <c r="C6" s="56"/>
      <c r="D6" s="56"/>
      <c r="E6" s="56"/>
      <c r="F6" s="56"/>
      <c r="G6" s="56"/>
      <c r="H6" s="56"/>
      <c r="I6" s="57"/>
    </row>
    <row r="7" spans="1:9" ht="15">
      <c r="A7" s="58"/>
      <c r="B7" s="59"/>
      <c r="C7" s="59"/>
      <c r="D7" s="59"/>
      <c r="E7" s="59"/>
      <c r="F7" s="59"/>
      <c r="G7" s="59"/>
      <c r="H7" s="59"/>
      <c r="I7" s="60"/>
    </row>
    <row r="8" spans="1:9" ht="14.45" customHeight="1">
      <c r="A8" s="35" t="s">
        <v>50</v>
      </c>
      <c r="B8" s="31"/>
      <c r="C8" s="31"/>
      <c r="D8" s="112"/>
      <c r="E8" s="112"/>
      <c r="F8" s="31"/>
      <c r="G8" s="31"/>
      <c r="H8" s="31"/>
      <c r="I8" s="14"/>
    </row>
    <row r="9" spans="1:9" ht="15">
      <c r="A9" s="117" t="s">
        <v>51</v>
      </c>
      <c r="B9" s="118"/>
      <c r="C9" s="118"/>
      <c r="D9" s="118"/>
      <c r="E9" s="118"/>
      <c r="F9" s="118"/>
      <c r="G9" s="118"/>
      <c r="H9" s="118"/>
      <c r="I9" s="67"/>
    </row>
    <row r="10" spans="1:9" ht="15">
      <c r="A10" s="117" t="s">
        <v>52</v>
      </c>
      <c r="B10" s="118"/>
      <c r="C10" s="118"/>
      <c r="D10" s="118"/>
      <c r="E10" s="118"/>
      <c r="F10" s="118"/>
      <c r="G10" s="118"/>
      <c r="H10" s="118"/>
      <c r="I10" s="67"/>
    </row>
    <row r="11" spans="1:9" ht="15">
      <c r="A11" s="115"/>
      <c r="B11" s="116"/>
      <c r="C11" s="116"/>
      <c r="D11" s="116"/>
      <c r="E11" s="116"/>
      <c r="F11" s="116"/>
      <c r="G11" s="66"/>
      <c r="H11" s="66"/>
      <c r="I11" s="67"/>
    </row>
    <row r="12" spans="1:9" ht="15">
      <c r="A12" s="119"/>
      <c r="B12" s="120"/>
      <c r="C12" s="120"/>
      <c r="D12" s="120"/>
      <c r="E12" s="120"/>
      <c r="F12" s="120"/>
      <c r="G12" s="120"/>
      <c r="H12" s="120"/>
      <c r="I12" s="121"/>
    </row>
    <row r="13" spans="1:9" ht="27.6">
      <c r="A13" s="7" t="s">
        <v>11</v>
      </c>
      <c r="B13" s="68" t="s">
        <v>12</v>
      </c>
      <c r="C13" s="69"/>
      <c r="D13" s="69"/>
      <c r="E13" s="70"/>
      <c r="F13" s="9" t="s">
        <v>13</v>
      </c>
      <c r="G13" s="8" t="s">
        <v>14</v>
      </c>
      <c r="H13" s="71" t="s">
        <v>15</v>
      </c>
      <c r="I13" s="72"/>
    </row>
    <row r="14" spans="1:9">
      <c r="A14" s="3">
        <v>1</v>
      </c>
      <c r="B14" s="73" t="s">
        <v>40</v>
      </c>
      <c r="C14" s="74"/>
      <c r="D14" s="74"/>
      <c r="E14" s="75"/>
      <c r="F14" s="1">
        <v>1500</v>
      </c>
      <c r="G14" s="18">
        <v>2044</v>
      </c>
      <c r="H14" s="76">
        <f>F14*G14</f>
        <v>3066000</v>
      </c>
      <c r="I14" s="77"/>
    </row>
    <row r="15" spans="1:9">
      <c r="A15" s="5">
        <v>2</v>
      </c>
      <c r="B15" s="61" t="s">
        <v>41</v>
      </c>
      <c r="C15" s="62"/>
      <c r="D15" s="62"/>
      <c r="E15" s="63"/>
      <c r="F15" s="6">
        <v>1500</v>
      </c>
      <c r="G15" s="17">
        <v>150</v>
      </c>
      <c r="H15" s="64">
        <f>+F15*G15</f>
        <v>225000</v>
      </c>
      <c r="I15" s="65"/>
    </row>
    <row r="16" spans="1:9">
      <c r="A16" s="3"/>
      <c r="B16" s="73"/>
      <c r="C16" s="74"/>
      <c r="D16" s="74"/>
      <c r="E16" s="75"/>
      <c r="F16" s="1"/>
      <c r="G16" s="11"/>
      <c r="H16" s="78"/>
      <c r="I16" s="79"/>
    </row>
    <row r="17" spans="1:9">
      <c r="A17" s="5"/>
      <c r="B17" s="61"/>
      <c r="C17" s="62"/>
      <c r="D17" s="62"/>
      <c r="E17" s="63"/>
      <c r="F17" s="6"/>
      <c r="G17" s="12"/>
      <c r="H17" s="64"/>
      <c r="I17" s="65"/>
    </row>
    <row r="18" spans="1:9">
      <c r="A18" s="3"/>
      <c r="B18" s="73"/>
      <c r="C18" s="74"/>
      <c r="D18" s="74"/>
      <c r="E18" s="75"/>
      <c r="F18" s="1"/>
      <c r="G18" s="11"/>
      <c r="H18" s="78"/>
      <c r="I18" s="79"/>
    </row>
    <row r="19" spans="1:9">
      <c r="A19" s="5"/>
      <c r="B19" s="61"/>
      <c r="C19" s="62"/>
      <c r="D19" s="62"/>
      <c r="E19" s="63"/>
      <c r="F19" s="6"/>
      <c r="G19" s="12"/>
      <c r="H19" s="64"/>
      <c r="I19" s="65"/>
    </row>
    <row r="20" spans="1:9">
      <c r="A20" s="3"/>
      <c r="B20" s="73"/>
      <c r="C20" s="74"/>
      <c r="D20" s="74"/>
      <c r="E20" s="75"/>
      <c r="F20" s="1"/>
      <c r="G20" s="11"/>
      <c r="H20" s="78"/>
      <c r="I20" s="79"/>
    </row>
    <row r="21" spans="1:9">
      <c r="A21" s="5"/>
      <c r="B21" s="61"/>
      <c r="C21" s="62"/>
      <c r="D21" s="62"/>
      <c r="E21" s="63"/>
      <c r="F21" s="6"/>
      <c r="G21" s="12"/>
      <c r="H21" s="64"/>
      <c r="I21" s="65"/>
    </row>
    <row r="22" spans="1:9">
      <c r="A22" s="3"/>
      <c r="B22" s="73"/>
      <c r="C22" s="74"/>
      <c r="D22" s="74"/>
      <c r="E22" s="75"/>
      <c r="F22" s="1"/>
      <c r="G22" s="11"/>
      <c r="H22" s="78"/>
      <c r="I22" s="79"/>
    </row>
    <row r="23" spans="1:9">
      <c r="A23" s="5"/>
      <c r="B23" s="61"/>
      <c r="C23" s="62"/>
      <c r="D23" s="62"/>
      <c r="E23" s="63"/>
      <c r="F23" s="6"/>
      <c r="G23" s="12"/>
      <c r="H23" s="64"/>
      <c r="I23" s="65"/>
    </row>
    <row r="24" spans="1:9">
      <c r="A24" s="3"/>
      <c r="B24" s="73"/>
      <c r="C24" s="74"/>
      <c r="D24" s="74"/>
      <c r="E24" s="75"/>
      <c r="F24" s="1"/>
      <c r="G24" s="11"/>
      <c r="H24" s="78"/>
      <c r="I24" s="79"/>
    </row>
    <row r="25" spans="1:9">
      <c r="A25" s="5"/>
      <c r="B25" s="61"/>
      <c r="C25" s="62"/>
      <c r="D25" s="62"/>
      <c r="E25" s="63"/>
      <c r="F25" s="6"/>
      <c r="G25" s="12"/>
      <c r="H25" s="64"/>
      <c r="I25" s="65"/>
    </row>
    <row r="26" spans="1:9">
      <c r="A26" s="3"/>
      <c r="B26" s="73"/>
      <c r="C26" s="74"/>
      <c r="D26" s="74"/>
      <c r="E26" s="75"/>
      <c r="F26" s="1"/>
      <c r="G26" s="11"/>
      <c r="H26" s="78"/>
      <c r="I26" s="79"/>
    </row>
    <row r="27" spans="1:9">
      <c r="A27" s="5"/>
      <c r="B27" s="61"/>
      <c r="C27" s="62"/>
      <c r="D27" s="62"/>
      <c r="E27" s="63"/>
      <c r="F27" s="6"/>
      <c r="G27" s="12"/>
      <c r="H27" s="64"/>
      <c r="I27" s="65"/>
    </row>
    <row r="28" spans="1:9">
      <c r="A28" s="3"/>
      <c r="B28" s="73"/>
      <c r="C28" s="74"/>
      <c r="D28" s="74"/>
      <c r="E28" s="75"/>
      <c r="F28" s="1"/>
      <c r="G28" s="11"/>
      <c r="H28" s="78"/>
      <c r="I28" s="79"/>
    </row>
    <row r="29" spans="1:9">
      <c r="A29" s="5"/>
      <c r="B29" s="61"/>
      <c r="C29" s="62"/>
      <c r="D29" s="62"/>
      <c r="E29" s="63"/>
      <c r="F29" s="6"/>
      <c r="G29" s="12"/>
      <c r="H29" s="64"/>
      <c r="I29" s="65"/>
    </row>
    <row r="30" spans="1:9">
      <c r="A30" s="3"/>
      <c r="B30" s="73"/>
      <c r="C30" s="74"/>
      <c r="D30" s="74"/>
      <c r="E30" s="75"/>
      <c r="F30" s="1"/>
      <c r="G30" s="11"/>
      <c r="H30" s="78"/>
      <c r="I30" s="79"/>
    </row>
    <row r="31" spans="1:9">
      <c r="A31" s="5"/>
      <c r="B31" s="19"/>
      <c r="C31" s="20"/>
      <c r="D31" s="20"/>
      <c r="E31" s="21"/>
      <c r="F31" s="6"/>
      <c r="G31" s="12"/>
      <c r="H31" s="22"/>
      <c r="I31" s="23"/>
    </row>
    <row r="32" spans="1:9">
      <c r="A32" s="4"/>
      <c r="B32" s="73"/>
      <c r="C32" s="74"/>
      <c r="D32" s="74"/>
      <c r="E32" s="75"/>
      <c r="F32" s="2"/>
      <c r="G32" s="11"/>
      <c r="H32" s="110"/>
      <c r="I32" s="111"/>
    </row>
    <row r="33" spans="1:9">
      <c r="A33" s="5"/>
      <c r="B33" s="61"/>
      <c r="C33" s="62"/>
      <c r="D33" s="62"/>
      <c r="E33" s="63"/>
      <c r="F33" s="6"/>
      <c r="G33" s="12"/>
      <c r="H33" s="64"/>
      <c r="I33" s="65"/>
    </row>
    <row r="34" spans="1:9" ht="21.6" thickBot="1">
      <c r="A34" s="80" t="s">
        <v>18</v>
      </c>
      <c r="B34" s="81"/>
      <c r="C34" s="81"/>
      <c r="D34" s="81"/>
      <c r="E34" s="81"/>
      <c r="F34" s="81"/>
      <c r="G34" s="82"/>
      <c r="H34" s="97">
        <f>H14+H15</f>
        <v>3291000</v>
      </c>
      <c r="I34" s="98"/>
    </row>
    <row r="35" spans="1:9">
      <c r="A35" s="99"/>
      <c r="B35" s="100"/>
      <c r="C35" s="100"/>
      <c r="D35" s="100"/>
      <c r="E35" s="100"/>
      <c r="F35" s="100"/>
      <c r="G35" s="100"/>
      <c r="H35" s="100"/>
      <c r="I35" s="101"/>
    </row>
    <row r="36" spans="1:9" ht="21">
      <c r="A36" s="13"/>
      <c r="B36" s="36"/>
      <c r="C36" s="36"/>
      <c r="D36" s="37"/>
      <c r="E36" s="102" t="s">
        <v>19</v>
      </c>
      <c r="F36" s="102"/>
      <c r="G36" s="102"/>
      <c r="H36" s="103">
        <f>H34</f>
        <v>3291000</v>
      </c>
      <c r="I36" s="104"/>
    </row>
    <row r="37" spans="1:9" ht="17.45">
      <c r="A37" s="13"/>
      <c r="B37" s="36"/>
      <c r="C37" s="36"/>
      <c r="D37" s="37"/>
      <c r="E37" s="105" t="s">
        <v>20</v>
      </c>
      <c r="F37" s="105"/>
      <c r="G37" s="105"/>
      <c r="H37" s="106">
        <v>419603</v>
      </c>
      <c r="I37" s="107"/>
    </row>
    <row r="38" spans="1:9">
      <c r="A38" s="13"/>
      <c r="B38" s="36"/>
      <c r="C38" s="36"/>
      <c r="D38" s="37"/>
      <c r="E38" s="89" t="s">
        <v>18</v>
      </c>
      <c r="F38" s="89"/>
      <c r="G38" s="89"/>
      <c r="H38" s="91">
        <f>H36+H37</f>
        <v>3710603</v>
      </c>
      <c r="I38" s="92"/>
    </row>
    <row r="39" spans="1:9" ht="15" thickBot="1">
      <c r="A39" s="95"/>
      <c r="B39" s="96"/>
      <c r="C39" s="96"/>
      <c r="D39" s="10"/>
      <c r="E39" s="90"/>
      <c r="F39" s="90"/>
      <c r="G39" s="90"/>
      <c r="H39" s="93"/>
      <c r="I39" s="94"/>
    </row>
    <row r="40" spans="1:9">
      <c r="A40" s="83" t="s">
        <v>21</v>
      </c>
      <c r="B40" s="84"/>
      <c r="C40" s="84"/>
      <c r="D40" s="84"/>
      <c r="E40" s="84"/>
      <c r="F40" s="84"/>
      <c r="G40" s="84"/>
      <c r="H40" s="84"/>
      <c r="I40" s="85"/>
    </row>
    <row r="41" spans="1:9" ht="15" thickBot="1">
      <c r="A41" s="86"/>
      <c r="B41" s="87"/>
      <c r="C41" s="87"/>
      <c r="D41" s="87"/>
      <c r="E41" s="87"/>
      <c r="F41" s="87"/>
      <c r="G41" s="87"/>
      <c r="H41" s="87"/>
      <c r="I41" s="88"/>
    </row>
    <row r="42" spans="1:9" ht="15" thickBot="1">
      <c r="A42" s="38"/>
      <c r="B42" s="39"/>
      <c r="C42" s="39"/>
      <c r="D42" s="39"/>
      <c r="E42" s="39"/>
      <c r="F42" s="39"/>
      <c r="G42" s="39"/>
      <c r="H42" s="39"/>
      <c r="I42" s="40"/>
    </row>
  </sheetData>
  <mergeCells count="64">
    <mergeCell ref="A9:I9"/>
    <mergeCell ref="A10:I10"/>
    <mergeCell ref="A11:F11"/>
    <mergeCell ref="B25:E25"/>
    <mergeCell ref="H25:I25"/>
    <mergeCell ref="B26:E26"/>
    <mergeCell ref="H26:I26"/>
    <mergeCell ref="B27:E27"/>
    <mergeCell ref="H27:I27"/>
    <mergeCell ref="B22:E22"/>
    <mergeCell ref="H22:I22"/>
    <mergeCell ref="B23:E23"/>
    <mergeCell ref="H23:I23"/>
    <mergeCell ref="B24:E24"/>
    <mergeCell ref="H24:I24"/>
    <mergeCell ref="B19:E19"/>
    <mergeCell ref="H19:I19"/>
    <mergeCell ref="B20:E20"/>
    <mergeCell ref="H20:I20"/>
    <mergeCell ref="B21:E21"/>
    <mergeCell ref="H21:I21"/>
    <mergeCell ref="B16:E16"/>
    <mergeCell ref="H16:I16"/>
    <mergeCell ref="B17:E17"/>
    <mergeCell ref="H17:I17"/>
    <mergeCell ref="B18:E18"/>
    <mergeCell ref="H18:I18"/>
    <mergeCell ref="A34:G34"/>
    <mergeCell ref="A40:I41"/>
    <mergeCell ref="E38:G39"/>
    <mergeCell ref="H38:I39"/>
    <mergeCell ref="A39:C39"/>
    <mergeCell ref="H34:I34"/>
    <mergeCell ref="A35:I35"/>
    <mergeCell ref="E36:G36"/>
    <mergeCell ref="H36:I36"/>
    <mergeCell ref="E37:G37"/>
    <mergeCell ref="H37:I37"/>
    <mergeCell ref="B32:E32"/>
    <mergeCell ref="H32:I32"/>
    <mergeCell ref="H33:I33"/>
    <mergeCell ref="B33:E33"/>
    <mergeCell ref="B28:E28"/>
    <mergeCell ref="H28:I28"/>
    <mergeCell ref="B29:E29"/>
    <mergeCell ref="H29:I29"/>
    <mergeCell ref="B30:E30"/>
    <mergeCell ref="H30:I30"/>
    <mergeCell ref="B15:E15"/>
    <mergeCell ref="H15:I15"/>
    <mergeCell ref="A7:I7"/>
    <mergeCell ref="G11:I11"/>
    <mergeCell ref="A12:I12"/>
    <mergeCell ref="B13:E13"/>
    <mergeCell ref="H13:I13"/>
    <mergeCell ref="B14:E14"/>
    <mergeCell ref="H14:I14"/>
    <mergeCell ref="D8:E8"/>
    <mergeCell ref="A6:I6"/>
    <mergeCell ref="A1:I1"/>
    <mergeCell ref="A2:I2"/>
    <mergeCell ref="A3:F3"/>
    <mergeCell ref="A4:F4"/>
    <mergeCell ref="A5:I5"/>
  </mergeCells>
  <pageMargins left="0.7" right="0.7" top="0.75" bottom="0.75" header="0.3" footer="0.3"/>
  <pageSetup paperSize="9" fitToHeight="0" orientation="portrait" horizontalDpi="300" verticalDpi="300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A4256-B7F7-4405-845F-A7D8B0D929D1}">
  <sheetPr>
    <pageSetUpPr fitToPage="1"/>
  </sheetPr>
  <dimension ref="A1:I42"/>
  <sheetViews>
    <sheetView showGridLines="0" zoomScaleNormal="100" workbookViewId="0">
      <selection activeCell="D8" sqref="D8:E8"/>
    </sheetView>
  </sheetViews>
  <sheetFormatPr defaultRowHeight="14.45"/>
  <cols>
    <col min="4" max="4" width="15.28515625" customWidth="1"/>
    <col min="5" max="5" width="6.7109375" customWidth="1"/>
    <col min="7" max="7" width="13.5703125" bestFit="1" customWidth="1"/>
    <col min="8" max="8" width="16.42578125" customWidth="1"/>
    <col min="9" max="9" width="2.85546875" customWidth="1"/>
  </cols>
  <sheetData>
    <row r="1" spans="1:9" ht="21">
      <c r="A1" s="44" t="s">
        <v>0</v>
      </c>
      <c r="B1" s="45"/>
      <c r="C1" s="45"/>
      <c r="D1" s="45"/>
      <c r="E1" s="45"/>
      <c r="F1" s="45"/>
      <c r="G1" s="45"/>
      <c r="H1" s="45"/>
      <c r="I1" s="46"/>
    </row>
    <row r="2" spans="1:9">
      <c r="A2" s="47" t="s">
        <v>1</v>
      </c>
      <c r="B2" s="48"/>
      <c r="C2" s="48"/>
      <c r="D2" s="48"/>
      <c r="E2" s="48"/>
      <c r="F2" s="48"/>
      <c r="G2" s="48"/>
      <c r="H2" s="48"/>
      <c r="I2" s="49"/>
    </row>
    <row r="3" spans="1:9" ht="18.600000000000001" customHeight="1">
      <c r="A3" s="50" t="s">
        <v>2</v>
      </c>
      <c r="B3" s="51"/>
      <c r="C3" s="51"/>
      <c r="D3" s="51"/>
      <c r="E3" s="51"/>
      <c r="F3" s="51"/>
      <c r="G3" s="42" t="s">
        <v>3</v>
      </c>
      <c r="H3" s="33" t="s">
        <v>53</v>
      </c>
      <c r="I3" s="15"/>
    </row>
    <row r="4" spans="1:9" ht="15.6" customHeight="1">
      <c r="A4" s="50" t="s">
        <v>5</v>
      </c>
      <c r="B4" s="51"/>
      <c r="C4" s="51"/>
      <c r="D4" s="51"/>
      <c r="E4" s="51"/>
      <c r="F4" s="51"/>
      <c r="G4" s="43" t="s">
        <v>6</v>
      </c>
      <c r="H4" s="34">
        <v>44905</v>
      </c>
      <c r="I4" s="16"/>
    </row>
    <row r="5" spans="1:9">
      <c r="A5" s="52"/>
      <c r="B5" s="53"/>
      <c r="C5" s="53"/>
      <c r="D5" s="53"/>
      <c r="E5" s="53"/>
      <c r="F5" s="53"/>
      <c r="G5" s="53"/>
      <c r="H5" s="53"/>
      <c r="I5" s="54"/>
    </row>
    <row r="6" spans="1:9" ht="30">
      <c r="A6" s="55" t="s">
        <v>7</v>
      </c>
      <c r="B6" s="56"/>
      <c r="C6" s="56"/>
      <c r="D6" s="56"/>
      <c r="E6" s="56"/>
      <c r="F6" s="56"/>
      <c r="G6" s="56"/>
      <c r="H6" s="56"/>
      <c r="I6" s="57"/>
    </row>
    <row r="7" spans="1:9" ht="15">
      <c r="A7" s="58"/>
      <c r="B7" s="59"/>
      <c r="C7" s="59"/>
      <c r="D7" s="59"/>
      <c r="E7" s="59"/>
      <c r="F7" s="59"/>
      <c r="G7" s="59"/>
      <c r="H7" s="59"/>
      <c r="I7" s="60"/>
    </row>
    <row r="8" spans="1:9" ht="14.45" customHeight="1">
      <c r="A8" s="35" t="s">
        <v>50</v>
      </c>
      <c r="B8" s="31"/>
      <c r="C8" s="31"/>
      <c r="D8" s="112"/>
      <c r="E8" s="112"/>
      <c r="F8" s="31"/>
      <c r="G8" s="31"/>
      <c r="H8" s="31"/>
      <c r="I8" s="14"/>
    </row>
    <row r="9" spans="1:9" ht="15">
      <c r="A9" s="117" t="s">
        <v>51</v>
      </c>
      <c r="B9" s="118"/>
      <c r="C9" s="118"/>
      <c r="D9" s="118"/>
      <c r="E9" s="118"/>
      <c r="F9" s="118"/>
      <c r="G9" s="118"/>
      <c r="H9" s="118"/>
      <c r="I9" s="67"/>
    </row>
    <row r="10" spans="1:9" ht="15">
      <c r="A10" s="117" t="s">
        <v>52</v>
      </c>
      <c r="B10" s="118"/>
      <c r="C10" s="118"/>
      <c r="D10" s="118"/>
      <c r="E10" s="118"/>
      <c r="F10" s="118"/>
      <c r="G10" s="118"/>
      <c r="H10" s="118"/>
      <c r="I10" s="67"/>
    </row>
    <row r="11" spans="1:9" ht="15">
      <c r="A11" s="115"/>
      <c r="B11" s="116"/>
      <c r="C11" s="116"/>
      <c r="D11" s="116"/>
      <c r="E11" s="116"/>
      <c r="F11" s="116"/>
      <c r="G11" s="66"/>
      <c r="H11" s="66"/>
      <c r="I11" s="67"/>
    </row>
    <row r="12" spans="1:9" ht="15">
      <c r="A12" s="119"/>
      <c r="B12" s="120"/>
      <c r="C12" s="120"/>
      <c r="D12" s="120"/>
      <c r="E12" s="120"/>
      <c r="F12" s="120"/>
      <c r="G12" s="120"/>
      <c r="H12" s="120"/>
      <c r="I12" s="121"/>
    </row>
    <row r="13" spans="1:9" ht="27.6">
      <c r="A13" s="7" t="s">
        <v>11</v>
      </c>
      <c r="B13" s="68" t="s">
        <v>12</v>
      </c>
      <c r="C13" s="69"/>
      <c r="D13" s="69"/>
      <c r="E13" s="70"/>
      <c r="F13" s="9" t="s">
        <v>13</v>
      </c>
      <c r="G13" s="8" t="s">
        <v>14</v>
      </c>
      <c r="H13" s="71" t="s">
        <v>15</v>
      </c>
      <c r="I13" s="72"/>
    </row>
    <row r="14" spans="1:9">
      <c r="A14" s="3">
        <v>1</v>
      </c>
      <c r="B14" s="73" t="s">
        <v>54</v>
      </c>
      <c r="C14" s="74"/>
      <c r="D14" s="74"/>
      <c r="E14" s="75"/>
      <c r="F14" s="1">
        <v>2000</v>
      </c>
      <c r="G14" s="18">
        <v>2000</v>
      </c>
      <c r="H14" s="76">
        <f>F14*G14</f>
        <v>4000000</v>
      </c>
      <c r="I14" s="77"/>
    </row>
    <row r="15" spans="1:9">
      <c r="A15" s="5">
        <v>2</v>
      </c>
      <c r="B15" s="61" t="s">
        <v>55</v>
      </c>
      <c r="C15" s="62"/>
      <c r="D15" s="62"/>
      <c r="E15" s="63"/>
      <c r="F15" s="6">
        <v>2000</v>
      </c>
      <c r="G15" s="17">
        <v>287</v>
      </c>
      <c r="H15" s="64">
        <f>F15*G15</f>
        <v>574000</v>
      </c>
      <c r="I15" s="65"/>
    </row>
    <row r="16" spans="1:9">
      <c r="A16" s="3"/>
      <c r="B16" s="73"/>
      <c r="C16" s="74"/>
      <c r="D16" s="74"/>
      <c r="E16" s="75"/>
      <c r="F16" s="1"/>
      <c r="G16" s="11"/>
      <c r="H16" s="78"/>
      <c r="I16" s="79"/>
    </row>
    <row r="17" spans="1:9">
      <c r="A17" s="5"/>
      <c r="B17" s="61"/>
      <c r="C17" s="62"/>
      <c r="D17" s="62"/>
      <c r="E17" s="63"/>
      <c r="F17" s="6"/>
      <c r="G17" s="12"/>
      <c r="H17" s="64"/>
      <c r="I17" s="65"/>
    </row>
    <row r="18" spans="1:9">
      <c r="A18" s="3"/>
      <c r="B18" s="73"/>
      <c r="C18" s="74"/>
      <c r="D18" s="74"/>
      <c r="E18" s="75"/>
      <c r="F18" s="1"/>
      <c r="G18" s="11"/>
      <c r="H18" s="78"/>
      <c r="I18" s="79"/>
    </row>
    <row r="19" spans="1:9">
      <c r="A19" s="5"/>
      <c r="B19" s="61"/>
      <c r="C19" s="62"/>
      <c r="D19" s="62"/>
      <c r="E19" s="63"/>
      <c r="F19" s="6"/>
      <c r="G19" s="12"/>
      <c r="H19" s="64"/>
      <c r="I19" s="65"/>
    </row>
    <row r="20" spans="1:9">
      <c r="A20" s="3"/>
      <c r="B20" s="73"/>
      <c r="C20" s="74"/>
      <c r="D20" s="74"/>
      <c r="E20" s="75"/>
      <c r="F20" s="1"/>
      <c r="G20" s="11"/>
      <c r="H20" s="78"/>
      <c r="I20" s="79"/>
    </row>
    <row r="21" spans="1:9">
      <c r="A21" s="5"/>
      <c r="B21" s="61"/>
      <c r="C21" s="62"/>
      <c r="D21" s="62"/>
      <c r="E21" s="63"/>
      <c r="F21" s="6"/>
      <c r="G21" s="12"/>
      <c r="H21" s="64"/>
      <c r="I21" s="65"/>
    </row>
    <row r="22" spans="1:9">
      <c r="A22" s="3"/>
      <c r="B22" s="73"/>
      <c r="C22" s="74"/>
      <c r="D22" s="74"/>
      <c r="E22" s="75"/>
      <c r="F22" s="1"/>
      <c r="G22" s="11"/>
      <c r="H22" s="78"/>
      <c r="I22" s="79"/>
    </row>
    <row r="23" spans="1:9">
      <c r="A23" s="5"/>
      <c r="B23" s="61"/>
      <c r="C23" s="62"/>
      <c r="D23" s="62"/>
      <c r="E23" s="63"/>
      <c r="F23" s="6"/>
      <c r="G23" s="12"/>
      <c r="H23" s="64"/>
      <c r="I23" s="65"/>
    </row>
    <row r="24" spans="1:9">
      <c r="A24" s="3"/>
      <c r="B24" s="73"/>
      <c r="C24" s="74"/>
      <c r="D24" s="74"/>
      <c r="E24" s="75"/>
      <c r="F24" s="1"/>
      <c r="G24" s="11"/>
      <c r="H24" s="78"/>
      <c r="I24" s="79"/>
    </row>
    <row r="25" spans="1:9">
      <c r="A25" s="5"/>
      <c r="B25" s="61"/>
      <c r="C25" s="62"/>
      <c r="D25" s="62"/>
      <c r="E25" s="63"/>
      <c r="F25" s="6"/>
      <c r="G25" s="12"/>
      <c r="H25" s="64"/>
      <c r="I25" s="65"/>
    </row>
    <row r="26" spans="1:9">
      <c r="A26" s="3"/>
      <c r="B26" s="73"/>
      <c r="C26" s="74"/>
      <c r="D26" s="74"/>
      <c r="E26" s="75"/>
      <c r="F26" s="1"/>
      <c r="G26" s="11"/>
      <c r="H26" s="78"/>
      <c r="I26" s="79"/>
    </row>
    <row r="27" spans="1:9">
      <c r="A27" s="5"/>
      <c r="B27" s="61"/>
      <c r="C27" s="62"/>
      <c r="D27" s="62"/>
      <c r="E27" s="63"/>
      <c r="F27" s="6"/>
      <c r="G27" s="12"/>
      <c r="H27" s="64"/>
      <c r="I27" s="65"/>
    </row>
    <row r="28" spans="1:9">
      <c r="A28" s="3"/>
      <c r="B28" s="73"/>
      <c r="C28" s="74"/>
      <c r="D28" s="74"/>
      <c r="E28" s="75"/>
      <c r="F28" s="1"/>
      <c r="G28" s="11"/>
      <c r="H28" s="78"/>
      <c r="I28" s="79"/>
    </row>
    <row r="29" spans="1:9">
      <c r="A29" s="5"/>
      <c r="B29" s="61"/>
      <c r="C29" s="62"/>
      <c r="D29" s="62"/>
      <c r="E29" s="63"/>
      <c r="F29" s="6"/>
      <c r="G29" s="12"/>
      <c r="H29" s="64"/>
      <c r="I29" s="65"/>
    </row>
    <row r="30" spans="1:9">
      <c r="A30" s="3"/>
      <c r="B30" s="73"/>
      <c r="C30" s="74"/>
      <c r="D30" s="74"/>
      <c r="E30" s="75"/>
      <c r="F30" s="1"/>
      <c r="G30" s="11"/>
      <c r="H30" s="78"/>
      <c r="I30" s="79"/>
    </row>
    <row r="31" spans="1:9">
      <c r="A31" s="5"/>
      <c r="B31" s="19"/>
      <c r="C31" s="20"/>
      <c r="D31" s="20"/>
      <c r="E31" s="21"/>
      <c r="F31" s="6"/>
      <c r="G31" s="12"/>
      <c r="H31" s="22"/>
      <c r="I31" s="23"/>
    </row>
    <row r="32" spans="1:9">
      <c r="A32" s="4"/>
      <c r="B32" s="73"/>
      <c r="C32" s="74"/>
      <c r="D32" s="74"/>
      <c r="E32" s="75"/>
      <c r="F32" s="2"/>
      <c r="G32" s="11"/>
      <c r="H32" s="110"/>
      <c r="I32" s="111"/>
    </row>
    <row r="33" spans="1:9">
      <c r="A33" s="5"/>
      <c r="B33" s="61"/>
      <c r="C33" s="62"/>
      <c r="D33" s="62"/>
      <c r="E33" s="63"/>
      <c r="F33" s="6"/>
      <c r="G33" s="12"/>
      <c r="H33" s="64"/>
      <c r="I33" s="65"/>
    </row>
    <row r="34" spans="1:9" ht="21.6" thickBot="1">
      <c r="A34" s="80" t="s">
        <v>18</v>
      </c>
      <c r="B34" s="81"/>
      <c r="C34" s="81"/>
      <c r="D34" s="81"/>
      <c r="E34" s="81"/>
      <c r="F34" s="81"/>
      <c r="G34" s="82"/>
      <c r="H34" s="97">
        <f>H14+H15</f>
        <v>4574000</v>
      </c>
      <c r="I34" s="98"/>
    </row>
    <row r="35" spans="1:9">
      <c r="A35" s="99"/>
      <c r="B35" s="100"/>
      <c r="C35" s="100"/>
      <c r="D35" s="100"/>
      <c r="E35" s="100"/>
      <c r="F35" s="100"/>
      <c r="G35" s="100"/>
      <c r="H35" s="100"/>
      <c r="I35" s="101"/>
    </row>
    <row r="36" spans="1:9" ht="21">
      <c r="A36" s="13"/>
      <c r="B36" s="36"/>
      <c r="C36" s="36"/>
      <c r="D36" s="37"/>
      <c r="E36" s="102" t="s">
        <v>19</v>
      </c>
      <c r="F36" s="102"/>
      <c r="G36" s="102"/>
      <c r="H36" s="103">
        <f>H34</f>
        <v>4574000</v>
      </c>
      <c r="I36" s="104"/>
    </row>
    <row r="37" spans="1:9" ht="17.45">
      <c r="A37" s="13"/>
      <c r="B37" s="36"/>
      <c r="C37" s="36"/>
      <c r="D37" s="37"/>
      <c r="E37" s="105" t="s">
        <v>20</v>
      </c>
      <c r="F37" s="105"/>
      <c r="G37" s="105"/>
      <c r="H37" s="106">
        <v>583185</v>
      </c>
      <c r="I37" s="107"/>
    </row>
    <row r="38" spans="1:9">
      <c r="A38" s="13"/>
      <c r="B38" s="36"/>
      <c r="C38" s="36"/>
      <c r="D38" s="37"/>
      <c r="E38" s="89" t="s">
        <v>18</v>
      </c>
      <c r="F38" s="89"/>
      <c r="G38" s="89"/>
      <c r="H38" s="91">
        <f>H36+H37</f>
        <v>5157185</v>
      </c>
      <c r="I38" s="92"/>
    </row>
    <row r="39" spans="1:9" ht="15" thickBot="1">
      <c r="A39" s="95"/>
      <c r="B39" s="96"/>
      <c r="C39" s="96"/>
      <c r="D39" s="10"/>
      <c r="E39" s="90"/>
      <c r="F39" s="90"/>
      <c r="G39" s="90"/>
      <c r="H39" s="93"/>
      <c r="I39" s="94"/>
    </row>
    <row r="40" spans="1:9">
      <c r="A40" s="83" t="s">
        <v>21</v>
      </c>
      <c r="B40" s="84"/>
      <c r="C40" s="84"/>
      <c r="D40" s="84"/>
      <c r="E40" s="84"/>
      <c r="F40" s="84"/>
      <c r="G40" s="84"/>
      <c r="H40" s="84"/>
      <c r="I40" s="85"/>
    </row>
    <row r="41" spans="1:9" ht="15" thickBot="1">
      <c r="A41" s="86"/>
      <c r="B41" s="87"/>
      <c r="C41" s="87"/>
      <c r="D41" s="87"/>
      <c r="E41" s="87"/>
      <c r="F41" s="87"/>
      <c r="G41" s="87"/>
      <c r="H41" s="87"/>
      <c r="I41" s="88"/>
    </row>
    <row r="42" spans="1:9" ht="15" thickBot="1">
      <c r="A42" s="38"/>
      <c r="B42" s="39"/>
      <c r="C42" s="39"/>
      <c r="D42" s="39"/>
      <c r="E42" s="39"/>
      <c r="F42" s="39"/>
      <c r="G42" s="39"/>
      <c r="H42" s="39"/>
      <c r="I42" s="40"/>
    </row>
  </sheetData>
  <mergeCells count="64">
    <mergeCell ref="A9:I9"/>
    <mergeCell ref="A10:I10"/>
    <mergeCell ref="A11:F11"/>
    <mergeCell ref="B25:E25"/>
    <mergeCell ref="H25:I25"/>
    <mergeCell ref="B26:E26"/>
    <mergeCell ref="H26:I26"/>
    <mergeCell ref="B27:E27"/>
    <mergeCell ref="H27:I27"/>
    <mergeCell ref="B22:E22"/>
    <mergeCell ref="H22:I22"/>
    <mergeCell ref="B23:E23"/>
    <mergeCell ref="H23:I23"/>
    <mergeCell ref="B24:E24"/>
    <mergeCell ref="H24:I24"/>
    <mergeCell ref="B19:E19"/>
    <mergeCell ref="H19:I19"/>
    <mergeCell ref="B20:E20"/>
    <mergeCell ref="H20:I20"/>
    <mergeCell ref="B21:E21"/>
    <mergeCell ref="H21:I21"/>
    <mergeCell ref="B16:E16"/>
    <mergeCell ref="H16:I16"/>
    <mergeCell ref="B17:E17"/>
    <mergeCell ref="H17:I17"/>
    <mergeCell ref="B18:E18"/>
    <mergeCell ref="H18:I18"/>
    <mergeCell ref="A34:G34"/>
    <mergeCell ref="A40:I41"/>
    <mergeCell ref="E38:G39"/>
    <mergeCell ref="H38:I39"/>
    <mergeCell ref="A39:C39"/>
    <mergeCell ref="H34:I34"/>
    <mergeCell ref="A35:I35"/>
    <mergeCell ref="E36:G36"/>
    <mergeCell ref="H36:I36"/>
    <mergeCell ref="E37:G37"/>
    <mergeCell ref="H37:I37"/>
    <mergeCell ref="B32:E32"/>
    <mergeCell ref="H32:I32"/>
    <mergeCell ref="H33:I33"/>
    <mergeCell ref="B33:E33"/>
    <mergeCell ref="B28:E28"/>
    <mergeCell ref="H28:I28"/>
    <mergeCell ref="B29:E29"/>
    <mergeCell ref="H29:I29"/>
    <mergeCell ref="B30:E30"/>
    <mergeCell ref="H30:I30"/>
    <mergeCell ref="B15:E15"/>
    <mergeCell ref="H15:I15"/>
    <mergeCell ref="A7:I7"/>
    <mergeCell ref="G11:I11"/>
    <mergeCell ref="A12:I12"/>
    <mergeCell ref="B13:E13"/>
    <mergeCell ref="H13:I13"/>
    <mergeCell ref="B14:E14"/>
    <mergeCell ref="H14:I14"/>
    <mergeCell ref="D8:E8"/>
    <mergeCell ref="A6:I6"/>
    <mergeCell ref="A1:I1"/>
    <mergeCell ref="A2:I2"/>
    <mergeCell ref="A3:F3"/>
    <mergeCell ref="A4:F4"/>
    <mergeCell ref="A5:I5"/>
  </mergeCells>
  <pageMargins left="0.7" right="0.7" top="0.75" bottom="0.75" header="0.3" footer="0.3"/>
  <pageSetup paperSize="9" fitToHeight="0" orientation="portrait" horizontalDpi="300" verticalDpi="300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AB1CE-183E-4455-A8A5-238092BCCCBA}">
  <sheetPr>
    <pageSetUpPr fitToPage="1"/>
  </sheetPr>
  <dimension ref="A1:I42"/>
  <sheetViews>
    <sheetView showGridLines="0" zoomScaleNormal="100" workbookViewId="0">
      <selection activeCell="A10" sqref="A10:I10"/>
    </sheetView>
  </sheetViews>
  <sheetFormatPr defaultRowHeight="14.45"/>
  <cols>
    <col min="4" max="4" width="15.28515625" customWidth="1"/>
    <col min="5" max="5" width="6.7109375" customWidth="1"/>
    <col min="7" max="7" width="13.5703125" bestFit="1" customWidth="1"/>
    <col min="8" max="8" width="16.42578125" customWidth="1"/>
    <col min="9" max="9" width="2.85546875" customWidth="1"/>
  </cols>
  <sheetData>
    <row r="1" spans="1:9" ht="21">
      <c r="A1" s="44" t="s">
        <v>0</v>
      </c>
      <c r="B1" s="45"/>
      <c r="C1" s="45"/>
      <c r="D1" s="45"/>
      <c r="E1" s="45"/>
      <c r="F1" s="45"/>
      <c r="G1" s="45"/>
      <c r="H1" s="45"/>
      <c r="I1" s="46"/>
    </row>
    <row r="2" spans="1:9">
      <c r="A2" s="47" t="s">
        <v>1</v>
      </c>
      <c r="B2" s="48"/>
      <c r="C2" s="48"/>
      <c r="D2" s="48"/>
      <c r="E2" s="48"/>
      <c r="F2" s="48"/>
      <c r="G2" s="48"/>
      <c r="H2" s="48"/>
      <c r="I2" s="49"/>
    </row>
    <row r="3" spans="1:9" ht="18.600000000000001" customHeight="1">
      <c r="A3" s="50" t="s">
        <v>2</v>
      </c>
      <c r="B3" s="51"/>
      <c r="C3" s="51"/>
      <c r="D3" s="51"/>
      <c r="E3" s="51"/>
      <c r="F3" s="51"/>
      <c r="G3" s="42" t="s">
        <v>3</v>
      </c>
      <c r="H3" s="33" t="s">
        <v>56</v>
      </c>
      <c r="I3" s="15"/>
    </row>
    <row r="4" spans="1:9" ht="15.6" customHeight="1">
      <c r="A4" s="50" t="s">
        <v>5</v>
      </c>
      <c r="B4" s="51"/>
      <c r="C4" s="51"/>
      <c r="D4" s="51"/>
      <c r="E4" s="51"/>
      <c r="F4" s="51"/>
      <c r="G4" s="43" t="s">
        <v>6</v>
      </c>
      <c r="H4" s="34">
        <v>44863</v>
      </c>
      <c r="I4" s="16"/>
    </row>
    <row r="5" spans="1:9">
      <c r="A5" s="52"/>
      <c r="B5" s="53"/>
      <c r="C5" s="53"/>
      <c r="D5" s="53"/>
      <c r="E5" s="53"/>
      <c r="F5" s="53"/>
      <c r="G5" s="53"/>
      <c r="H5" s="53"/>
      <c r="I5" s="54"/>
    </row>
    <row r="6" spans="1:9" ht="30">
      <c r="A6" s="55" t="s">
        <v>7</v>
      </c>
      <c r="B6" s="56"/>
      <c r="C6" s="56"/>
      <c r="D6" s="56"/>
      <c r="E6" s="56"/>
      <c r="F6" s="56"/>
      <c r="G6" s="56"/>
      <c r="H6" s="56"/>
      <c r="I6" s="57"/>
    </row>
    <row r="7" spans="1:9" ht="15">
      <c r="A7" s="58"/>
      <c r="B7" s="59"/>
      <c r="C7" s="59"/>
      <c r="D7" s="59"/>
      <c r="E7" s="59"/>
      <c r="F7" s="59"/>
      <c r="G7" s="59"/>
      <c r="H7" s="59"/>
      <c r="I7" s="60"/>
    </row>
    <row r="8" spans="1:9" ht="14.45" customHeight="1">
      <c r="A8" s="35" t="s">
        <v>50</v>
      </c>
      <c r="B8" s="31"/>
      <c r="C8" s="31"/>
      <c r="D8" s="112"/>
      <c r="E8" s="112"/>
      <c r="F8" s="31"/>
      <c r="G8" s="31"/>
      <c r="H8" s="31"/>
      <c r="I8" s="14"/>
    </row>
    <row r="9" spans="1:9" ht="15">
      <c r="A9" s="117" t="s">
        <v>51</v>
      </c>
      <c r="B9" s="118"/>
      <c r="C9" s="118"/>
      <c r="D9" s="118"/>
      <c r="E9" s="118"/>
      <c r="F9" s="118"/>
      <c r="G9" s="118"/>
      <c r="H9" s="118"/>
      <c r="I9" s="67"/>
    </row>
    <row r="10" spans="1:9" ht="15">
      <c r="A10" s="117" t="s">
        <v>52</v>
      </c>
      <c r="B10" s="118"/>
      <c r="C10" s="118"/>
      <c r="D10" s="118"/>
      <c r="E10" s="118"/>
      <c r="F10" s="118"/>
      <c r="G10" s="118"/>
      <c r="H10" s="118"/>
      <c r="I10" s="67"/>
    </row>
    <row r="11" spans="1:9" ht="15">
      <c r="A11" s="115"/>
      <c r="B11" s="116"/>
      <c r="C11" s="116"/>
      <c r="D11" s="116"/>
      <c r="E11" s="116"/>
      <c r="F11" s="116"/>
      <c r="G11" s="66"/>
      <c r="H11" s="66"/>
      <c r="I11" s="67"/>
    </row>
    <row r="12" spans="1:9" ht="15">
      <c r="A12" s="119"/>
      <c r="B12" s="120"/>
      <c r="C12" s="120"/>
      <c r="D12" s="120"/>
      <c r="E12" s="120"/>
      <c r="F12" s="120"/>
      <c r="G12" s="120"/>
      <c r="H12" s="120"/>
      <c r="I12" s="121"/>
    </row>
    <row r="13" spans="1:9" ht="27.6">
      <c r="A13" s="7" t="s">
        <v>11</v>
      </c>
      <c r="B13" s="68" t="s">
        <v>12</v>
      </c>
      <c r="C13" s="69"/>
      <c r="D13" s="69"/>
      <c r="E13" s="70"/>
      <c r="F13" s="9" t="s">
        <v>13</v>
      </c>
      <c r="G13" s="8" t="s">
        <v>14</v>
      </c>
      <c r="H13" s="71" t="s">
        <v>15</v>
      </c>
      <c r="I13" s="72"/>
    </row>
    <row r="14" spans="1:9">
      <c r="A14" s="3">
        <v>1</v>
      </c>
      <c r="B14" s="73" t="s">
        <v>57</v>
      </c>
      <c r="C14" s="74"/>
      <c r="D14" s="74"/>
      <c r="E14" s="75"/>
      <c r="F14" s="1">
        <v>1000</v>
      </c>
      <c r="G14" s="18">
        <v>2135</v>
      </c>
      <c r="H14" s="76">
        <f>F14*G14</f>
        <v>2135000</v>
      </c>
      <c r="I14" s="77"/>
    </row>
    <row r="15" spans="1:9">
      <c r="A15" s="5"/>
      <c r="B15" s="19"/>
      <c r="C15" s="20"/>
      <c r="D15" s="20"/>
      <c r="E15" s="21"/>
      <c r="F15" s="6"/>
      <c r="G15" s="12"/>
      <c r="H15" s="22"/>
      <c r="I15" s="23"/>
    </row>
    <row r="16" spans="1:9">
      <c r="A16" s="3"/>
      <c r="B16" s="24"/>
      <c r="C16" s="25"/>
      <c r="D16" s="25"/>
      <c r="E16" s="26"/>
      <c r="F16" s="1"/>
      <c r="G16" s="11"/>
      <c r="H16" s="29"/>
      <c r="I16" s="30"/>
    </row>
    <row r="17" spans="1:9">
      <c r="A17" s="5"/>
      <c r="B17" s="19"/>
      <c r="C17" s="20"/>
      <c r="D17" s="20"/>
      <c r="E17" s="21"/>
      <c r="F17" s="6"/>
      <c r="G17" s="12"/>
      <c r="H17" s="22"/>
      <c r="I17" s="23"/>
    </row>
    <row r="18" spans="1:9">
      <c r="A18" s="3"/>
      <c r="B18" s="24"/>
      <c r="C18" s="25"/>
      <c r="D18" s="25"/>
      <c r="E18" s="26"/>
      <c r="F18" s="1"/>
      <c r="G18" s="11"/>
      <c r="H18" s="29"/>
      <c r="I18" s="30"/>
    </row>
    <row r="19" spans="1:9">
      <c r="A19" s="5"/>
      <c r="B19" s="19"/>
      <c r="C19" s="20"/>
      <c r="D19" s="20"/>
      <c r="E19" s="21"/>
      <c r="F19" s="6"/>
      <c r="G19" s="12"/>
      <c r="H19" s="22"/>
      <c r="I19" s="23"/>
    </row>
    <row r="20" spans="1:9">
      <c r="A20" s="3"/>
      <c r="B20" s="24"/>
      <c r="C20" s="25"/>
      <c r="D20" s="25"/>
      <c r="E20" s="26"/>
      <c r="F20" s="1"/>
      <c r="G20" s="11"/>
      <c r="H20" s="29"/>
      <c r="I20" s="30"/>
    </row>
    <row r="21" spans="1:9">
      <c r="A21" s="5"/>
      <c r="B21" s="19"/>
      <c r="C21" s="20"/>
      <c r="D21" s="20"/>
      <c r="E21" s="21"/>
      <c r="F21" s="6"/>
      <c r="G21" s="12"/>
      <c r="H21" s="22"/>
      <c r="I21" s="23"/>
    </row>
    <row r="22" spans="1:9">
      <c r="A22" s="3"/>
      <c r="B22" s="24"/>
      <c r="C22" s="25"/>
      <c r="D22" s="25"/>
      <c r="E22" s="26"/>
      <c r="F22" s="1"/>
      <c r="G22" s="11"/>
      <c r="H22" s="29"/>
      <c r="I22" s="30"/>
    </row>
    <row r="23" spans="1:9">
      <c r="A23" s="5"/>
      <c r="B23" s="19"/>
      <c r="C23" s="20"/>
      <c r="D23" s="20"/>
      <c r="E23" s="21"/>
      <c r="F23" s="6"/>
      <c r="G23" s="12"/>
      <c r="H23" s="22"/>
      <c r="I23" s="23"/>
    </row>
    <row r="24" spans="1:9">
      <c r="A24" s="3"/>
      <c r="B24" s="24"/>
      <c r="C24" s="25"/>
      <c r="D24" s="25"/>
      <c r="E24" s="26"/>
      <c r="F24" s="1"/>
      <c r="G24" s="11"/>
      <c r="H24" s="29"/>
      <c r="I24" s="30"/>
    </row>
    <row r="25" spans="1:9">
      <c r="A25" s="5"/>
      <c r="B25" s="19"/>
      <c r="C25" s="20"/>
      <c r="D25" s="20"/>
      <c r="E25" s="21"/>
      <c r="F25" s="6"/>
      <c r="G25" s="12"/>
      <c r="H25" s="22"/>
      <c r="I25" s="23"/>
    </row>
    <row r="26" spans="1:9">
      <c r="A26" s="3"/>
      <c r="B26" s="24"/>
      <c r="C26" s="25"/>
      <c r="D26" s="25"/>
      <c r="E26" s="26"/>
      <c r="F26" s="1"/>
      <c r="G26" s="11"/>
      <c r="H26" s="29"/>
      <c r="I26" s="30"/>
    </row>
    <row r="27" spans="1:9">
      <c r="A27" s="5"/>
      <c r="B27" s="19"/>
      <c r="C27" s="20"/>
      <c r="D27" s="20"/>
      <c r="E27" s="21"/>
      <c r="F27" s="6"/>
      <c r="G27" s="12"/>
      <c r="H27" s="22"/>
      <c r="I27" s="23"/>
    </row>
    <row r="28" spans="1:9">
      <c r="A28" s="3"/>
      <c r="B28" s="24"/>
      <c r="C28" s="25"/>
      <c r="D28" s="25"/>
      <c r="E28" s="26"/>
      <c r="F28" s="1"/>
      <c r="G28" s="11"/>
      <c r="H28" s="29"/>
      <c r="I28" s="30"/>
    </row>
    <row r="29" spans="1:9">
      <c r="A29" s="5"/>
      <c r="B29" s="19"/>
      <c r="C29" s="20"/>
      <c r="D29" s="20"/>
      <c r="E29" s="21"/>
      <c r="F29" s="6"/>
      <c r="G29" s="12"/>
      <c r="H29" s="22"/>
      <c r="I29" s="23"/>
    </row>
    <row r="30" spans="1:9">
      <c r="A30" s="4"/>
      <c r="B30" s="24"/>
      <c r="C30" s="25"/>
      <c r="D30" s="25"/>
      <c r="E30" s="26"/>
      <c r="F30" s="2"/>
      <c r="G30" s="11"/>
      <c r="H30" s="27"/>
      <c r="I30" s="28"/>
    </row>
    <row r="31" spans="1:9">
      <c r="A31" s="5"/>
      <c r="B31" s="61"/>
      <c r="C31" s="62"/>
      <c r="D31" s="62"/>
      <c r="E31" s="63"/>
      <c r="F31" s="6"/>
      <c r="G31" s="12"/>
      <c r="H31" s="64"/>
      <c r="I31" s="65"/>
    </row>
    <row r="32" spans="1:9">
      <c r="A32" s="4"/>
      <c r="B32" s="24"/>
      <c r="C32" s="25"/>
      <c r="D32" s="25"/>
      <c r="E32" s="26"/>
      <c r="F32" s="2"/>
      <c r="G32" s="11"/>
      <c r="H32" s="27"/>
      <c r="I32" s="28"/>
    </row>
    <row r="33" spans="1:9">
      <c r="A33" s="5"/>
      <c r="B33" s="61"/>
      <c r="C33" s="62"/>
      <c r="D33" s="62"/>
      <c r="E33" s="63"/>
      <c r="F33" s="6"/>
      <c r="G33" s="12"/>
      <c r="H33" s="64"/>
      <c r="I33" s="65"/>
    </row>
    <row r="34" spans="1:9" ht="21.6" thickBot="1">
      <c r="A34" s="80" t="s">
        <v>18</v>
      </c>
      <c r="B34" s="81"/>
      <c r="C34" s="81"/>
      <c r="D34" s="81"/>
      <c r="E34" s="81"/>
      <c r="F34" s="81"/>
      <c r="G34" s="82"/>
      <c r="H34" s="108">
        <f>H14-H22</f>
        <v>2135000</v>
      </c>
      <c r="I34" s="109"/>
    </row>
    <row r="35" spans="1:9">
      <c r="A35" s="99"/>
      <c r="B35" s="100"/>
      <c r="C35" s="100"/>
      <c r="D35" s="100"/>
      <c r="E35" s="100"/>
      <c r="F35" s="100"/>
      <c r="G35" s="100"/>
      <c r="H35" s="100"/>
      <c r="I35" s="101"/>
    </row>
    <row r="36" spans="1:9" ht="21">
      <c r="A36" s="13"/>
      <c r="B36" s="36"/>
      <c r="C36" s="36"/>
      <c r="D36" s="37"/>
      <c r="E36" s="102" t="s">
        <v>19</v>
      </c>
      <c r="F36" s="102"/>
      <c r="G36" s="102"/>
      <c r="H36" s="103">
        <f>H34</f>
        <v>2135000</v>
      </c>
      <c r="I36" s="104"/>
    </row>
    <row r="37" spans="1:9" ht="17.45">
      <c r="A37" s="13"/>
      <c r="B37" s="36"/>
      <c r="C37" s="36"/>
      <c r="D37" s="37"/>
      <c r="E37" s="105" t="s">
        <v>20</v>
      </c>
      <c r="F37" s="105"/>
      <c r="G37" s="105"/>
      <c r="H37" s="106">
        <v>272213</v>
      </c>
      <c r="I37" s="107"/>
    </row>
    <row r="38" spans="1:9">
      <c r="A38" s="13"/>
      <c r="B38" s="36"/>
      <c r="C38" s="36"/>
      <c r="D38" s="37"/>
      <c r="E38" s="89" t="s">
        <v>18</v>
      </c>
      <c r="F38" s="89"/>
      <c r="G38" s="89"/>
      <c r="H38" s="91">
        <f>H36+H37</f>
        <v>2407213</v>
      </c>
      <c r="I38" s="92"/>
    </row>
    <row r="39" spans="1:9" ht="15" thickBot="1">
      <c r="A39" s="95"/>
      <c r="B39" s="96"/>
      <c r="C39" s="96"/>
      <c r="D39" s="10"/>
      <c r="E39" s="90"/>
      <c r="F39" s="90"/>
      <c r="G39" s="90"/>
      <c r="H39" s="93"/>
      <c r="I39" s="94"/>
    </row>
    <row r="40" spans="1:9">
      <c r="A40" s="83" t="s">
        <v>21</v>
      </c>
      <c r="B40" s="84"/>
      <c r="C40" s="84"/>
      <c r="D40" s="84"/>
      <c r="E40" s="84"/>
      <c r="F40" s="84"/>
      <c r="G40" s="84"/>
      <c r="H40" s="84"/>
      <c r="I40" s="85"/>
    </row>
    <row r="41" spans="1:9" ht="15" thickBot="1">
      <c r="A41" s="86"/>
      <c r="B41" s="87"/>
      <c r="C41" s="87"/>
      <c r="D41" s="87"/>
      <c r="E41" s="87"/>
      <c r="F41" s="87"/>
      <c r="G41" s="87"/>
      <c r="H41" s="87"/>
      <c r="I41" s="88"/>
    </row>
    <row r="42" spans="1:9" ht="15" thickBot="1">
      <c r="A42" s="38"/>
      <c r="B42" s="39"/>
      <c r="C42" s="39"/>
      <c r="D42" s="39"/>
      <c r="E42" s="39"/>
      <c r="F42" s="39"/>
      <c r="G42" s="39"/>
      <c r="H42" s="39"/>
      <c r="I42" s="40"/>
    </row>
  </sheetData>
  <mergeCells count="32">
    <mergeCell ref="A9:I9"/>
    <mergeCell ref="A10:I10"/>
    <mergeCell ref="A11:F11"/>
    <mergeCell ref="B33:E33"/>
    <mergeCell ref="H33:I33"/>
    <mergeCell ref="A34:G34"/>
    <mergeCell ref="A40:I41"/>
    <mergeCell ref="E38:G39"/>
    <mergeCell ref="H38:I39"/>
    <mergeCell ref="A39:C39"/>
    <mergeCell ref="H34:I34"/>
    <mergeCell ref="A35:I35"/>
    <mergeCell ref="E36:G36"/>
    <mergeCell ref="H36:I36"/>
    <mergeCell ref="E37:G37"/>
    <mergeCell ref="H37:I37"/>
    <mergeCell ref="B31:E31"/>
    <mergeCell ref="H31:I31"/>
    <mergeCell ref="A7:I7"/>
    <mergeCell ref="G11:I11"/>
    <mergeCell ref="A12:I12"/>
    <mergeCell ref="B13:E13"/>
    <mergeCell ref="H13:I13"/>
    <mergeCell ref="B14:E14"/>
    <mergeCell ref="H14:I14"/>
    <mergeCell ref="D8:E8"/>
    <mergeCell ref="A6:I6"/>
    <mergeCell ref="A1:I1"/>
    <mergeCell ref="A2:I2"/>
    <mergeCell ref="A3:F3"/>
    <mergeCell ref="A4:F4"/>
    <mergeCell ref="A5:I5"/>
  </mergeCells>
  <pageMargins left="0.7" right="0.7" top="0.75" bottom="0.75" header="0.3" footer="0.3"/>
  <pageSetup paperSize="9" fitToHeight="0" orientation="portrait" horizontalDpi="300" verticalDpi="300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E4EA2-C605-4E34-B7B6-8AA16E121478}">
  <sheetPr>
    <pageSetUpPr fitToPage="1"/>
  </sheetPr>
  <dimension ref="A1:I42"/>
  <sheetViews>
    <sheetView showGridLines="0" zoomScaleNormal="100" workbookViewId="0">
      <selection activeCell="A10" sqref="A10:I10"/>
    </sheetView>
  </sheetViews>
  <sheetFormatPr defaultRowHeight="14.45"/>
  <cols>
    <col min="4" max="4" width="15.28515625" customWidth="1"/>
    <col min="5" max="5" width="6.7109375" customWidth="1"/>
    <col min="7" max="7" width="13.5703125" bestFit="1" customWidth="1"/>
    <col min="8" max="8" width="16.42578125" customWidth="1"/>
    <col min="9" max="9" width="2.85546875" customWidth="1"/>
  </cols>
  <sheetData>
    <row r="1" spans="1:9" ht="21">
      <c r="A1" s="44" t="s">
        <v>0</v>
      </c>
      <c r="B1" s="45"/>
      <c r="C1" s="45"/>
      <c r="D1" s="45"/>
      <c r="E1" s="45"/>
      <c r="F1" s="45"/>
      <c r="G1" s="45"/>
      <c r="H1" s="45"/>
      <c r="I1" s="46"/>
    </row>
    <row r="2" spans="1:9">
      <c r="A2" s="47" t="s">
        <v>1</v>
      </c>
      <c r="B2" s="48"/>
      <c r="C2" s="48"/>
      <c r="D2" s="48"/>
      <c r="E2" s="48"/>
      <c r="F2" s="48"/>
      <c r="G2" s="48"/>
      <c r="H2" s="48"/>
      <c r="I2" s="49"/>
    </row>
    <row r="3" spans="1:9" ht="18.600000000000001" customHeight="1">
      <c r="A3" s="50" t="s">
        <v>2</v>
      </c>
      <c r="B3" s="51"/>
      <c r="C3" s="51"/>
      <c r="D3" s="51"/>
      <c r="E3" s="51"/>
      <c r="F3" s="51"/>
      <c r="G3" s="42" t="s">
        <v>3</v>
      </c>
      <c r="H3" s="33" t="s">
        <v>58</v>
      </c>
      <c r="I3" s="15"/>
    </row>
    <row r="4" spans="1:9" ht="15.6" customHeight="1">
      <c r="A4" s="50" t="s">
        <v>5</v>
      </c>
      <c r="B4" s="51"/>
      <c r="C4" s="51"/>
      <c r="D4" s="51"/>
      <c r="E4" s="51"/>
      <c r="F4" s="51"/>
      <c r="G4" s="43" t="s">
        <v>6</v>
      </c>
      <c r="H4" s="34">
        <v>44891</v>
      </c>
      <c r="I4" s="16"/>
    </row>
    <row r="5" spans="1:9">
      <c r="A5" s="52"/>
      <c r="B5" s="53"/>
      <c r="C5" s="53"/>
      <c r="D5" s="53"/>
      <c r="E5" s="53"/>
      <c r="F5" s="53"/>
      <c r="G5" s="53"/>
      <c r="H5" s="53"/>
      <c r="I5" s="54"/>
    </row>
    <row r="6" spans="1:9" ht="30">
      <c r="A6" s="55" t="s">
        <v>7</v>
      </c>
      <c r="B6" s="56"/>
      <c r="C6" s="56"/>
      <c r="D6" s="56"/>
      <c r="E6" s="56"/>
      <c r="F6" s="56"/>
      <c r="G6" s="56"/>
      <c r="H6" s="56"/>
      <c r="I6" s="57"/>
    </row>
    <row r="7" spans="1:9" ht="15">
      <c r="A7" s="58"/>
      <c r="B7" s="59"/>
      <c r="C7" s="59"/>
      <c r="D7" s="59"/>
      <c r="E7" s="59"/>
      <c r="F7" s="59"/>
      <c r="G7" s="59"/>
      <c r="H7" s="59"/>
      <c r="I7" s="60"/>
    </row>
    <row r="8" spans="1:9" ht="14.45" customHeight="1">
      <c r="A8" s="35" t="s">
        <v>50</v>
      </c>
      <c r="B8" s="31"/>
      <c r="C8" s="31"/>
      <c r="D8" s="112"/>
      <c r="E8" s="112"/>
      <c r="F8" s="31"/>
      <c r="G8" s="31"/>
      <c r="H8" s="31"/>
      <c r="I8" s="14"/>
    </row>
    <row r="9" spans="1:9" ht="15">
      <c r="A9" s="117" t="s">
        <v>51</v>
      </c>
      <c r="B9" s="118"/>
      <c r="C9" s="118"/>
      <c r="D9" s="118"/>
      <c r="E9" s="118"/>
      <c r="F9" s="118"/>
      <c r="G9" s="118"/>
      <c r="H9" s="118"/>
      <c r="I9" s="67"/>
    </row>
    <row r="10" spans="1:9" ht="15">
      <c r="A10" s="117" t="s">
        <v>52</v>
      </c>
      <c r="B10" s="118"/>
      <c r="C10" s="118"/>
      <c r="D10" s="118"/>
      <c r="E10" s="118"/>
      <c r="F10" s="118"/>
      <c r="G10" s="118"/>
      <c r="H10" s="118"/>
      <c r="I10" s="67"/>
    </row>
    <row r="11" spans="1:9" ht="15">
      <c r="A11" s="115"/>
      <c r="B11" s="116"/>
      <c r="C11" s="116"/>
      <c r="D11" s="116"/>
      <c r="E11" s="116"/>
      <c r="F11" s="116"/>
      <c r="G11" s="66"/>
      <c r="H11" s="66"/>
      <c r="I11" s="67"/>
    </row>
    <row r="12" spans="1:9" ht="15">
      <c r="A12" s="119"/>
      <c r="B12" s="120"/>
      <c r="C12" s="120"/>
      <c r="D12" s="120"/>
      <c r="E12" s="120"/>
      <c r="F12" s="120"/>
      <c r="G12" s="120"/>
      <c r="H12" s="120"/>
      <c r="I12" s="121"/>
    </row>
    <row r="13" spans="1:9" ht="27.6">
      <c r="A13" s="7" t="s">
        <v>11</v>
      </c>
      <c r="B13" s="68" t="s">
        <v>12</v>
      </c>
      <c r="C13" s="69"/>
      <c r="D13" s="69"/>
      <c r="E13" s="70"/>
      <c r="F13" s="9" t="s">
        <v>13</v>
      </c>
      <c r="G13" s="8" t="s">
        <v>14</v>
      </c>
      <c r="H13" s="71" t="s">
        <v>15</v>
      </c>
      <c r="I13" s="72"/>
    </row>
    <row r="14" spans="1:9">
      <c r="A14" s="3">
        <v>1</v>
      </c>
      <c r="B14" s="73" t="s">
        <v>59</v>
      </c>
      <c r="C14" s="74"/>
      <c r="D14" s="74"/>
      <c r="E14" s="75"/>
      <c r="F14" s="1">
        <v>2000</v>
      </c>
      <c r="G14" s="18">
        <v>2000</v>
      </c>
      <c r="H14" s="76">
        <f>F14*G14</f>
        <v>4000000</v>
      </c>
      <c r="I14" s="77"/>
    </row>
    <row r="15" spans="1:9">
      <c r="A15" s="5">
        <v>2</v>
      </c>
      <c r="B15" s="61" t="s">
        <v>60</v>
      </c>
      <c r="C15" s="62"/>
      <c r="D15" s="62"/>
      <c r="E15" s="63"/>
      <c r="F15" s="6">
        <v>2000</v>
      </c>
      <c r="G15" s="17">
        <v>389</v>
      </c>
      <c r="H15" s="64">
        <f>+F15*G15</f>
        <v>778000</v>
      </c>
      <c r="I15" s="65"/>
    </row>
    <row r="16" spans="1:9">
      <c r="A16" s="3"/>
      <c r="B16" s="73"/>
      <c r="C16" s="74"/>
      <c r="D16" s="74"/>
      <c r="E16" s="75"/>
      <c r="F16" s="1"/>
      <c r="G16" s="11"/>
      <c r="H16" s="78"/>
      <c r="I16" s="79"/>
    </row>
    <row r="17" spans="1:9">
      <c r="A17" s="5"/>
      <c r="B17" s="61"/>
      <c r="C17" s="62"/>
      <c r="D17" s="62"/>
      <c r="E17" s="63"/>
      <c r="F17" s="6"/>
      <c r="G17" s="12"/>
      <c r="H17" s="64"/>
      <c r="I17" s="65"/>
    </row>
    <row r="18" spans="1:9">
      <c r="A18" s="3"/>
      <c r="B18" s="73"/>
      <c r="C18" s="74"/>
      <c r="D18" s="74"/>
      <c r="E18" s="75"/>
      <c r="F18" s="1"/>
      <c r="G18" s="11"/>
      <c r="H18" s="78"/>
      <c r="I18" s="79"/>
    </row>
    <row r="19" spans="1:9">
      <c r="A19" s="5"/>
      <c r="B19" s="61"/>
      <c r="C19" s="62"/>
      <c r="D19" s="62"/>
      <c r="E19" s="63"/>
      <c r="F19" s="6"/>
      <c r="G19" s="12"/>
      <c r="H19" s="64"/>
      <c r="I19" s="65"/>
    </row>
    <row r="20" spans="1:9">
      <c r="A20" s="3"/>
      <c r="B20" s="73"/>
      <c r="C20" s="74"/>
      <c r="D20" s="74"/>
      <c r="E20" s="75"/>
      <c r="F20" s="1"/>
      <c r="G20" s="11"/>
      <c r="H20" s="78"/>
      <c r="I20" s="79"/>
    </row>
    <row r="21" spans="1:9">
      <c r="A21" s="5"/>
      <c r="B21" s="61"/>
      <c r="C21" s="62"/>
      <c r="D21" s="62"/>
      <c r="E21" s="63"/>
      <c r="F21" s="6"/>
      <c r="G21" s="12"/>
      <c r="H21" s="64"/>
      <c r="I21" s="65"/>
    </row>
    <row r="22" spans="1:9">
      <c r="A22" s="3"/>
      <c r="B22" s="73"/>
      <c r="C22" s="74"/>
      <c r="D22" s="74"/>
      <c r="E22" s="75"/>
      <c r="F22" s="1"/>
      <c r="G22" s="11"/>
      <c r="H22" s="78"/>
      <c r="I22" s="79"/>
    </row>
    <row r="23" spans="1:9">
      <c r="A23" s="5"/>
      <c r="B23" s="61"/>
      <c r="C23" s="62"/>
      <c r="D23" s="62"/>
      <c r="E23" s="63"/>
      <c r="F23" s="6"/>
      <c r="G23" s="12"/>
      <c r="H23" s="64"/>
      <c r="I23" s="65"/>
    </row>
    <row r="24" spans="1:9">
      <c r="A24" s="3"/>
      <c r="B24" s="73"/>
      <c r="C24" s="74"/>
      <c r="D24" s="74"/>
      <c r="E24" s="75"/>
      <c r="F24" s="1"/>
      <c r="G24" s="11"/>
      <c r="H24" s="78"/>
      <c r="I24" s="79"/>
    </row>
    <row r="25" spans="1:9">
      <c r="A25" s="5"/>
      <c r="B25" s="61"/>
      <c r="C25" s="62"/>
      <c r="D25" s="62"/>
      <c r="E25" s="63"/>
      <c r="F25" s="6"/>
      <c r="G25" s="12"/>
      <c r="H25" s="64"/>
      <c r="I25" s="65"/>
    </row>
    <row r="26" spans="1:9">
      <c r="A26" s="3"/>
      <c r="B26" s="73"/>
      <c r="C26" s="74"/>
      <c r="D26" s="74"/>
      <c r="E26" s="75"/>
      <c r="F26" s="1"/>
      <c r="G26" s="11"/>
      <c r="H26" s="78"/>
      <c r="I26" s="79"/>
    </row>
    <row r="27" spans="1:9">
      <c r="A27" s="5"/>
      <c r="B27" s="61"/>
      <c r="C27" s="62"/>
      <c r="D27" s="62"/>
      <c r="E27" s="63"/>
      <c r="F27" s="6"/>
      <c r="G27" s="12"/>
      <c r="H27" s="64"/>
      <c r="I27" s="65"/>
    </row>
    <row r="28" spans="1:9">
      <c r="A28" s="3"/>
      <c r="B28" s="73"/>
      <c r="C28" s="74"/>
      <c r="D28" s="74"/>
      <c r="E28" s="75"/>
      <c r="F28" s="1"/>
      <c r="G28" s="11"/>
      <c r="H28" s="78"/>
      <c r="I28" s="79"/>
    </row>
    <row r="29" spans="1:9">
      <c r="A29" s="5"/>
      <c r="B29" s="61"/>
      <c r="C29" s="62"/>
      <c r="D29" s="62"/>
      <c r="E29" s="63"/>
      <c r="F29" s="6"/>
      <c r="G29" s="12"/>
      <c r="H29" s="64"/>
      <c r="I29" s="65"/>
    </row>
    <row r="30" spans="1:9">
      <c r="A30" s="3"/>
      <c r="B30" s="73"/>
      <c r="C30" s="74"/>
      <c r="D30" s="74"/>
      <c r="E30" s="75"/>
      <c r="F30" s="1"/>
      <c r="G30" s="11"/>
      <c r="H30" s="78"/>
      <c r="I30" s="79"/>
    </row>
    <row r="31" spans="1:9">
      <c r="A31" s="5"/>
      <c r="B31" s="19"/>
      <c r="C31" s="20"/>
      <c r="D31" s="20"/>
      <c r="E31" s="21"/>
      <c r="F31" s="6"/>
      <c r="G31" s="12"/>
      <c r="H31" s="22"/>
      <c r="I31" s="23"/>
    </row>
    <row r="32" spans="1:9">
      <c r="A32" s="4"/>
      <c r="B32" s="73"/>
      <c r="C32" s="74"/>
      <c r="D32" s="74"/>
      <c r="E32" s="75"/>
      <c r="F32" s="2"/>
      <c r="G32" s="11"/>
      <c r="H32" s="110"/>
      <c r="I32" s="111"/>
    </row>
    <row r="33" spans="1:9">
      <c r="A33" s="5"/>
      <c r="B33" s="61"/>
      <c r="C33" s="62"/>
      <c r="D33" s="62"/>
      <c r="E33" s="63"/>
      <c r="F33" s="6"/>
      <c r="G33" s="12"/>
      <c r="H33" s="64"/>
      <c r="I33" s="65"/>
    </row>
    <row r="34" spans="1:9" ht="21.6" thickBot="1">
      <c r="A34" s="80" t="s">
        <v>18</v>
      </c>
      <c r="B34" s="81"/>
      <c r="C34" s="81"/>
      <c r="D34" s="81"/>
      <c r="E34" s="81"/>
      <c r="F34" s="81"/>
      <c r="G34" s="82"/>
      <c r="H34" s="97">
        <f>H14+H15</f>
        <v>4778000</v>
      </c>
      <c r="I34" s="98"/>
    </row>
    <row r="35" spans="1:9">
      <c r="A35" s="99"/>
      <c r="B35" s="100"/>
      <c r="C35" s="100"/>
      <c r="D35" s="100"/>
      <c r="E35" s="100"/>
      <c r="F35" s="100"/>
      <c r="G35" s="100"/>
      <c r="H35" s="100"/>
      <c r="I35" s="101"/>
    </row>
    <row r="36" spans="1:9" ht="21">
      <c r="A36" s="13"/>
      <c r="B36" s="36"/>
      <c r="C36" s="36"/>
      <c r="D36" s="37"/>
      <c r="E36" s="102" t="s">
        <v>19</v>
      </c>
      <c r="F36" s="102"/>
      <c r="G36" s="102"/>
      <c r="H36" s="103">
        <f>H34</f>
        <v>4778000</v>
      </c>
      <c r="I36" s="104"/>
    </row>
    <row r="37" spans="1:9" ht="17.45">
      <c r="A37" s="13"/>
      <c r="B37" s="36"/>
      <c r="C37" s="36"/>
      <c r="D37" s="37"/>
      <c r="E37" s="105" t="s">
        <v>20</v>
      </c>
      <c r="F37" s="105"/>
      <c r="G37" s="105"/>
      <c r="H37" s="106">
        <v>627351</v>
      </c>
      <c r="I37" s="107"/>
    </row>
    <row r="38" spans="1:9">
      <c r="A38" s="13"/>
      <c r="B38" s="36"/>
      <c r="C38" s="36"/>
      <c r="D38" s="37"/>
      <c r="E38" s="89" t="s">
        <v>18</v>
      </c>
      <c r="F38" s="89"/>
      <c r="G38" s="89"/>
      <c r="H38" s="91">
        <f>H36+H37</f>
        <v>5405351</v>
      </c>
      <c r="I38" s="92"/>
    </row>
    <row r="39" spans="1:9" ht="15" thickBot="1">
      <c r="A39" s="95"/>
      <c r="B39" s="96"/>
      <c r="C39" s="96"/>
      <c r="D39" s="10"/>
      <c r="E39" s="90"/>
      <c r="F39" s="90"/>
      <c r="G39" s="90"/>
      <c r="H39" s="93"/>
      <c r="I39" s="94"/>
    </row>
    <row r="40" spans="1:9">
      <c r="A40" s="83" t="s">
        <v>21</v>
      </c>
      <c r="B40" s="84"/>
      <c r="C40" s="84"/>
      <c r="D40" s="84"/>
      <c r="E40" s="84"/>
      <c r="F40" s="84"/>
      <c r="G40" s="84"/>
      <c r="H40" s="84"/>
      <c r="I40" s="85"/>
    </row>
    <row r="41" spans="1:9" ht="15" thickBot="1">
      <c r="A41" s="86"/>
      <c r="B41" s="87"/>
      <c r="C41" s="87"/>
      <c r="D41" s="87"/>
      <c r="E41" s="87"/>
      <c r="F41" s="87"/>
      <c r="G41" s="87"/>
      <c r="H41" s="87"/>
      <c r="I41" s="88"/>
    </row>
    <row r="42" spans="1:9" ht="15" thickBot="1">
      <c r="A42" s="38"/>
      <c r="B42" s="39"/>
      <c r="C42" s="39"/>
      <c r="D42" s="39"/>
      <c r="E42" s="39"/>
      <c r="F42" s="39"/>
      <c r="G42" s="39"/>
      <c r="H42" s="39"/>
      <c r="I42" s="40"/>
    </row>
  </sheetData>
  <mergeCells count="64">
    <mergeCell ref="A9:I9"/>
    <mergeCell ref="A10:I10"/>
    <mergeCell ref="A11:F11"/>
    <mergeCell ref="B25:E25"/>
    <mergeCell ref="H25:I25"/>
    <mergeCell ref="B26:E26"/>
    <mergeCell ref="H26:I26"/>
    <mergeCell ref="B27:E27"/>
    <mergeCell ref="H27:I27"/>
    <mergeCell ref="B22:E22"/>
    <mergeCell ref="H22:I22"/>
    <mergeCell ref="B23:E23"/>
    <mergeCell ref="H23:I23"/>
    <mergeCell ref="B24:E24"/>
    <mergeCell ref="H24:I24"/>
    <mergeCell ref="B19:E19"/>
    <mergeCell ref="H19:I19"/>
    <mergeCell ref="B20:E20"/>
    <mergeCell ref="H20:I20"/>
    <mergeCell ref="B21:E21"/>
    <mergeCell ref="H21:I21"/>
    <mergeCell ref="B16:E16"/>
    <mergeCell ref="H16:I16"/>
    <mergeCell ref="B17:E17"/>
    <mergeCell ref="H17:I17"/>
    <mergeCell ref="B18:E18"/>
    <mergeCell ref="H18:I18"/>
    <mergeCell ref="A34:G34"/>
    <mergeCell ref="A40:I41"/>
    <mergeCell ref="E38:G39"/>
    <mergeCell ref="H38:I39"/>
    <mergeCell ref="A39:C39"/>
    <mergeCell ref="H34:I34"/>
    <mergeCell ref="A35:I35"/>
    <mergeCell ref="E36:G36"/>
    <mergeCell ref="H36:I36"/>
    <mergeCell ref="E37:G37"/>
    <mergeCell ref="H37:I37"/>
    <mergeCell ref="B32:E32"/>
    <mergeCell ref="H32:I32"/>
    <mergeCell ref="H33:I33"/>
    <mergeCell ref="B33:E33"/>
    <mergeCell ref="B28:E28"/>
    <mergeCell ref="H28:I28"/>
    <mergeCell ref="B29:E29"/>
    <mergeCell ref="H29:I29"/>
    <mergeCell ref="B30:E30"/>
    <mergeCell ref="H30:I30"/>
    <mergeCell ref="B15:E15"/>
    <mergeCell ref="H15:I15"/>
    <mergeCell ref="A7:I7"/>
    <mergeCell ref="G11:I11"/>
    <mergeCell ref="A12:I12"/>
    <mergeCell ref="B13:E13"/>
    <mergeCell ref="H13:I13"/>
    <mergeCell ref="B14:E14"/>
    <mergeCell ref="H14:I14"/>
    <mergeCell ref="D8:E8"/>
    <mergeCell ref="A6:I6"/>
    <mergeCell ref="A1:I1"/>
    <mergeCell ref="A2:I2"/>
    <mergeCell ref="A3:F3"/>
    <mergeCell ref="A4:F4"/>
    <mergeCell ref="A5:I5"/>
  </mergeCells>
  <pageMargins left="0.7" right="0.7" top="0.75" bottom="0.75" header="0.3" footer="0.3"/>
  <pageSetup paperSize="9" fitToHeight="0" orientation="portrait" horizontalDpi="300" verticalDpi="30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B52B035C6CA04981B992748DAF1181" ma:contentTypeVersion="11" ma:contentTypeDescription="Create a new document." ma:contentTypeScope="" ma:versionID="689806a56c686e51608d85adb48373cc">
  <xsd:schema xmlns:xsd="http://www.w3.org/2001/XMLSchema" xmlns:xs="http://www.w3.org/2001/XMLSchema" xmlns:p="http://schemas.microsoft.com/office/2006/metadata/properties" xmlns:ns2="a3ee3419-f813-43ff-8070-dce059c64b7d" xmlns:ns3="1e3a9498-45e1-4121-9cf9-83f762cff582" targetNamespace="http://schemas.microsoft.com/office/2006/metadata/properties" ma:root="true" ma:fieldsID="44474cc27978a1f6453014522ae89bb3" ns2:_="" ns3:_="">
    <xsd:import namespace="a3ee3419-f813-43ff-8070-dce059c64b7d"/>
    <xsd:import namespace="1e3a9498-45e1-4121-9cf9-83f762cff5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ee3419-f813-43ff-8070-dce059c64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e96a25b-9aa6-4704-857f-a82f0192e78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3a9498-45e1-4121-9cf9-83f762cff5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b1dc4f6-3018-41bc-847a-4a554e8662aa}" ma:internalName="TaxCatchAll" ma:showField="CatchAllData" ma:web="1e3a9498-45e1-4121-9cf9-83f762cff5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ee3419-f813-43ff-8070-dce059c64b7d">
      <Terms xmlns="http://schemas.microsoft.com/office/infopath/2007/PartnerControls"/>
    </lcf76f155ced4ddcb4097134ff3c332f>
    <TaxCatchAll xmlns="1e3a9498-45e1-4121-9cf9-83f762cff582" xsi:nil="true"/>
  </documentManagement>
</p:properties>
</file>

<file path=customXml/itemProps1.xml><?xml version="1.0" encoding="utf-8"?>
<ds:datastoreItem xmlns:ds="http://schemas.openxmlformats.org/officeDocument/2006/customXml" ds:itemID="{5FEB529B-AD0B-4D89-96DD-9139BCAE6487}"/>
</file>

<file path=customXml/itemProps2.xml><?xml version="1.0" encoding="utf-8"?>
<ds:datastoreItem xmlns:ds="http://schemas.openxmlformats.org/officeDocument/2006/customXml" ds:itemID="{C0BD6970-7BD5-4276-A967-DB17A967D760}"/>
</file>

<file path=customXml/itemProps3.xml><?xml version="1.0" encoding="utf-8"?>
<ds:datastoreItem xmlns:ds="http://schemas.openxmlformats.org/officeDocument/2006/customXml" ds:itemID="{997A0C73-8E09-4D02-B80B-4FEAEDA292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Rituparna Banerjee</dc:creator>
  <cp:keywords/>
  <dc:description/>
  <cp:lastModifiedBy>Usha Sri  Pagadala</cp:lastModifiedBy>
  <cp:revision/>
  <dcterms:created xsi:type="dcterms:W3CDTF">2022-09-26T06:30:17Z</dcterms:created>
  <dcterms:modified xsi:type="dcterms:W3CDTF">2024-10-09T06:48:15Z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0x0101001BB52B035C6CA04981B992748DAF1181</vt:lpwstr>
  </property>
  <property fmtid="{D5CDD505-2E9C-101B-9397-08002B2CF9AE}" pid="3" name="MediaServiceImageTags">
    <vt:lpwstr/>
  </property>
</Properties>
</file>