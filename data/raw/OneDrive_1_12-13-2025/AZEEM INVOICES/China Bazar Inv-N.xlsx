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"/>
    </mc:Choice>
  </mc:AlternateContent>
  <xr:revisionPtr revIDLastSave="8" documentId="11_DA7AC21247381956DE7880D0FD8486FC2D0C6D1D" xr6:coauthVersionLast="47" xr6:coauthVersionMax="47" xr10:uidLastSave="{5D281E0B-1443-4F42-BAB0-BA350000A579}"/>
  <bookViews>
    <workbookView xWindow="-120" yWindow="-120" windowWidth="20730" windowHeight="11160" xr2:uid="{00000000-000D-0000-FFFF-FFFF00000000}"/>
  </bookViews>
  <sheets>
    <sheet name="81692-24-CB" sheetId="1" r:id="rId1"/>
  </sheets>
  <definedNames>
    <definedName name="_xlnm.Print_Area" localSheetId="0">'81692-24-CB'!$A$1:$F$25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21" i="1" s="1"/>
  <c r="D10" i="1"/>
  <c r="F22" i="1" l="1"/>
  <c r="F23" i="1" s="1"/>
</calcChain>
</file>

<file path=xl/sharedStrings.xml><?xml version="1.0" encoding="utf-8"?>
<sst xmlns="http://schemas.openxmlformats.org/spreadsheetml/2006/main" count="14" uniqueCount="14">
  <si>
    <t>发票复印件</t>
  </si>
  <si>
    <t xml:space="preserve">
中国芭莎
地址: 西街大教堂 26, 米兰,坎帕尼亚, 中华人民共和国, 七万二千七百四十八</t>
  </si>
  <si>
    <r>
      <t>发票日期 -</t>
    </r>
    <r>
      <rPr>
        <sz val="10"/>
        <color rgb="FF000000"/>
        <rFont val="Roboto"/>
        <charset val="1"/>
      </rPr>
      <t xml:space="preserve"> 2024/15/08</t>
    </r>
  </si>
  <si>
    <r>
      <t xml:space="preserve">发票编号 - </t>
    </r>
    <r>
      <rPr>
        <sz val="10"/>
        <color rgb="FF000000"/>
        <rFont val="Roboto"/>
        <charset val="1"/>
      </rPr>
      <t>81692-24/CB</t>
    </r>
  </si>
  <si>
    <t>到- 钢马汽车中国有限公司
南京路88号, 上海, 中国, 二十万〇一
电话 (862) 630 8000</t>
  </si>
  <si>
    <t>描述</t>
  </si>
  <si>
    <t>数量</t>
  </si>
  <si>
    <t>单价</t>
  </si>
  <si>
    <t>全部的</t>
  </si>
  <si>
    <t>智能手表 (SMART WATCHES)</t>
  </si>
  <si>
    <t>金额（字数) - 仅三十二万七千</t>
  </si>
  <si>
    <t>小计</t>
  </si>
  <si>
    <t>税额</t>
  </si>
  <si>
    <t>累计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</si>
</sst>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¥-804]* #,##0.00_ ;_ [$¥-804]* \-#,##0.00_ ;_ [$¥-804]* &quot;-&quot;??_ ;_ @_ "/>
    <numFmt numFmtId="165" formatCode="_ [$¥-804]* #,##0_ ;_ [$¥-804]* \-#,##0_ ;_ [$¥-804]* &quot;-&quot;??_ ;_ @_ "/>
  </numFmts>
  <fonts count="23">
    <font>
      <sz val="10"/>
      <name val="Arial"/>
      <family val="2"/>
    </font>
    <font>
      <sz val="10"/>
      <color rgb="FF000000"/>
      <name val="Arial"/>
      <family val="2"/>
    </font>
    <font>
      <b/>
      <sz val="22"/>
      <color rgb="FF4472C4"/>
      <name val="Roboto"/>
    </font>
    <font>
      <sz val="18"/>
      <color rgb="FF7F7F7F"/>
      <name val="Roboto"/>
    </font>
    <font>
      <sz val="10"/>
      <name val="Arial"/>
      <family val="2"/>
    </font>
    <font>
      <i/>
      <sz val="11"/>
      <color rgb="FF434343"/>
      <name val="Roboto"/>
    </font>
    <font>
      <b/>
      <sz val="10"/>
      <color rgb="FF000000"/>
      <name val="Roboto"/>
    </font>
    <font>
      <sz val="10"/>
      <color rgb="FF000000"/>
      <name val="Roboto"/>
    </font>
    <font>
      <sz val="11"/>
      <color rgb="FFFFFFFF"/>
      <name val="Roboto"/>
    </font>
    <font>
      <sz val="11"/>
      <color rgb="FF1F3864"/>
      <name val="Roboto"/>
    </font>
    <font>
      <b/>
      <sz val="9"/>
      <color rgb="FF1F3864"/>
      <name val="Roboto"/>
    </font>
    <font>
      <sz val="9"/>
      <color rgb="FF000000"/>
      <name val="Roboto"/>
    </font>
    <font>
      <sz val="12"/>
      <color rgb="FF000000"/>
      <name val="Roboto"/>
    </font>
    <font>
      <b/>
      <sz val="14"/>
      <color theme="1"/>
      <name val="Roboto"/>
      <charset val="1"/>
    </font>
    <font>
      <sz val="10"/>
      <color rgb="FF000000"/>
      <name val="Roboto"/>
      <charset val="1"/>
    </font>
    <font>
      <b/>
      <sz val="10"/>
      <color theme="1"/>
      <name val="Roboto"/>
    </font>
    <font>
      <sz val="10"/>
      <color theme="1" tint="4.9989318521683403E-2"/>
      <name val="Roboto"/>
      <charset val="1"/>
    </font>
    <font>
      <b/>
      <i/>
      <sz val="14"/>
      <color rgb="FF000000"/>
      <name val="Roboto"/>
    </font>
    <font>
      <b/>
      <sz val="14"/>
      <color theme="0"/>
      <name val="Roboto"/>
    </font>
    <font>
      <b/>
      <sz val="14"/>
      <color theme="0"/>
      <name val="Arial"/>
      <family val="2"/>
    </font>
    <font>
      <b/>
      <sz val="26"/>
      <color theme="0"/>
      <name val="Roboto"/>
    </font>
    <font>
      <b/>
      <sz val="14"/>
      <color rgb="FFFFFFFF"/>
      <name val="Roboto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rgb="FF990000"/>
        <bgColor rgb="FFC00000"/>
      </patternFill>
    </fill>
    <fill>
      <patternFill patternType="solid">
        <fgColor rgb="FF990000"/>
        <bgColor indexed="64"/>
      </patternFill>
    </fill>
    <fill>
      <patternFill patternType="solid">
        <fgColor rgb="FFA50021"/>
        <bgColor rgb="FFFF7D7D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 style="thin">
        <color rgb="FF999999"/>
      </top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/>
      <top/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0" xfId="1" applyFont="1" applyAlignment="1">
      <alignment horizontal="right" vertical="center"/>
    </xf>
    <xf numFmtId="0" fontId="1" fillId="0" borderId="0" xfId="1"/>
    <xf numFmtId="0" fontId="3" fillId="0" borderId="0" xfId="1" applyFont="1" applyAlignment="1">
      <alignment horizontal="right" vertical="center" wrapText="1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14" xfId="1" applyFont="1" applyBorder="1" applyAlignment="1">
      <alignment horizontal="left" vertical="center"/>
    </xf>
    <xf numFmtId="0" fontId="4" fillId="0" borderId="15" xfId="1" applyFont="1" applyBorder="1"/>
    <xf numFmtId="0" fontId="11" fillId="0" borderId="16" xfId="1" applyFont="1" applyBorder="1" applyAlignment="1">
      <alignment horizontal="center" vertical="center"/>
    </xf>
    <xf numFmtId="164" fontId="11" fillId="0" borderId="17" xfId="1" applyNumberFormat="1" applyFont="1" applyBorder="1" applyAlignment="1">
      <alignment horizontal="center" vertical="center"/>
    </xf>
    <xf numFmtId="164" fontId="4" fillId="0" borderId="15" xfId="1" applyNumberFormat="1" applyFont="1" applyBorder="1"/>
    <xf numFmtId="164" fontId="11" fillId="0" borderId="18" xfId="1" applyNumberFormat="1" applyFont="1" applyBorder="1" applyAlignment="1">
      <alignment horizontal="center" vertical="center"/>
    </xf>
    <xf numFmtId="2" fontId="11" fillId="0" borderId="0" xfId="1" applyNumberFormat="1" applyFont="1" applyAlignment="1">
      <alignment horizontal="right" vertical="center"/>
    </xf>
    <xf numFmtId="2" fontId="11" fillId="0" borderId="18" xfId="1" applyNumberFormat="1" applyFont="1" applyBorder="1" applyAlignment="1">
      <alignment horizontal="center" vertical="center"/>
    </xf>
    <xf numFmtId="2" fontId="11" fillId="0" borderId="0" xfId="1" applyNumberFormat="1" applyFont="1" applyAlignment="1">
      <alignment vertical="center"/>
    </xf>
    <xf numFmtId="10" fontId="11" fillId="0" borderId="0" xfId="1" applyNumberFormat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16" xfId="1" applyFont="1" applyBorder="1" applyAlignment="1">
      <alignment horizontal="center" vertical="center"/>
    </xf>
    <xf numFmtId="165" fontId="7" fillId="0" borderId="18" xfId="1" applyNumberFormat="1" applyFont="1" applyBorder="1" applyAlignment="1">
      <alignment horizontal="center" vertical="center"/>
    </xf>
    <xf numFmtId="165" fontId="7" fillId="0" borderId="24" xfId="1" applyNumberFormat="1" applyFont="1" applyBorder="1" applyAlignment="1">
      <alignment horizontal="center" vertical="center"/>
    </xf>
    <xf numFmtId="0" fontId="21" fillId="3" borderId="35" xfId="1" applyFont="1" applyFill="1" applyBorder="1" applyAlignment="1">
      <alignment horizontal="center" vertical="center" wrapText="1"/>
    </xf>
    <xf numFmtId="0" fontId="21" fillId="3" borderId="13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right" vertical="center"/>
    </xf>
    <xf numFmtId="0" fontId="6" fillId="0" borderId="3" xfId="1" applyFont="1" applyBorder="1" applyAlignment="1">
      <alignment horizontal="right" vertical="center"/>
    </xf>
    <xf numFmtId="165" fontId="18" fillId="5" borderId="24" xfId="1" applyNumberFormat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center" vertical="center"/>
    </xf>
    <xf numFmtId="0" fontId="18" fillId="2" borderId="7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18" fillId="2" borderId="10" xfId="1" applyFont="1" applyFill="1" applyBorder="1" applyAlignment="1">
      <alignment horizontal="center" vertical="center"/>
    </xf>
    <xf numFmtId="0" fontId="18" fillId="2" borderId="11" xfId="1" applyFont="1" applyFill="1" applyBorder="1" applyAlignment="1">
      <alignment horizontal="center" vertical="center"/>
    </xf>
    <xf numFmtId="164" fontId="11" fillId="0" borderId="17" xfId="1" applyNumberFormat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5" fillId="0" borderId="22" xfId="1" applyFont="1" applyBorder="1" applyAlignment="1">
      <alignment horizontal="right" vertical="center"/>
    </xf>
    <xf numFmtId="0" fontId="15" fillId="0" borderId="23" xfId="1" applyFont="1" applyBorder="1" applyAlignment="1">
      <alignment horizontal="right" vertical="center"/>
    </xf>
    <xf numFmtId="0" fontId="16" fillId="0" borderId="22" xfId="1" applyFont="1" applyBorder="1" applyAlignment="1">
      <alignment horizontal="right" vertical="center"/>
    </xf>
    <xf numFmtId="0" fontId="16" fillId="0" borderId="23" xfId="1" applyFont="1" applyBorder="1" applyAlignment="1">
      <alignment horizontal="right" vertical="center"/>
    </xf>
    <xf numFmtId="0" fontId="19" fillId="2" borderId="26" xfId="1" applyFont="1" applyFill="1" applyBorder="1" applyAlignment="1">
      <alignment horizontal="right" vertical="center"/>
    </xf>
    <xf numFmtId="0" fontId="19" fillId="2" borderId="0" xfId="1" applyFont="1" applyFill="1" applyAlignment="1">
      <alignment horizontal="right" vertical="center"/>
    </xf>
    <xf numFmtId="0" fontId="19" fillId="2" borderId="30" xfId="1" applyFont="1" applyFill="1" applyBorder="1" applyAlignment="1">
      <alignment horizontal="right" vertical="center"/>
    </xf>
    <xf numFmtId="0" fontId="19" fillId="2" borderId="28" xfId="1" applyFont="1" applyFill="1" applyBorder="1" applyAlignment="1">
      <alignment horizontal="right" vertical="center"/>
    </xf>
    <xf numFmtId="0" fontId="20" fillId="2" borderId="1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center" vertical="top" wrapText="1"/>
    </xf>
    <xf numFmtId="0" fontId="13" fillId="0" borderId="5" xfId="1" applyFont="1" applyBorder="1" applyAlignment="1">
      <alignment horizontal="center" vertical="top"/>
    </xf>
    <xf numFmtId="0" fontId="13" fillId="0" borderId="6" xfId="1" applyFont="1" applyBorder="1" applyAlignment="1">
      <alignment horizontal="center" vertical="top"/>
    </xf>
    <xf numFmtId="0" fontId="13" fillId="0" borderId="7" xfId="1" applyFont="1" applyBorder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13" fillId="0" borderId="8" xfId="1" applyFont="1" applyBorder="1" applyAlignment="1">
      <alignment horizontal="center" vertical="top"/>
    </xf>
    <xf numFmtId="0" fontId="13" fillId="0" borderId="9" xfId="1" applyFont="1" applyBorder="1" applyAlignment="1">
      <alignment horizontal="center" vertical="top"/>
    </xf>
    <xf numFmtId="0" fontId="13" fillId="0" borderId="10" xfId="1" applyFont="1" applyBorder="1" applyAlignment="1">
      <alignment horizontal="center" vertical="top"/>
    </xf>
    <xf numFmtId="0" fontId="13" fillId="0" borderId="11" xfId="1" applyFont="1" applyBorder="1" applyAlignment="1">
      <alignment horizontal="center" vertical="top"/>
    </xf>
    <xf numFmtId="0" fontId="5" fillId="0" borderId="0" xfId="1" applyFont="1" applyAlignment="1">
      <alignment horizontal="left" vertical="center" wrapText="1"/>
    </xf>
    <xf numFmtId="0" fontId="12" fillId="4" borderId="31" xfId="1" applyFont="1" applyFill="1" applyBorder="1" applyAlignment="1">
      <alignment horizontal="center" vertical="center"/>
    </xf>
    <xf numFmtId="0" fontId="12" fillId="4" borderId="32" xfId="1" applyFont="1" applyFill="1" applyBorder="1" applyAlignment="1">
      <alignment horizontal="center" vertical="center"/>
    </xf>
    <xf numFmtId="0" fontId="12" fillId="4" borderId="33" xfId="1" applyFont="1" applyFill="1" applyBorder="1" applyAlignment="1">
      <alignment horizontal="center" vertical="center"/>
    </xf>
    <xf numFmtId="0" fontId="21" fillId="3" borderId="12" xfId="1" applyFont="1" applyFill="1" applyBorder="1" applyAlignment="1">
      <alignment horizontal="center" vertical="center"/>
    </xf>
    <xf numFmtId="0" fontId="21" fillId="3" borderId="36" xfId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/>
    </xf>
    <xf numFmtId="164" fontId="7" fillId="0" borderId="17" xfId="1" applyNumberFormat="1" applyFont="1" applyBorder="1" applyAlignment="1">
      <alignment horizontal="center" vertical="center"/>
    </xf>
    <xf numFmtId="0" fontId="11" fillId="0" borderId="14" xfId="1" applyFont="1" applyBorder="1" applyAlignment="1">
      <alignment horizontal="left" vertical="center"/>
    </xf>
    <xf numFmtId="0" fontId="22" fillId="4" borderId="34" xfId="1" applyFont="1" applyFill="1" applyBorder="1" applyAlignment="1"/>
    <xf numFmtId="164" fontId="4" fillId="0" borderId="15" xfId="1" applyNumberFormat="1" applyFont="1" applyBorder="1" applyAlignment="1"/>
    <xf numFmtId="0" fontId="4" fillId="0" borderId="15" xfId="1" applyFont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990000"/>
      <color rgb="FFCC33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2</xdr:row>
      <xdr:rowOff>96199</xdr:rowOff>
    </xdr:from>
    <xdr:to>
      <xdr:col>3</xdr:col>
      <xdr:colOff>161924</xdr:colOff>
      <xdr:row>3</xdr:row>
      <xdr:rowOff>323850</xdr:rowOff>
    </xdr:to>
    <xdr:pic>
      <xdr:nvPicPr>
        <xdr:cNvPr id="2" name="Picture 1" descr="C:\Users\Azeem\AppData\Local\Packages\Microsoft.Windows.Photos_8wekyb3d8bbwe\TempState\ShareServiceTempFolder\China bazar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1372549"/>
          <a:ext cx="1123949" cy="140875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8496B0"/>
    <outlinePr summaryBelow="0" summaryRight="0"/>
    <pageSetUpPr fitToPage="1"/>
  </sheetPr>
  <dimension ref="A1:M984"/>
  <sheetViews>
    <sheetView showGridLines="0" tabSelected="1" topLeftCell="A7" zoomScale="85" zoomScaleNormal="85" workbookViewId="0">
      <selection activeCell="K12" sqref="K12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1" style="2" customWidth="1"/>
    <col min="4" max="4" width="12.140625" style="2" customWidth="1"/>
    <col min="5" max="5" width="14.5703125" style="2" customWidth="1"/>
    <col min="6" max="6" width="14.4257812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13" ht="36.6" customHeight="1" thickBot="1">
      <c r="A1" s="57" t="s">
        <v>0</v>
      </c>
      <c r="B1" s="58"/>
      <c r="C1" s="58"/>
      <c r="D1" s="58"/>
      <c r="E1" s="58"/>
      <c r="F1" s="59"/>
      <c r="G1" s="1"/>
    </row>
    <row r="2" spans="1:13" ht="64.5" customHeight="1">
      <c r="A2" s="60" t="s">
        <v>1</v>
      </c>
      <c r="B2" s="61"/>
      <c r="C2" s="61"/>
      <c r="D2" s="61"/>
      <c r="E2" s="61"/>
      <c r="F2" s="62"/>
      <c r="G2" s="1"/>
    </row>
    <row r="3" spans="1:13" ht="93" customHeight="1">
      <c r="A3" s="63"/>
      <c r="B3" s="64"/>
      <c r="C3" s="64"/>
      <c r="D3" s="64"/>
      <c r="E3" s="64"/>
      <c r="F3" s="65"/>
      <c r="G3" s="3"/>
      <c r="I3"/>
      <c r="J3" s="69"/>
      <c r="K3" s="69"/>
      <c r="L3" s="69"/>
      <c r="M3" s="69"/>
    </row>
    <row r="4" spans="1:13" ht="36.75" customHeight="1" thickBot="1">
      <c r="A4" s="66"/>
      <c r="B4" s="67"/>
      <c r="C4" s="67"/>
      <c r="D4" s="67"/>
      <c r="E4" s="67"/>
      <c r="F4" s="68"/>
      <c r="G4" s="3"/>
    </row>
    <row r="5" spans="1:13" ht="29.25" customHeight="1" thickBot="1">
      <c r="A5" s="21" t="s">
        <v>2</v>
      </c>
      <c r="B5" s="20"/>
      <c r="C5" s="20"/>
      <c r="D5" s="27" t="s">
        <v>3</v>
      </c>
      <c r="E5" s="27"/>
      <c r="F5" s="28"/>
      <c r="G5" s="4"/>
    </row>
    <row r="6" spans="1:13" ht="22.15" customHeight="1">
      <c r="A6" s="30" t="s">
        <v>4</v>
      </c>
      <c r="B6" s="31"/>
      <c r="C6" s="31"/>
      <c r="D6" s="31"/>
      <c r="E6" s="31"/>
      <c r="F6" s="32"/>
      <c r="G6" s="5"/>
    </row>
    <row r="7" spans="1:13" ht="18" customHeight="1">
      <c r="A7" s="33"/>
      <c r="B7" s="34"/>
      <c r="C7" s="34"/>
      <c r="D7" s="34"/>
      <c r="E7" s="34"/>
      <c r="F7" s="35"/>
      <c r="G7" s="6"/>
    </row>
    <row r="8" spans="1:13" ht="35.25" customHeight="1" thickBot="1">
      <c r="A8" s="36"/>
      <c r="B8" s="37"/>
      <c r="C8" s="37"/>
      <c r="D8" s="37"/>
      <c r="E8" s="37"/>
      <c r="F8" s="38"/>
      <c r="G8" s="7"/>
    </row>
    <row r="9" spans="1:13" ht="27" customHeight="1">
      <c r="A9" s="73" t="s">
        <v>5</v>
      </c>
      <c r="B9" s="79"/>
      <c r="C9" s="25" t="s">
        <v>6</v>
      </c>
      <c r="D9" s="74" t="s">
        <v>7</v>
      </c>
      <c r="E9" s="79"/>
      <c r="F9" s="26" t="s">
        <v>8</v>
      </c>
      <c r="G9" s="8"/>
    </row>
    <row r="10" spans="1:13" ht="27.75" customHeight="1">
      <c r="A10" s="75" t="s">
        <v>9</v>
      </c>
      <c r="B10" s="76"/>
      <c r="C10" s="22">
        <v>1000</v>
      </c>
      <c r="D10" s="77">
        <f>298113/C10</f>
        <v>298.113</v>
      </c>
      <c r="E10" s="80"/>
      <c r="F10" s="23">
        <f>C10*D10</f>
        <v>298113</v>
      </c>
      <c r="G10" s="15"/>
    </row>
    <row r="11" spans="1:13" ht="18" customHeight="1">
      <c r="A11" s="78"/>
      <c r="B11" s="81"/>
      <c r="C11" s="11"/>
      <c r="D11" s="39"/>
      <c r="E11" s="80"/>
      <c r="F11" s="14"/>
      <c r="G11" s="15"/>
    </row>
    <row r="12" spans="1:13" ht="18" customHeight="1">
      <c r="A12" s="78"/>
      <c r="B12" s="81"/>
      <c r="C12" s="11"/>
      <c r="D12" s="39"/>
      <c r="E12" s="80"/>
      <c r="F12" s="14"/>
      <c r="G12" s="15"/>
    </row>
    <row r="13" spans="1:13" ht="18" customHeight="1">
      <c r="A13" s="9"/>
      <c r="B13" s="10"/>
      <c r="C13" s="11"/>
      <c r="D13" s="12"/>
      <c r="E13" s="13"/>
      <c r="F13" s="14"/>
      <c r="G13" s="15"/>
    </row>
    <row r="14" spans="1:13" ht="18" customHeight="1">
      <c r="A14" s="9"/>
      <c r="B14" s="10"/>
      <c r="C14" s="11"/>
      <c r="D14" s="12"/>
      <c r="E14" s="13"/>
      <c r="F14" s="14"/>
      <c r="G14" s="15"/>
    </row>
    <row r="15" spans="1:13" ht="18" customHeight="1">
      <c r="A15" s="9"/>
      <c r="B15" s="10"/>
      <c r="C15" s="11"/>
      <c r="D15" s="12"/>
      <c r="E15" s="13"/>
      <c r="F15" s="14"/>
      <c r="G15" s="15"/>
    </row>
    <row r="16" spans="1:13" ht="18" customHeight="1">
      <c r="A16" s="9"/>
      <c r="B16" s="10"/>
      <c r="C16" s="11"/>
      <c r="D16" s="12"/>
      <c r="E16" s="13"/>
      <c r="F16" s="14"/>
      <c r="G16" s="15"/>
    </row>
    <row r="17" spans="1:7" ht="18" customHeight="1">
      <c r="A17" s="9"/>
      <c r="B17" s="10"/>
      <c r="C17" s="11"/>
      <c r="D17" s="12"/>
      <c r="E17" s="13"/>
      <c r="F17" s="14"/>
      <c r="G17" s="15"/>
    </row>
    <row r="18" spans="1:7" ht="18" customHeight="1">
      <c r="A18" s="78"/>
      <c r="B18" s="81"/>
      <c r="C18" s="11"/>
      <c r="D18" s="39"/>
      <c r="E18" s="80"/>
      <c r="F18" s="14"/>
      <c r="G18" s="15"/>
    </row>
    <row r="19" spans="1:7" ht="18" customHeight="1">
      <c r="A19" s="78"/>
      <c r="B19" s="81"/>
      <c r="C19" s="11"/>
      <c r="D19" s="39"/>
      <c r="E19" s="80"/>
      <c r="F19" s="14"/>
      <c r="G19" s="15"/>
    </row>
    <row r="20" spans="1:7" ht="18" customHeight="1">
      <c r="A20" s="78"/>
      <c r="B20" s="81"/>
      <c r="C20" s="11"/>
      <c r="D20" s="39"/>
      <c r="E20" s="80"/>
      <c r="F20" s="16"/>
      <c r="G20" s="15"/>
    </row>
    <row r="21" spans="1:7" ht="19.5" customHeight="1">
      <c r="A21" s="40" t="s">
        <v>10</v>
      </c>
      <c r="B21" s="41"/>
      <c r="C21" s="42"/>
      <c r="D21" s="49" t="s">
        <v>11</v>
      </c>
      <c r="E21" s="50"/>
      <c r="F21" s="24">
        <f>F10</f>
        <v>298113</v>
      </c>
      <c r="G21" s="17"/>
    </row>
    <row r="22" spans="1:7" ht="19.5" customHeight="1">
      <c r="A22" s="43"/>
      <c r="B22" s="44"/>
      <c r="C22" s="45"/>
      <c r="D22" s="51" t="s">
        <v>12</v>
      </c>
      <c r="E22" s="52"/>
      <c r="F22" s="24">
        <f>F21*9.69/100</f>
        <v>28887.149699999998</v>
      </c>
      <c r="G22" s="18"/>
    </row>
    <row r="23" spans="1:7" ht="22.9" customHeight="1">
      <c r="A23" s="43"/>
      <c r="B23" s="44"/>
      <c r="C23" s="45"/>
      <c r="D23" s="53" t="s">
        <v>13</v>
      </c>
      <c r="E23" s="54"/>
      <c r="F23" s="29">
        <f>SUM(F21:F22)</f>
        <v>327000.14970000001</v>
      </c>
      <c r="G23" s="19"/>
    </row>
    <row r="24" spans="1:7" ht="22.9" customHeight="1">
      <c r="A24" s="46"/>
      <c r="B24" s="47"/>
      <c r="C24" s="48"/>
      <c r="D24" s="55"/>
      <c r="E24" s="56"/>
      <c r="F24" s="29"/>
      <c r="G24" s="19"/>
    </row>
    <row r="25" spans="1:7" ht="9.6" customHeight="1" thickBot="1">
      <c r="A25" s="70"/>
      <c r="B25" s="71"/>
      <c r="C25" s="71"/>
      <c r="D25" s="71"/>
      <c r="E25" s="71"/>
      <c r="F25" s="72"/>
      <c r="G25" s="19"/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5">
    <mergeCell ref="A1:F1"/>
    <mergeCell ref="A2:F4"/>
    <mergeCell ref="J3:M3"/>
    <mergeCell ref="A25:F25"/>
    <mergeCell ref="A9:B9"/>
    <mergeCell ref="D9:E9"/>
    <mergeCell ref="A10:B10"/>
    <mergeCell ref="D10:E10"/>
    <mergeCell ref="A20:B20"/>
    <mergeCell ref="D20:E20"/>
    <mergeCell ref="A11:B11"/>
    <mergeCell ref="A12:B12"/>
    <mergeCell ref="A18:B18"/>
    <mergeCell ref="A19:B19"/>
    <mergeCell ref="D11:E11"/>
    <mergeCell ref="D12:E12"/>
    <mergeCell ref="D5:F5"/>
    <mergeCell ref="F23:F24"/>
    <mergeCell ref="A6:F8"/>
    <mergeCell ref="D18:E18"/>
    <mergeCell ref="D19:E19"/>
    <mergeCell ref="A21:C24"/>
    <mergeCell ref="D21:E21"/>
    <mergeCell ref="D22:E22"/>
    <mergeCell ref="D23:E24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DEE18E08-8F0F-4DFD-A0F9-3B870598C5C3}"/>
</file>

<file path=customXml/itemProps2.xml><?xml version="1.0" encoding="utf-8"?>
<ds:datastoreItem xmlns:ds="http://schemas.openxmlformats.org/officeDocument/2006/customXml" ds:itemID="{B898B787-188D-4A45-B858-6B00D7EB2ED9}"/>
</file>

<file path=customXml/itemProps3.xml><?xml version="1.0" encoding="utf-8"?>
<ds:datastoreItem xmlns:ds="http://schemas.openxmlformats.org/officeDocument/2006/customXml" ds:itemID="{745F4A52-2066-49C1-B0AC-EF958B4DD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Usha Sri  Pagadala</cp:lastModifiedBy>
  <cp:revision/>
  <dcterms:created xsi:type="dcterms:W3CDTF">2024-10-02T15:27:28Z</dcterms:created>
  <dcterms:modified xsi:type="dcterms:W3CDTF">2024-10-07T09:51:52Z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