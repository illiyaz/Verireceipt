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7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ZEEM INVOICES/"/>
    </mc:Choice>
  </mc:AlternateContent>
  <xr:revisionPtr revIDLastSave="4" documentId="11_13C2C1A53620503049BF8F90BAE0F69C56D63831" xr6:coauthVersionLast="47" xr6:coauthVersionMax="47" xr10:uidLastSave="{6517690E-59CE-4175-8AAA-C9712FAB5E2C}"/>
  <bookViews>
    <workbookView xWindow="-108" yWindow="-108" windowWidth="23256" windowHeight="12456" firstSheet="19" activeTab="19" xr2:uid="{00000000-000D-0000-FFFF-FFFF00000000}"/>
  </bookViews>
  <sheets>
    <sheet name="82142-24-JLNA" sheetId="1" r:id="rId1"/>
    <sheet name="81883-24-MNA" sheetId="2" r:id="rId2"/>
    <sheet name="81880-24-INA" sheetId="3" r:id="rId3"/>
    <sheet name="81580-24-MNC" sheetId="4" r:id="rId4"/>
    <sheet name="81456-24-INC" sheetId="5" r:id="rId5"/>
    <sheet name="81495-24-MNA " sheetId="6" r:id="rId6"/>
    <sheet name="81945-24-MNA" sheetId="7" r:id="rId7"/>
    <sheet name="82308-24-MNA" sheetId="8" r:id="rId8"/>
    <sheet name="82368-24-MNA" sheetId="9" r:id="rId9"/>
    <sheet name="82439-24-MNL" sheetId="10" r:id="rId10"/>
    <sheet name="82286-24-MNA" sheetId="11" r:id="rId11"/>
    <sheet name="82370-24-MNA" sheetId="12" r:id="rId12"/>
    <sheet name="81468-24-MNA" sheetId="13" r:id="rId13"/>
    <sheet name="81599-24-MNA" sheetId="14" r:id="rId14"/>
    <sheet name="82458-24-MND" sheetId="15" r:id="rId15"/>
    <sheet name="82114-24-MNSI " sheetId="16" r:id="rId16"/>
    <sheet name="81525-24-PNC" sheetId="17" r:id="rId17"/>
    <sheet name="82364-24-ZNJ" sheetId="18" r:id="rId18"/>
    <sheet name="82299-24-CTN" sheetId="19" r:id="rId19"/>
    <sheet name="81686-24-GNN" sheetId="20" r:id="rId20"/>
    <sheet name="82473-24-ETE" sheetId="22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0" l="1"/>
  <c r="G18" i="20"/>
  <c r="G17" i="20"/>
  <c r="G16" i="20"/>
  <c r="G15" i="20"/>
  <c r="G19" i="22"/>
  <c r="G17" i="22"/>
  <c r="G18" i="22" s="1"/>
  <c r="G16" i="22"/>
  <c r="G10" i="22"/>
  <c r="G15" i="22" s="1"/>
  <c r="G10" i="20"/>
  <c r="G10" i="19" l="1"/>
  <c r="G10" i="18"/>
  <c r="G10" i="17"/>
  <c r="G10" i="16"/>
  <c r="G10" i="15"/>
  <c r="G10" i="14"/>
  <c r="G10" i="13"/>
  <c r="G10" i="12"/>
  <c r="G10" i="11"/>
  <c r="G10" i="10"/>
  <c r="G10" i="9"/>
  <c r="G10" i="8"/>
  <c r="G10" i="7"/>
  <c r="G11" i="6"/>
  <c r="G11" i="5"/>
  <c r="G10" i="4"/>
  <c r="G11" i="3"/>
  <c r="G11" i="2"/>
  <c r="G10" i="1"/>
  <c r="G15" i="19" l="1"/>
  <c r="G16" i="19" s="1"/>
  <c r="G17" i="19" s="1"/>
  <c r="G15" i="18"/>
  <c r="G16" i="18" s="1"/>
  <c r="G18" i="18" s="1"/>
  <c r="G19" i="18" s="1"/>
  <c r="G15" i="17"/>
  <c r="G16" i="17" s="1"/>
  <c r="G17" i="17" s="1"/>
  <c r="G19" i="19" l="1"/>
  <c r="G19" i="17"/>
  <c r="G15" i="16"/>
  <c r="G16" i="16" s="1"/>
  <c r="G17" i="16" s="1"/>
  <c r="G19" i="16" s="1"/>
  <c r="G15" i="15" l="1"/>
  <c r="G16" i="15" s="1"/>
  <c r="G17" i="15" s="1"/>
  <c r="G15" i="14"/>
  <c r="G16" i="14" s="1"/>
  <c r="G17" i="14" s="1"/>
  <c r="G19" i="14" s="1"/>
  <c r="G15" i="13"/>
  <c r="G16" i="13" s="1"/>
  <c r="G17" i="13" s="1"/>
  <c r="G19" i="13" s="1"/>
  <c r="G15" i="12"/>
  <c r="G16" i="12" s="1"/>
  <c r="G17" i="12" s="1"/>
  <c r="G19" i="12" s="1"/>
  <c r="G15" i="11"/>
  <c r="G16" i="11" s="1"/>
  <c r="G17" i="11" s="1"/>
  <c r="G19" i="11" s="1"/>
  <c r="G15" i="10"/>
  <c r="G16" i="10" s="1"/>
  <c r="G17" i="10" s="1"/>
  <c r="G15" i="9"/>
  <c r="G16" i="9" s="1"/>
  <c r="G17" i="9" s="1"/>
  <c r="G19" i="9" s="1"/>
  <c r="G14" i="8"/>
  <c r="G15" i="8" s="1"/>
  <c r="G16" i="8" s="1"/>
  <c r="G18" i="8" s="1"/>
  <c r="G14" i="7"/>
  <c r="G15" i="7" s="1"/>
  <c r="G16" i="7" s="1"/>
  <c r="G18" i="7" s="1"/>
  <c r="G15" i="6"/>
  <c r="G16" i="6" s="1"/>
  <c r="G17" i="6" s="1"/>
  <c r="G19" i="6" s="1"/>
  <c r="G16" i="5"/>
  <c r="G17" i="5" s="1"/>
  <c r="G18" i="5" s="1"/>
  <c r="G20" i="5" s="1"/>
  <c r="G14" i="4"/>
  <c r="G15" i="4" s="1"/>
  <c r="G16" i="4" s="1"/>
  <c r="G15" i="3"/>
  <c r="G16" i="3" s="1"/>
  <c r="G17" i="3" s="1"/>
  <c r="G19" i="3" s="1"/>
  <c r="G15" i="1"/>
  <c r="G16" i="1" s="1"/>
  <c r="G17" i="1" s="1"/>
  <c r="G19" i="1" s="1"/>
  <c r="G15" i="2" l="1"/>
  <c r="G16" i="2" s="1"/>
  <c r="G17" i="2" s="1"/>
  <c r="G19" i="2" s="1"/>
  <c r="G19" i="15"/>
  <c r="G19" i="10"/>
  <c r="G18" i="4"/>
</calcChain>
</file>

<file path=xl/sharedStrings.xml><?xml version="1.0" encoding="utf-8"?>
<sst xmlns="http://schemas.openxmlformats.org/spreadsheetml/2006/main" count="513" uniqueCount="251">
  <si>
    <t>JadeLink Network  Australia Inc.</t>
  </si>
  <si>
    <t xml:space="preserve">Address: 101Collins Street, Melbourne, VIC 3000, Australia   </t>
  </si>
  <si>
    <t xml:space="preserve">                  INVOICE</t>
  </si>
  <si>
    <t>BILL TO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</si>
  <si>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82142-24/JLNA</t>
    </r>
  </si>
  <si>
    <t>Steel Horse Motors Australia Inc</t>
  </si>
  <si>
    <r>
      <rPr>
        <b/>
        <sz val="11"/>
        <color rgb="FF000000"/>
        <rFont val="Arial"/>
        <family val="2"/>
      </rPr>
      <t xml:space="preserve">DATE: </t>
    </r>
    <r>
      <rPr>
        <sz val="11"/>
        <color rgb="FF000000"/>
        <rFont val="Arial"/>
        <family val="2"/>
      </rPr>
      <t>15/08/2024</t>
    </r>
  </si>
  <si>
    <t>23 Collins Street, Melbourne, Australia, VIC 3000</t>
  </si>
  <si>
    <r>
      <rPr>
        <b/>
        <sz val="11"/>
        <color rgb="FF000000"/>
        <rFont val="Arial"/>
        <family val="2"/>
      </rPr>
      <t>INVOICE DUE DATE:</t>
    </r>
    <r>
      <rPr>
        <sz val="11"/>
        <color rgb="FF000000"/>
        <rFont val="Arial"/>
        <family val="2"/>
      </rPr>
      <t xml:space="preserve"> 15/09/2024</t>
    </r>
  </si>
  <si>
    <t>DESCRIPTION</t>
  </si>
  <si>
    <t>PRICE</t>
  </si>
  <si>
    <t>TAX</t>
  </si>
  <si>
    <t>AMOUNT</t>
  </si>
  <si>
    <t>Network Upgrade charges</t>
  </si>
  <si>
    <t>TOTAL</t>
  </si>
  <si>
    <t>Amount in Words: Eleven thousand nine hundred and fifty eight only</t>
  </si>
  <si>
    <t>Total after Tax</t>
  </si>
  <si>
    <t>Amount Received</t>
  </si>
  <si>
    <t xml:space="preserve">Balance Due                                    </t>
  </si>
  <si>
    <t>Terms &amp; Conditions:</t>
  </si>
  <si>
    <t xml:space="preserve">GRAND TOTAL </t>
  </si>
  <si>
    <t>Payment Mode: Cash</t>
  </si>
  <si>
    <t>Seal &amp; Signature</t>
  </si>
  <si>
    <t>This is computer generated document</t>
  </si>
  <si>
    <t>Moon Network America Inc</t>
  </si>
  <si>
    <t xml:space="preserve">Address: 1600 Pennsylvania Avenue NW, Washington, DC 20500, USA   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</si>
  <si>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81883-24/MNA</t>
    </r>
  </si>
  <si>
    <t>Steel Horse Auto Inc</t>
  </si>
  <si>
    <r>
      <rPr>
        <b/>
        <sz val="11"/>
        <color rgb="FF000000"/>
        <rFont val="Arial"/>
        <family val="2"/>
      </rPr>
      <t xml:space="preserve">DATE: </t>
    </r>
    <r>
      <rPr>
        <sz val="11"/>
        <color rgb="FF000000"/>
        <rFont val="Arial"/>
        <family val="2"/>
      </rPr>
      <t>08/15/2024</t>
    </r>
  </si>
  <si>
    <t xml:space="preserve">265 Lopez Orchard, East John, Michigan, </t>
  </si>
  <si>
    <r>
      <rPr>
        <b/>
        <sz val="11"/>
        <color rgb="FF000000"/>
        <rFont val="Arial"/>
        <family val="2"/>
      </rPr>
      <t>INVOICE DUE DATE:</t>
    </r>
    <r>
      <rPr>
        <sz val="11"/>
        <color rgb="FF000000"/>
        <rFont val="Arial"/>
        <family val="2"/>
      </rPr>
      <t xml:space="preserve"> 09/15/2024</t>
    </r>
  </si>
  <si>
    <t>United States, 43306</t>
  </si>
  <si>
    <t>Monthly Service charges</t>
  </si>
  <si>
    <t>Amount in Words: Thirteen thousand six hundred and twenty six only</t>
  </si>
  <si>
    <t>Infinity Network Anantapur Pvt Ltd</t>
  </si>
  <si>
    <t>Address: 20 Aravinda Nagar, Anantapur, Andhra Pradesh 515001, India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</si>
  <si>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81880-24/INA</t>
    </r>
  </si>
  <si>
    <t>Steel Horse Motors Anantapur Pvt Ltd</t>
  </si>
  <si>
    <t>78 Industrial Estate, Anantapur, Andhra Pradesh,</t>
  </si>
  <si>
    <t>India, 515001</t>
  </si>
  <si>
    <t>Installation and setup fees (Router, Modem)</t>
  </si>
  <si>
    <t>Amount in Words: Fourteen thousand and two hundred only</t>
  </si>
  <si>
    <t>Moon Network Canada Inc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</si>
  <si>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81580-24/MNC</t>
    </r>
  </si>
  <si>
    <t>Steel Horse Motors Canada Inc</t>
  </si>
  <si>
    <t>50 Bay Street, Toronto, Canada, M5J 2X8</t>
  </si>
  <si>
    <t>Maintenance and Support Fees</t>
  </si>
  <si>
    <t>Amount in Words: Fourteen thousand three hundred and sixty eight only</t>
  </si>
  <si>
    <t>Infinity Network Chennai Pvt Ltd</t>
  </si>
  <si>
    <t>Address: 25 Mount Road, Guindy,Chennai, Tamil Nadu 600032, India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</si>
  <si>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81456-24/INC</t>
    </r>
  </si>
  <si>
    <t>Steel Horse Auto Assembly Chennai Ltd</t>
  </si>
  <si>
    <t>House No 249,Road No 11,Rajiv Gandhi Nagar,</t>
  </si>
  <si>
    <t>Chennai,Tamil Nadu,India</t>
  </si>
  <si>
    <t>"Bandwidth Charges 
(Overage charge for exceeding xxx GB data limit)"</t>
  </si>
  <si>
    <t>Amount in Words: Ten thousand eight hundred and sixty six only</t>
  </si>
  <si>
    <t>Moon Network Chicago Inc</t>
  </si>
  <si>
    <t xml:space="preserve">Address: 875 N Michigan Avenue,Chicago, IL 60611, USA 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</si>
  <si>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81495-24/MNA</t>
    </r>
  </si>
  <si>
    <t>Steel Horse Motors Chicago Inc</t>
  </si>
  <si>
    <r>
      <rPr>
        <b/>
        <sz val="11"/>
        <color rgb="FF000000"/>
        <rFont val="Arial"/>
        <family val="2"/>
      </rPr>
      <t>DATE:</t>
    </r>
    <r>
      <rPr>
        <sz val="11"/>
        <color rgb="FF000000"/>
        <rFont val="Arial"/>
        <family val="2"/>
      </rPr>
      <t xml:space="preserve"> 08/15/2024</t>
    </r>
  </si>
  <si>
    <t>333 West Wacker Drive, Chicago, USA, 60606</t>
  </si>
  <si>
    <t>Fortinet firewall with installation</t>
  </si>
  <si>
    <t>Amount in Words: Eleven thousand four hundred and fifty eight only</t>
  </si>
  <si>
    <t>Moon Network Dallas Inc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</si>
  <si>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81945-24/MNA</t>
    </r>
  </si>
  <si>
    <t>Steel Horse Motors Dallas Inc</t>
  </si>
  <si>
    <t>2200 Ross Avenue, Dallas, USA, 75201</t>
  </si>
  <si>
    <t>Speed upgrade fees with access points</t>
  </si>
  <si>
    <t>Amount in Words: Fourteen thousand three hundred and six only</t>
  </si>
  <si>
    <t>Moon Network LA Inc</t>
  </si>
  <si>
    <t>Address: 2000 Avenue of the Stars, Los Angeles,CA 90067, USA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</si>
  <si>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82308-24/MNA</t>
    </r>
  </si>
  <si>
    <t>Steel Horse Motors LA Inc</t>
  </si>
  <si>
    <r>
      <rPr>
        <b/>
        <sz val="11"/>
        <color rgb="FF000000"/>
        <rFont val="Arial"/>
        <family val="2"/>
      </rPr>
      <t xml:space="preserve">DATE: </t>
    </r>
    <r>
      <rPr>
        <sz val="11"/>
        <color rgb="FF000000"/>
        <rFont val="Arial"/>
        <family val="2"/>
      </rPr>
      <t>08/21/2024</t>
    </r>
  </si>
  <si>
    <t>250 South Broadway, Los Angeles, USA, 90012</t>
  </si>
  <si>
    <r>
      <rPr>
        <b/>
        <sz val="11"/>
        <color rgb="FF000000"/>
        <rFont val="Arial"/>
        <family val="2"/>
      </rPr>
      <t>INVOICE DUE DATE:</t>
    </r>
    <r>
      <rPr>
        <sz val="11"/>
        <color rgb="FF000000"/>
        <rFont val="Arial"/>
        <family val="2"/>
      </rPr>
      <t xml:space="preserve"> 09/21/2024</t>
    </r>
  </si>
  <si>
    <t>Amount in Words: Twelve thousand five hundred and seventy eight only</t>
  </si>
  <si>
    <t>Moon Network Lincoln Inc</t>
  </si>
  <si>
    <t>Address: 601 P Street, Lincoln, NE 68508, USA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</si>
  <si>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82368-24/MNA</t>
    </r>
  </si>
  <si>
    <t>Steel Horse Motors Lincoln Inc</t>
  </si>
  <si>
    <r>
      <rPr>
        <b/>
        <sz val="11"/>
        <color rgb="FF000000"/>
        <rFont val="Arial"/>
        <family val="2"/>
      </rPr>
      <t xml:space="preserve">DATE: </t>
    </r>
    <r>
      <rPr>
        <sz val="11"/>
        <color rgb="FF000000"/>
        <rFont val="Arial"/>
        <family val="2"/>
      </rPr>
      <t>08/29/2024</t>
    </r>
  </si>
  <si>
    <t>1500 O Street, Lincoln, USA, 68508</t>
  </si>
  <si>
    <r>
      <rPr>
        <b/>
        <sz val="11"/>
        <color rgb="FF000000"/>
        <rFont val="Arial"/>
        <family val="2"/>
      </rPr>
      <t>INVOICE DUE DATE:</t>
    </r>
    <r>
      <rPr>
        <sz val="11"/>
        <color rgb="FF000000"/>
        <rFont val="Arial"/>
        <family val="2"/>
      </rPr>
      <t xml:space="preserve"> 09/29/2024</t>
    </r>
  </si>
  <si>
    <t>Installation of Network management tools</t>
  </si>
  <si>
    <t>Amount in Words: Thirteen thousand one hundred and sixty seven only</t>
  </si>
  <si>
    <t>Moon Network London Inc</t>
  </si>
  <si>
    <t>Address: 50 St Mary Axe, London EC3A 8FR, United Kingdom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</si>
  <si>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82439-24/MNL</t>
    </r>
  </si>
  <si>
    <r>
      <rPr>
        <b/>
        <sz val="11"/>
        <color rgb="FF000000"/>
        <rFont val="Arial"/>
        <family val="2"/>
      </rPr>
      <t xml:space="preserve">DATE: </t>
    </r>
    <r>
      <rPr>
        <sz val="11"/>
        <color rgb="FF000000"/>
        <rFont val="Arial"/>
        <family val="2"/>
      </rPr>
      <t>29/08/2024</t>
    </r>
  </si>
  <si>
    <r>
      <rPr>
        <b/>
        <sz val="11"/>
        <color rgb="FF000000"/>
        <rFont val="Arial"/>
        <family val="2"/>
      </rPr>
      <t>INVOICE DUE DATE:</t>
    </r>
    <r>
      <rPr>
        <sz val="11"/>
        <color rgb="FF000000"/>
        <rFont val="Arial"/>
        <family val="2"/>
      </rPr>
      <t xml:space="preserve"> 29/09/2024</t>
    </r>
  </si>
  <si>
    <t>Amount in Words: Fourteen thousand two hundred and fourty nine only</t>
  </si>
  <si>
    <t>Moon Network New Jersey Inc</t>
  </si>
  <si>
    <t>Address: 90 Hudson Street, JerseyCity, NJ 07302, USA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</si>
  <si>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82286-24/MNA</t>
    </r>
  </si>
  <si>
    <t>Steel Horse Motors New Jersey Inc</t>
  </si>
  <si>
    <t>100 Mulberry Street, Newark, New Jersey,
USA, 07102</t>
  </si>
  <si>
    <t>Technical support fees</t>
  </si>
  <si>
    <t>Amount in Words: Ten thousand seven hundred and seventy two only</t>
  </si>
  <si>
    <t>Moon Network NY Inc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</si>
  <si>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82370-24/MNA</t>
    </r>
  </si>
  <si>
    <t>Steel Horse Motors NY Inc</t>
  </si>
  <si>
    <t>350 5th Avenue, New York, USA, 10118</t>
  </si>
  <si>
    <t>Amount in Words: Ten thousand four hundred and eighty four only</t>
  </si>
  <si>
    <t>Moon Network Vegas Inc</t>
  </si>
  <si>
    <t>Address: 3770 South Las Vegas Boulevard, Las Vegas, NV 89109, USA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</si>
  <si>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81468-24/MNA</t>
    </r>
  </si>
  <si>
    <t>Steel Horse Motors Vegas Inc</t>
  </si>
  <si>
    <t xml:space="preserve"> 3770 South Las Vegas Boulevard, Las Vegas,
USA, 89109</t>
  </si>
  <si>
    <t>Amount in Words: Ten thousand three hundred only</t>
  </si>
  <si>
    <t>Moon Network Washington DC Inc</t>
  </si>
  <si>
    <t>Address: 700 Pennsylvania Avenue NW, Washington, DC 20004, USA</t>
  </si>
  <si>
    <r>
      <rPr>
        <b/>
        <sz val="11"/>
        <color rgb="FF000000"/>
        <rFont val="Arial"/>
        <family val="2"/>
      </rPr>
      <t xml:space="preserve">INVOICE NO: </t>
    </r>
    <r>
      <rPr>
        <sz val="11"/>
        <color rgb="FF000000"/>
        <rFont val="Arial"/>
        <family val="2"/>
      </rPr>
      <t>81599-24/MNA</t>
    </r>
  </si>
  <si>
    <t>Steel Horse Motors Washington DC Inc</t>
  </si>
  <si>
    <t>601 Massachusetts Avenue NW, Washington, 
DC 20001</t>
  </si>
  <si>
    <t>Amount in Words: Twelve thousand and thirty three only</t>
  </si>
  <si>
    <t>Moon Network Deutschland Inc</t>
  </si>
  <si>
    <t>Adresse: Potsdamer Platz 1, 10785 Berlin, Deutschland</t>
  </si>
  <si>
    <t xml:space="preserve">                  RECHNUNG</t>
  </si>
  <si>
    <t>GESETZESENTWURF FÜR</t>
  </si>
  <si>
    <r>
      <t xml:space="preserve">RECHNUNGSNR: </t>
    </r>
    <r>
      <rPr>
        <sz val="11"/>
        <color rgb="FF000000"/>
        <rFont val="Arial"/>
        <family val="2"/>
      </rPr>
      <t>82458-24/MND</t>
    </r>
  </si>
  <si>
    <t>Steel Horse Motors Germany Inc</t>
  </si>
  <si>
    <r>
      <t xml:space="preserve">DATUM: </t>
    </r>
    <r>
      <rPr>
        <sz val="11"/>
        <color rgb="FF000000"/>
        <rFont val="Arial"/>
        <family val="2"/>
      </rPr>
      <t>29.08.2024</t>
    </r>
  </si>
  <si>
    <t>120 Friedrichstraße, Berlin, Deutschland, 10117</t>
  </si>
  <si>
    <r>
      <t xml:space="preserve">Fälligkeitsdatum der Rechnung: 
</t>
    </r>
    <r>
      <rPr>
        <sz val="11"/>
        <color rgb="FF000000"/>
        <rFont val="Arial"/>
        <family val="2"/>
      </rPr>
      <t>29.09.2024</t>
    </r>
  </si>
  <si>
    <t>BESCHREIBUNG</t>
  </si>
  <si>
    <t>PREIS</t>
  </si>
  <si>
    <t>STEUER</t>
  </si>
  <si>
    <t>MENGE</t>
  </si>
  <si>
    <t>Wartungs- und Supportgebühren für Sicherheitsgeräte</t>
  </si>
  <si>
    <t>GESAMT</t>
  </si>
  <si>
    <t>Betrag in Worten: Nur zehntausendachthundertsiebenundachtzig</t>
  </si>
  <si>
    <t>Gesamt nach Steuern</t>
  </si>
  <si>
    <t>Erhaltener Betrag</t>
  </si>
  <si>
    <t xml:space="preserve">Restbetrag fällig                                    </t>
  </si>
  <si>
    <t>Allgemeine Geschäftsbedingungen:</t>
  </si>
  <si>
    <t xml:space="preserve">GESAMTGESAMT </t>
  </si>
  <si>
    <t>Zahlungsart: Bargeld</t>
  </si>
  <si>
    <t>Siegel und Unterschrift</t>
  </si>
  <si>
    <t>Dies ist ein computergeneriertes Dokument</t>
  </si>
  <si>
    <t>月亮网络新加坡公司</t>
  </si>
  <si>
    <t>地址：8 Marina View, 亚洲广场 1 号塔, 新加坡 018960</t>
  </si>
  <si>
    <t xml:space="preserve">                 发票</t>
  </si>
  <si>
    <t>记账到</t>
  </si>
  <si>
    <r>
      <t xml:space="preserve">发票号: </t>
    </r>
    <r>
      <rPr>
        <sz val="11"/>
        <color rgb="FF000000"/>
        <rFont val="Arial"/>
        <family val="2"/>
      </rPr>
      <t>82114-24/MNSI</t>
    </r>
  </si>
  <si>
    <t>钢马汽车新加坡公司</t>
  </si>
  <si>
    <r>
      <t>日期:</t>
    </r>
    <r>
      <rPr>
        <sz val="11"/>
        <color rgb="FF000000"/>
        <rFont val="Arial"/>
        <family val="2"/>
      </rPr>
      <t xml:space="preserve"> 2024 年 8 月 15 日</t>
    </r>
  </si>
  <si>
    <t>10 滨海大道, 新加坡, 018983</t>
  </si>
  <si>
    <r>
      <rPr>
        <b/>
        <sz val="11"/>
        <color rgb="FF000000"/>
        <rFont val="Arial"/>
        <family val="2"/>
      </rPr>
      <t xml:space="preserve">发票到期日: </t>
    </r>
    <r>
      <rPr>
        <sz val="11"/>
        <color rgb="FF000000"/>
        <rFont val="Arial"/>
        <family val="2"/>
      </rPr>
      <t>2024 年 9 月 15 日</t>
    </r>
  </si>
  <si>
    <t>描述</t>
  </si>
  <si>
    <t>价格</t>
  </si>
  <si>
    <t>税</t>
  </si>
  <si>
    <t>数量</t>
  </si>
  <si>
    <t>安装和设置费用（路由器、调制解调器）以及速度升级</t>
  </si>
  <si>
    <t>全部的</t>
  </si>
  <si>
    <t>字数：11411而已</t>
  </si>
  <si>
    <t>税后总计</t>
  </si>
  <si>
    <t>收到金额</t>
  </si>
  <si>
    <t xml:space="preserve">应付余额                                    </t>
  </si>
  <si>
    <t>一般业务条款和条件：</t>
  </si>
  <si>
    <t>累计</t>
  </si>
  <si>
    <t>付款方式：现金</t>
  </si>
  <si>
    <t>印章和签名</t>
  </si>
  <si>
    <t>谢谢。我们期待再次为您服务。</t>
  </si>
  <si>
    <t>这是计算机生成的文档</t>
  </si>
  <si>
    <t>凤凰网络中国有限公司</t>
  </si>
  <si>
    <t>地址: 中国浦东新区世纪大道88号 200120</t>
  </si>
  <si>
    <r>
      <t xml:space="preserve">发票号: </t>
    </r>
    <r>
      <rPr>
        <sz val="11"/>
        <color rgb="FF000000"/>
        <rFont val="Arial"/>
        <family val="2"/>
      </rPr>
      <t>81525-24/PNC</t>
    </r>
  </si>
  <si>
    <t>钢马汽车中国有限公司</t>
  </si>
  <si>
    <t>南京路88号, 上海, 中国, 200001</t>
  </si>
  <si>
    <t>字数: 仅一万一千九百八十三</t>
  </si>
  <si>
    <t>ゼニスネットワークジャパン株式会社</t>
  </si>
  <si>
    <t>Address:〒107-0052 東京都港区赤坂9-7-1 東京ミッドタウンタワー</t>
  </si>
  <si>
    <t>l</t>
  </si>
  <si>
    <t xml:space="preserve">                 請求書</t>
  </si>
  <si>
    <t>請求先</t>
  </si>
  <si>
    <r>
      <rPr>
        <b/>
        <sz val="11"/>
        <color rgb="FF000000"/>
        <rFont val="Arial"/>
        <family val="2"/>
      </rPr>
      <t xml:space="preserve">請求書番号: </t>
    </r>
    <r>
      <rPr>
        <sz val="11"/>
        <color rgb="FF000000"/>
        <rFont val="Arial"/>
        <family val="2"/>
      </rPr>
      <t>82364-24/ZNJ</t>
    </r>
  </si>
  <si>
    <t>スチールホースモーターズジャパン株式会社</t>
  </si>
  <si>
    <r>
      <rPr>
        <b/>
        <sz val="11"/>
        <color rgb="FF000000"/>
        <rFont val="Arial"/>
        <family val="2"/>
      </rPr>
      <t xml:space="preserve">日付: </t>
    </r>
    <r>
      <rPr>
        <sz val="11"/>
        <color rgb="FF000000"/>
        <rFont val="Arial"/>
        <family val="2"/>
      </rPr>
      <t>08/29/2024</t>
    </r>
  </si>
  <si>
    <t>14 渋谷交差点、東京、150-0002</t>
  </si>
  <si>
    <r>
      <rPr>
        <b/>
        <sz val="11"/>
        <color rgb="FF000000"/>
        <rFont val="Arial"/>
        <family val="2"/>
      </rPr>
      <t>請求書の期限日:</t>
    </r>
    <r>
      <rPr>
        <sz val="11"/>
        <color rgb="FF000000"/>
        <rFont val="Arial"/>
        <family val="2"/>
      </rPr>
      <t xml:space="preserve"> 09/29/2024</t>
    </r>
  </si>
  <si>
    <t>説明</t>
  </si>
  <si>
    <t>価格</t>
  </si>
  <si>
    <t>額</t>
  </si>
  <si>
    <t>1Gbpsの速度でのインターネットの月額料金</t>
  </si>
  <si>
    <t>合計</t>
  </si>
  <si>
    <t>文字数: 12,33 のみ</t>
  </si>
  <si>
    <t>税引き後の合計</t>
  </si>
  <si>
    <t>受取額</t>
  </si>
  <si>
    <t>-</t>
  </si>
  <si>
    <t xml:space="preserve">未払い残高                                   </t>
  </si>
  <si>
    <t>利用規約:</t>
  </si>
  <si>
    <t>総計</t>
  </si>
  <si>
    <t>請求書の支払いには以下の銀行情報を使用してください。</t>
  </si>
  <si>
    <t>名前：
銀行：
支店名:
支店番号:
口座番号：</t>
  </si>
  <si>
    <t>あなたと取引できて光栄でした。またのご利用をお待ちしております。</t>
  </si>
  <si>
    <t>CelestialTech Network Ciudad de México Inc</t>
  </si>
  <si>
    <t>Dirección: Torre Mayor, Paseo de la Reforma 505, Cuauhtémoc, 06500 Ciudad de México</t>
  </si>
  <si>
    <t xml:space="preserve">                 FACTURA</t>
  </si>
  <si>
    <t>COBRAR A</t>
  </si>
  <si>
    <r>
      <rPr>
        <b/>
        <sz val="10"/>
        <color rgb="FF000000"/>
        <rFont val="Arial"/>
        <family val="2"/>
      </rPr>
      <t xml:space="preserve">NÚMERO DE FACTURA: </t>
    </r>
    <r>
      <rPr>
        <sz val="10"/>
        <color rgb="FF000000"/>
        <rFont val="Arial"/>
        <family val="2"/>
      </rPr>
      <t>82299-24/CTN</t>
    </r>
  </si>
  <si>
    <t>Steel Horse Motors MexicoCity Inc</t>
  </si>
  <si>
    <r>
      <rPr>
        <b/>
        <sz val="10"/>
        <color rgb="FF000000"/>
        <rFont val="Arial"/>
        <family val="2"/>
      </rPr>
      <t>FECHA:</t>
    </r>
    <r>
      <rPr>
        <sz val="10"/>
        <color rgb="FF000000"/>
        <rFont val="Arial"/>
        <family val="2"/>
      </rPr>
      <t xml:space="preserve"> 21/08/2024</t>
    </r>
  </si>
  <si>
    <t>45 Paseo de la Reforma, Mexico City, Mexico, 06500</t>
  </si>
  <si>
    <r>
      <rPr>
        <b/>
        <sz val="10"/>
        <color rgb="FF000000"/>
        <rFont val="Arial"/>
        <family val="2"/>
      </rPr>
      <t>FECHA DE VENCIMIENTO DE LA FACTURA:</t>
    </r>
    <r>
      <rPr>
        <sz val="10"/>
        <color rgb="FF000000"/>
        <rFont val="Arial"/>
        <family val="2"/>
      </rPr>
      <t xml:space="preserve"> 21/09/2024</t>
    </r>
  </si>
  <si>
    <t>DESCRIPCIÓN</t>
  </si>
  <si>
    <t>PRECIO</t>
  </si>
  <si>
    <t>IMPUESTO</t>
  </si>
  <si>
    <t>CANTIDAD</t>
  </si>
  <si>
    <t>Velocidad de Internet de 50Mbps con instalación de routers</t>
  </si>
  <si>
    <t>Cantidad en palabras: catorce mil seiscientos sesenta y siete solamente</t>
  </si>
  <si>
    <t>Total después de impuestos</t>
  </si>
  <si>
    <t>Cantidad recibida</t>
  </si>
  <si>
    <t xml:space="preserve">Saldo deudor                                    </t>
  </si>
  <si>
    <t>Términos y condiciones:</t>
  </si>
  <si>
    <t>GRAN TOTAL</t>
  </si>
  <si>
    <t>Modo de pago: Efectivo</t>
  </si>
  <si>
    <t>Sello y firma</t>
  </si>
  <si>
    <t>Este es un documento generado por computadora.</t>
  </si>
  <si>
    <t>شبكة جلف نت قطر المحدودة</t>
  </si>
  <si>
    <t>عنوان: برج تورنادو، الخليج الغربي، الدوحة، قطر</t>
  </si>
  <si>
    <t>فاتورة</t>
  </si>
  <si>
    <t>فاتورة ل</t>
  </si>
  <si>
    <r>
      <t xml:space="preserve">رقم الفاتورة : </t>
    </r>
    <r>
      <rPr>
        <sz val="11"/>
        <color rgb="FF000000"/>
        <rFont val="Arial"/>
        <family val="2"/>
      </rPr>
      <t>81686-24</t>
    </r>
  </si>
  <si>
    <t>شركة ستيل هورس لتجميع السيارات لينكولن</t>
  </si>
  <si>
    <r>
      <t xml:space="preserve">التاريخ: </t>
    </r>
    <r>
      <rPr>
        <sz val="11"/>
        <color rgb="FF000000"/>
        <rFont val="Arial"/>
        <family val="2"/>
      </rPr>
      <t>15/08/2024</t>
    </r>
  </si>
  <si>
    <t>21857 كلايتون فورجيس جناح 897، شيريبيري، لينكولن، 17355</t>
  </si>
  <si>
    <r>
      <t xml:space="preserve">تاريخ استحقاق الفاتورة: </t>
    </r>
    <r>
      <rPr>
        <sz val="11"/>
        <color rgb="FF000000"/>
        <rFont val="Arial"/>
        <family val="2"/>
      </rPr>
      <t>15/09/2024</t>
    </r>
  </si>
  <si>
    <t>وصف</t>
  </si>
  <si>
    <t>سعر</t>
  </si>
  <si>
    <t>ضريبة</t>
  </si>
  <si>
    <t>كمية</t>
  </si>
  <si>
    <t>رسوم الصيانة والدعم</t>
  </si>
  <si>
    <t xml:space="preserve">المجموع </t>
  </si>
  <si>
    <t>المبلغ بالكلمات: أحد عشر ألفًا وأربعمائة وسبعة وثلاثون</t>
  </si>
  <si>
    <t>الإجمالي بعد الضريبة</t>
  </si>
  <si>
    <t xml:space="preserve">الرصيد المستلم </t>
  </si>
  <si>
    <t>الرصيد المستحق</t>
  </si>
  <si>
    <t>طريقة الدفع: نقدا</t>
  </si>
  <si>
    <t>المجموع الإجمالي</t>
  </si>
  <si>
    <t>ريال قطري 11437</t>
  </si>
  <si>
    <t>الشروط والأحكام:
قد تؤدي الترقيات أو تغييرات الخطة التي يطلبها العميل إلى فرض رسوم محددة على الفاتورة التالية</t>
  </si>
  <si>
    <t>الختم والتوقيع</t>
  </si>
  <si>
    <t>إذا كنت ترغب في إلغاء الخدمة، فيجب عليك تقديم فترة إشعار مدتها 30 يومًا</t>
  </si>
  <si>
    <t>إكليبس تك دبي المحدودة</t>
  </si>
  <si>
    <t>عنوان:  برج خليفة، 1 شارع الشيخ محمد بن راشد، دبي، الإمارات العربية المتحدة</t>
  </si>
  <si>
    <r>
      <t xml:space="preserve">رقم الفاتورة: </t>
    </r>
    <r>
      <rPr>
        <sz val="11"/>
        <color rgb="FF000000"/>
        <rFont val="Arial"/>
        <family val="2"/>
      </rPr>
      <t>82473-24/مون</t>
    </r>
  </si>
  <si>
    <r>
      <t xml:space="preserve">التاريخ: </t>
    </r>
    <r>
      <rPr>
        <sz val="11"/>
        <color rgb="FF000000"/>
        <rFont val="Arial"/>
        <family val="2"/>
      </rPr>
      <t>29/08/2024</t>
    </r>
  </si>
  <si>
    <r>
      <t xml:space="preserve">تاريخ استحقاق الفاتورة: </t>
    </r>
    <r>
      <rPr>
        <sz val="11"/>
        <color rgb="FF000000"/>
        <rFont val="Arial"/>
        <family val="2"/>
      </rPr>
      <t>29/09/2024</t>
    </r>
  </si>
  <si>
    <t>المبلغ بالكلمات: اثنا عشر ألفًا وستمائة وثمانية وثلاثون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</si>
</sst>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-&quot;AED&quot;* #,##0.00_-;\-&quot;AED&quot;* #,##0.00_-;_-&quot;AED&quot;* &quot;-&quot;??_-;_-@_-"/>
    <numFmt numFmtId="165" formatCode="m/d/yy"/>
    <numFmt numFmtId="166" formatCode="_-[$AUD]\ * #,##0.00_-;\-[$AUD]\ * #,##0.00_-;_-[$AUD]\ * &quot;-&quot;??_-;_-@_-"/>
    <numFmt numFmtId="167" formatCode="_-[$AUD]\ * #,##0_-;\-[$AUD]\ * #,##0_-;_-[$AUD]\ * &quot;-&quot;_-;_-@_-"/>
    <numFmt numFmtId="168" formatCode="_-[$$-409]* #,##0.00_ ;_-[$$-409]* \-#,##0.00\ ;_-[$$-409]* &quot;-&quot;??_ ;_-@_ "/>
    <numFmt numFmtId="169" formatCode="_-[$$-409]* #,##0_ ;_-[$$-409]* \-#,##0\ ;_-[$$-409]* &quot;-&quot;??_ ;_-@_ "/>
    <numFmt numFmtId="170" formatCode="_ [$₹-4009]\ * #,##0.00_ ;_ [$₹-4009]\ * \-#,##0.00_ ;_ [$₹-4009]\ * &quot;-&quot;??_ ;_ @_ "/>
    <numFmt numFmtId="171" formatCode="_ [$₹-4009]\ * #,##0_ ;_ [$₹-4009]\ * \-#,##0_ ;_ [$₹-4009]\ * &quot;-&quot;??_ ;_ @_ "/>
    <numFmt numFmtId="172" formatCode="_-[$CAD]\ * #,##0.00_-;\-[$CAD]\ * #,##0.00_-;_-[$CAD]\ * &quot;-&quot;??_-;_-@_-"/>
    <numFmt numFmtId="173" formatCode="_-[$CAD]\ * #,##0_-;\-[$CAD]\ * #,##0_-;_-[$CAD]\ * &quot;-&quot;_-;_-@_-"/>
    <numFmt numFmtId="174" formatCode="_-[$CAD]\ * #,##0_-;\-[$CAD]\ * #,##0_-;_-[$CAD]\ * &quot;-&quot;??_-;_-@_-"/>
    <numFmt numFmtId="175" formatCode="_-[$£-809]* #,##0.00_-;\-[$£-809]* #,##0.00_-;_-[$£-809]* &quot;-&quot;??_-;_-@_-"/>
    <numFmt numFmtId="176" formatCode="_-[$£-809]* #,##0_-;\-[$£-809]* #,##0_-;_-[$£-809]* &quot;-&quot;??_-;_-@_-"/>
    <numFmt numFmtId="177" formatCode="_-[$€-2]\ * #,##0.00_-;\-[$€-2]\ * #,##0.00_-;_-[$€-2]\ * &quot;-&quot;??_-;_-@_-"/>
    <numFmt numFmtId="178" formatCode="_-[$€-2]\ * #,##0_-;\-[$€-2]\ * #,##0_-;_-[$€-2]\ * &quot;-&quot;??_-;_-@_-"/>
    <numFmt numFmtId="179" formatCode="_-[$SGD]\ * #,##0.00_-;\-[$SGD]\ * #,##0.00_-;_-[$SGD]\ * &quot;-&quot;??_-;_-@_-"/>
    <numFmt numFmtId="180" formatCode="_-[$SGD]\ * #,##0_-;\-[$SGD]\ * #,##0_-;_-[$SGD]\ * &quot;-&quot;??_-;_-@_-"/>
    <numFmt numFmtId="181" formatCode="_ [$¥-804]* #,##0.00_ ;_ [$¥-804]* \-#,##0.00_ ;_ [$¥-804]* &quot;-&quot;??_ ;_ @_ "/>
    <numFmt numFmtId="182" formatCode="_ [$¥-804]* #,##0_ ;_ [$¥-804]* \-#,##0_ ;_ [$¥-804]* &quot;-&quot;??_ ;_ @_ "/>
    <numFmt numFmtId="183" formatCode="_-[$¥-411]* #,##0_-;\-[$¥-411]* #,##0_-;_-[$¥-411]* &quot;-&quot;??_-;_-@_-"/>
    <numFmt numFmtId="184" formatCode="_-[$MXN]\ * #,##0.00_-;\-[$MXN]\ * #,##0.00_-;_-[$MXN]\ * &quot;-&quot;??_-;_-@_-"/>
    <numFmt numFmtId="185" formatCode="_-[$MXN]\ * #,##0_-;\-[$MXN]\ * #,##0_-;_-[$MXN]\ * &quot;-&quot;_-;_-@_-"/>
    <numFmt numFmtId="186" formatCode="_-[$MXN]\ * #,##0_-;\-[$MXN]\ * #,##0_-;_-[$MXN]\ * &quot;-&quot;??_-;_-@_-"/>
    <numFmt numFmtId="187" formatCode="_-[$QAR]\ * #,##0_-;\-[$QAR]\ * #,##0_-;_-[$QAR]\ * &quot;-&quot;_-;_-@_-"/>
    <numFmt numFmtId="188" formatCode="_-[$AED-4C09]* #,##0_-;\-[$AED-4C09]* #,##0_-;_-[$AED-4C09]* &quot;-&quot;??_-;_-@_-"/>
    <numFmt numFmtId="189" formatCode="_-[$AED-4C09]* #,##0.00_-;\-[$AED-4C09]* #,##0.00_-;_-[$AED-4C09]* &quot;-&quot;??_-;_-@_-"/>
    <numFmt numFmtId="190" formatCode="_-[$QAR]\ * #,##0_-;\-[$QAR]\ * #,##0_-;_-[$QAR]\ * &quot;-&quot;??_-;_-@_-"/>
  </numFmts>
  <fonts count="29"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32"/>
      <color rgb="FFFFFFFF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b/>
      <sz val="32"/>
      <color theme="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i/>
      <sz val="11"/>
      <color theme="0"/>
      <name val="Arial"/>
      <family val="2"/>
    </font>
    <font>
      <b/>
      <sz val="14"/>
      <color theme="0"/>
      <name val="Arial"/>
      <family val="2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-0.499984740745262"/>
        <bgColor rgb="FF1F65A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rgb="FF1F65A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rgb="FFBBDEF1"/>
      </patternFill>
    </fill>
    <fill>
      <patternFill patternType="solid">
        <fgColor theme="0" tint="-0.34998626667073579"/>
        <bgColor rgb="FFBBDEF1"/>
      </patternFill>
    </fill>
    <fill>
      <patternFill patternType="solid">
        <fgColor theme="1" tint="0.249977111117893"/>
        <bgColor rgb="FF1F65A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rgb="FF1F65A6"/>
      </patternFill>
    </fill>
    <fill>
      <patternFill patternType="solid">
        <fgColor theme="7" tint="0.39997558519241921"/>
        <bgColor rgb="FFBBDEF1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443">
    <xf numFmtId="0" fontId="0" fillId="0" borderId="0" xfId="0"/>
    <xf numFmtId="0" fontId="3" fillId="2" borderId="1" xfId="2" applyFont="1" applyFill="1" applyBorder="1"/>
    <xf numFmtId="0" fontId="3" fillId="2" borderId="2" xfId="2" applyFont="1" applyFill="1" applyBorder="1"/>
    <xf numFmtId="0" fontId="2" fillId="0" borderId="0" xfId="2"/>
    <xf numFmtId="0" fontId="3" fillId="2" borderId="4" xfId="2" applyFont="1" applyFill="1" applyBorder="1"/>
    <xf numFmtId="0" fontId="3" fillId="2" borderId="0" xfId="2" applyFont="1" applyFill="1"/>
    <xf numFmtId="0" fontId="2" fillId="0" borderId="5" xfId="2" applyBorder="1"/>
    <xf numFmtId="0" fontId="10" fillId="0" borderId="9" xfId="2" applyFont="1" applyBorder="1" applyAlignment="1">
      <alignment horizont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166" fontId="9" fillId="0" borderId="9" xfId="2" applyNumberFormat="1" applyFont="1" applyBorder="1" applyAlignment="1">
      <alignment horizontal="right" vertical="center"/>
    </xf>
    <xf numFmtId="10" fontId="9" fillId="0" borderId="9" xfId="2" applyNumberFormat="1" applyFont="1" applyBorder="1" applyAlignment="1">
      <alignment horizontal="right" vertical="center"/>
    </xf>
    <xf numFmtId="168" fontId="9" fillId="0" borderId="9" xfId="2" applyNumberFormat="1" applyFont="1" applyBorder="1" applyAlignment="1">
      <alignment horizontal="right" vertical="center"/>
    </xf>
    <xf numFmtId="170" fontId="9" fillId="0" borderId="0" xfId="2" applyNumberFormat="1" applyFont="1" applyAlignment="1">
      <alignment horizontal="right" vertical="center"/>
    </xf>
    <xf numFmtId="172" fontId="9" fillId="0" borderId="0" xfId="2" applyNumberFormat="1" applyFont="1" applyAlignment="1">
      <alignment horizontal="right" vertical="center"/>
    </xf>
    <xf numFmtId="0" fontId="16" fillId="0" borderId="9" xfId="2" applyFont="1" applyBorder="1" applyAlignment="1">
      <alignment horizontal="center"/>
    </xf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179" fontId="9" fillId="0" borderId="9" xfId="2" applyNumberFormat="1" applyFont="1" applyBorder="1" applyAlignment="1">
      <alignment horizontal="right" vertical="center"/>
    </xf>
    <xf numFmtId="0" fontId="6" fillId="4" borderId="1" xfId="2" applyFont="1" applyFill="1" applyBorder="1"/>
    <xf numFmtId="0" fontId="6" fillId="4" borderId="2" xfId="2" applyFont="1" applyFill="1" applyBorder="1"/>
    <xf numFmtId="0" fontId="6" fillId="4" borderId="4" xfId="2" applyFont="1" applyFill="1" applyBorder="1"/>
    <xf numFmtId="0" fontId="6" fillId="4" borderId="0" xfId="2" applyFont="1" applyFill="1"/>
    <xf numFmtId="183" fontId="9" fillId="0" borderId="0" xfId="2" applyNumberFormat="1" applyFont="1" applyAlignment="1">
      <alignment horizontal="left" vertical="center" indent="1"/>
    </xf>
    <xf numFmtId="0" fontId="3" fillId="4" borderId="1" xfId="2" applyFont="1" applyFill="1" applyBorder="1"/>
    <xf numFmtId="0" fontId="3" fillId="4" borderId="2" xfId="2" applyFont="1" applyFill="1" applyBorder="1"/>
    <xf numFmtId="0" fontId="3" fillId="4" borderId="4" xfId="2" applyFont="1" applyFill="1" applyBorder="1"/>
    <xf numFmtId="0" fontId="3" fillId="4" borderId="0" xfId="2" applyFont="1" applyFill="1"/>
    <xf numFmtId="184" fontId="9" fillId="0" borderId="0" xfId="2" applyNumberFormat="1" applyFont="1" applyAlignment="1">
      <alignment horizontal="right" vertical="center"/>
    </xf>
    <xf numFmtId="170" fontId="9" fillId="0" borderId="9" xfId="2" applyNumberFormat="1" applyFont="1" applyBorder="1" applyAlignment="1">
      <alignment horizontal="right" vertical="center"/>
    </xf>
    <xf numFmtId="172" fontId="9" fillId="0" borderId="9" xfId="2" applyNumberFormat="1" applyFont="1" applyBorder="1" applyAlignment="1">
      <alignment horizontal="right" vertical="center"/>
    </xf>
    <xf numFmtId="175" fontId="9" fillId="0" borderId="9" xfId="2" applyNumberFormat="1" applyFont="1" applyBorder="1" applyAlignment="1">
      <alignment horizontal="right" vertical="center"/>
    </xf>
    <xf numFmtId="175" fontId="9" fillId="0" borderId="0" xfId="2" applyNumberFormat="1" applyFont="1" applyAlignment="1">
      <alignment horizontal="right" vertical="center"/>
    </xf>
    <xf numFmtId="177" fontId="9" fillId="0" borderId="0" xfId="2" applyNumberFormat="1" applyFont="1" applyAlignment="1">
      <alignment horizontal="right" vertical="center"/>
    </xf>
    <xf numFmtId="177" fontId="9" fillId="0" borderId="9" xfId="2" applyNumberFormat="1" applyFont="1" applyBorder="1" applyAlignment="1">
      <alignment horizontal="right" vertical="center"/>
    </xf>
    <xf numFmtId="181" fontId="9" fillId="0" borderId="9" xfId="2" applyNumberFormat="1" applyFont="1" applyBorder="1" applyAlignment="1">
      <alignment horizontal="right" vertical="center"/>
    </xf>
    <xf numFmtId="181" fontId="9" fillId="0" borderId="0" xfId="2" applyNumberFormat="1" applyFont="1" applyAlignment="1">
      <alignment horizontal="right" vertical="center"/>
    </xf>
    <xf numFmtId="0" fontId="22" fillId="6" borderId="9" xfId="2" applyFont="1" applyFill="1" applyBorder="1" applyAlignment="1">
      <alignment horizontal="center"/>
    </xf>
    <xf numFmtId="183" fontId="9" fillId="0" borderId="9" xfId="2" applyNumberFormat="1" applyFont="1" applyBorder="1" applyAlignment="1">
      <alignment horizontal="left" vertical="center" indent="1"/>
    </xf>
    <xf numFmtId="183" fontId="9" fillId="0" borderId="21" xfId="2" applyNumberFormat="1" applyFont="1" applyBorder="1" applyAlignment="1">
      <alignment horizontal="center" vertical="center"/>
    </xf>
    <xf numFmtId="183" fontId="9" fillId="0" borderId="22" xfId="2" applyNumberFormat="1" applyFont="1" applyBorder="1" applyAlignment="1">
      <alignment horizontal="center" vertical="center"/>
    </xf>
    <xf numFmtId="0" fontId="28" fillId="5" borderId="9" xfId="2" applyFont="1" applyFill="1" applyBorder="1" applyAlignment="1">
      <alignment horizontal="center"/>
    </xf>
    <xf numFmtId="184" fontId="9" fillId="0" borderId="9" xfId="2" applyNumberFormat="1" applyFont="1" applyBorder="1" applyAlignment="1">
      <alignment horizontal="right" vertical="center"/>
    </xf>
    <xf numFmtId="190" fontId="9" fillId="0" borderId="9" xfId="2" applyNumberFormat="1" applyFont="1" applyBorder="1" applyAlignment="1">
      <alignment horizontal="right" vertical="center"/>
    </xf>
    <xf numFmtId="10" fontId="9" fillId="0" borderId="8" xfId="2" applyNumberFormat="1" applyFont="1" applyBorder="1" applyAlignment="1">
      <alignment horizontal="right" vertical="center"/>
    </xf>
    <xf numFmtId="188" fontId="9" fillId="0" borderId="0" xfId="2" applyNumberFormat="1" applyFont="1" applyAlignment="1">
      <alignment horizontal="right" vertical="center"/>
    </xf>
    <xf numFmtId="0" fontId="14" fillId="2" borderId="2" xfId="2" applyFont="1" applyFill="1" applyBorder="1" applyAlignment="1">
      <alignment horizontal="right" vertical="center"/>
    </xf>
    <xf numFmtId="0" fontId="14" fillId="2" borderId="3" xfId="2" applyFont="1" applyFill="1" applyBorder="1" applyAlignment="1">
      <alignment horizontal="right" vertical="center"/>
    </xf>
    <xf numFmtId="0" fontId="18" fillId="2" borderId="0" xfId="2" applyFont="1" applyFill="1" applyAlignment="1">
      <alignment horizontal="right"/>
    </xf>
    <xf numFmtId="0" fontId="18" fillId="2" borderId="5" xfId="2" applyFont="1" applyFill="1" applyBorder="1" applyAlignment="1">
      <alignment horizontal="right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7" fillId="0" borderId="4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horizontal="left" vertical="center"/>
    </xf>
    <xf numFmtId="0" fontId="8" fillId="0" borderId="5" xfId="2" applyFont="1" applyBorder="1" applyAlignment="1">
      <alignment horizontal="left" vertical="center"/>
    </xf>
    <xf numFmtId="0" fontId="8" fillId="0" borderId="4" xfId="2" applyFont="1" applyBorder="1" applyAlignment="1">
      <alignment vertical="center"/>
    </xf>
    <xf numFmtId="165" fontId="9" fillId="0" borderId="0" xfId="2" applyNumberFormat="1" applyFont="1" applyAlignment="1">
      <alignment horizontal="left" vertical="center"/>
    </xf>
    <xf numFmtId="165" fontId="9" fillId="0" borderId="5" xfId="2" applyNumberFormat="1" applyFont="1" applyBorder="1" applyAlignment="1">
      <alignment horizontal="left" vertical="center"/>
    </xf>
    <xf numFmtId="167" fontId="12" fillId="0" borderId="15" xfId="2" applyNumberFormat="1" applyFont="1" applyBorder="1" applyAlignment="1">
      <alignment vertical="center"/>
    </xf>
    <xf numFmtId="167" fontId="12" fillId="0" borderId="16" xfId="2" applyNumberFormat="1" applyFont="1" applyBorder="1" applyAlignment="1">
      <alignment vertical="center"/>
    </xf>
    <xf numFmtId="0" fontId="12" fillId="0" borderId="21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166" fontId="12" fillId="0" borderId="21" xfId="2" applyNumberFormat="1" applyFont="1" applyBorder="1" applyAlignment="1">
      <alignment vertical="center"/>
    </xf>
    <xf numFmtId="166" fontId="12" fillId="0" borderId="22" xfId="2" applyNumberFormat="1" applyFont="1" applyBorder="1" applyAlignment="1">
      <alignment vertical="center"/>
    </xf>
    <xf numFmtId="0" fontId="16" fillId="0" borderId="9" xfId="2" applyFont="1" applyBorder="1" applyAlignment="1">
      <alignment horizontal="center"/>
    </xf>
    <xf numFmtId="0" fontId="16" fillId="0" borderId="10" xfId="2" applyFont="1" applyBorder="1" applyAlignment="1">
      <alignment horizontal="center"/>
    </xf>
    <xf numFmtId="167" fontId="9" fillId="0" borderId="9" xfId="2" applyNumberFormat="1" applyFont="1" applyBorder="1" applyAlignment="1">
      <alignment horizontal="left" vertical="center"/>
    </xf>
    <xf numFmtId="167" fontId="9" fillId="0" borderId="10" xfId="2" applyNumberFormat="1" applyFont="1" applyBorder="1" applyAlignment="1">
      <alignment horizontal="left" vertical="center"/>
    </xf>
    <xf numFmtId="0" fontId="12" fillId="3" borderId="11" xfId="2" applyFont="1" applyFill="1" applyBorder="1" applyAlignment="1">
      <alignment horizontal="center" vertical="center"/>
    </xf>
    <xf numFmtId="0" fontId="12" fillId="3" borderId="9" xfId="2" applyFont="1" applyFill="1" applyBorder="1" applyAlignment="1">
      <alignment horizontal="center" vertical="center"/>
    </xf>
    <xf numFmtId="167" fontId="12" fillId="3" borderId="9" xfId="2" applyNumberFormat="1" applyFont="1" applyFill="1" applyBorder="1" applyAlignment="1">
      <alignment horizontal="left" vertical="center"/>
    </xf>
    <xf numFmtId="167" fontId="12" fillId="3" borderId="10" xfId="2" applyNumberFormat="1" applyFont="1" applyFill="1" applyBorder="1" applyAlignment="1">
      <alignment horizontal="left" vertical="center"/>
    </xf>
    <xf numFmtId="0" fontId="7" fillId="0" borderId="15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24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167" fontId="9" fillId="0" borderId="9" xfId="2" applyNumberFormat="1" applyFont="1" applyBorder="1" applyAlignment="1">
      <alignment horizontal="center" vertical="center"/>
    </xf>
    <xf numFmtId="167" fontId="9" fillId="0" borderId="10" xfId="2" applyNumberFormat="1" applyFont="1" applyBorder="1" applyAlignment="1">
      <alignment horizontal="center" vertical="center"/>
    </xf>
    <xf numFmtId="0" fontId="25" fillId="3" borderId="26" xfId="2" applyFont="1" applyFill="1" applyBorder="1" applyAlignment="1">
      <alignment horizontal="center" vertical="center"/>
    </xf>
    <xf numFmtId="0" fontId="25" fillId="3" borderId="27" xfId="2" applyFont="1" applyFill="1" applyBorder="1" applyAlignment="1">
      <alignment horizontal="center" vertical="center"/>
    </xf>
    <xf numFmtId="0" fontId="25" fillId="3" borderId="28" xfId="2" applyFont="1" applyFill="1" applyBorder="1" applyAlignment="1">
      <alignment horizontal="center" vertical="center"/>
    </xf>
    <xf numFmtId="0" fontId="16" fillId="0" borderId="6" xfId="2" applyFont="1" applyBorder="1" applyAlignment="1">
      <alignment horizontal="center"/>
    </xf>
    <xf numFmtId="0" fontId="16" fillId="0" borderId="7" xfId="2" applyFont="1" applyBorder="1" applyAlignment="1">
      <alignment horizontal="center"/>
    </xf>
    <xf numFmtId="0" fontId="16" fillId="0" borderId="8" xfId="2" applyFont="1" applyBorder="1" applyAlignment="1">
      <alignment horizont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7" fillId="12" borderId="12" xfId="2" applyFont="1" applyFill="1" applyBorder="1" applyAlignment="1">
      <alignment horizontal="center" vertical="center"/>
    </xf>
    <xf numFmtId="0" fontId="7" fillId="12" borderId="13" xfId="2" applyFont="1" applyFill="1" applyBorder="1" applyAlignment="1">
      <alignment horizontal="center" vertical="center"/>
    </xf>
    <xf numFmtId="0" fontId="7" fillId="12" borderId="14" xfId="2" applyFont="1" applyFill="1" applyBorder="1" applyAlignment="1">
      <alignment horizontal="center" vertical="center"/>
    </xf>
    <xf numFmtId="0" fontId="7" fillId="12" borderId="4" xfId="2" applyFont="1" applyFill="1" applyBorder="1" applyAlignment="1">
      <alignment horizontal="center" vertical="center"/>
    </xf>
    <xf numFmtId="0" fontId="7" fillId="12" borderId="0" xfId="2" applyFont="1" applyFill="1" applyAlignment="1">
      <alignment horizontal="center" vertical="center"/>
    </xf>
    <xf numFmtId="0" fontId="7" fillId="12" borderId="17" xfId="2" applyFont="1" applyFill="1" applyBorder="1" applyAlignment="1">
      <alignment horizontal="center" vertical="center"/>
    </xf>
    <xf numFmtId="0" fontId="7" fillId="12" borderId="18" xfId="2" applyFont="1" applyFill="1" applyBorder="1" applyAlignment="1">
      <alignment horizontal="center" vertical="center"/>
    </xf>
    <xf numFmtId="0" fontId="7" fillId="12" borderId="19" xfId="2" applyFont="1" applyFill="1" applyBorder="1" applyAlignment="1">
      <alignment horizontal="center" vertical="center"/>
    </xf>
    <xf numFmtId="0" fontId="7" fillId="12" borderId="20" xfId="2" applyFont="1" applyFill="1" applyBorder="1" applyAlignment="1">
      <alignment horizontal="center" vertical="center"/>
    </xf>
    <xf numFmtId="0" fontId="27" fillId="2" borderId="13" xfId="2" applyFont="1" applyFill="1" applyBorder="1" applyAlignment="1">
      <alignment horizontal="center" vertical="center"/>
    </xf>
    <xf numFmtId="0" fontId="27" fillId="2" borderId="14" xfId="2" applyFont="1" applyFill="1" applyBorder="1" applyAlignment="1">
      <alignment horizontal="center" vertical="center"/>
    </xf>
    <xf numFmtId="0" fontId="27" fillId="2" borderId="0" xfId="2" applyFont="1" applyFill="1" applyAlignment="1">
      <alignment horizontal="center" vertical="center"/>
    </xf>
    <xf numFmtId="0" fontId="27" fillId="2" borderId="17" xfId="2" applyFont="1" applyFill="1" applyBorder="1" applyAlignment="1">
      <alignment horizontal="center" vertical="center"/>
    </xf>
    <xf numFmtId="0" fontId="27" fillId="2" borderId="19" xfId="2" applyFont="1" applyFill="1" applyBorder="1" applyAlignment="1">
      <alignment horizontal="center" vertical="center"/>
    </xf>
    <xf numFmtId="0" fontId="27" fillId="2" borderId="20" xfId="2" applyFont="1" applyFill="1" applyBorder="1" applyAlignment="1">
      <alignment horizontal="center" vertical="center"/>
    </xf>
    <xf numFmtId="167" fontId="21" fillId="2" borderId="13" xfId="2" applyNumberFormat="1" applyFont="1" applyFill="1" applyBorder="1" applyAlignment="1">
      <alignment horizontal="left" vertical="center"/>
    </xf>
    <xf numFmtId="0" fontId="21" fillId="2" borderId="16" xfId="2" applyFont="1" applyFill="1" applyBorder="1" applyAlignment="1">
      <alignment horizontal="left" vertical="center"/>
    </xf>
    <xf numFmtId="0" fontId="21" fillId="2" borderId="0" xfId="2" applyFont="1" applyFill="1" applyAlignment="1">
      <alignment horizontal="left" vertical="center"/>
    </xf>
    <xf numFmtId="0" fontId="21" fillId="2" borderId="5" xfId="2" applyFont="1" applyFill="1" applyBorder="1" applyAlignment="1">
      <alignment horizontal="left" vertical="center"/>
    </xf>
    <xf numFmtId="0" fontId="21" fillId="2" borderId="19" xfId="2" applyFont="1" applyFill="1" applyBorder="1" applyAlignment="1">
      <alignment horizontal="left" vertical="center"/>
    </xf>
    <xf numFmtId="0" fontId="21" fillId="2" borderId="23" xfId="2" applyFont="1" applyFill="1" applyBorder="1" applyAlignment="1">
      <alignment horizontal="left" vertical="center"/>
    </xf>
    <xf numFmtId="0" fontId="7" fillId="0" borderId="12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17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7" fillId="2" borderId="0" xfId="2" applyFont="1" applyFill="1" applyAlignment="1">
      <alignment horizontal="right"/>
    </xf>
    <xf numFmtId="0" fontId="17" fillId="2" borderId="5" xfId="2" applyFont="1" applyFill="1" applyBorder="1" applyAlignment="1">
      <alignment horizontal="right"/>
    </xf>
    <xf numFmtId="169" fontId="9" fillId="0" borderId="21" xfId="2" applyNumberFormat="1" applyFont="1" applyBorder="1" applyAlignment="1">
      <alignment horizontal="center" vertical="center"/>
    </xf>
    <xf numFmtId="169" fontId="9" fillId="0" borderId="22" xfId="2" applyNumberFormat="1" applyFont="1" applyBorder="1" applyAlignment="1">
      <alignment horizontal="center" vertical="center"/>
    </xf>
    <xf numFmtId="169" fontId="12" fillId="3" borderId="9" xfId="2" applyNumberFormat="1" applyFont="1" applyFill="1" applyBorder="1" applyAlignment="1">
      <alignment horizontal="left" vertical="center"/>
    </xf>
    <xf numFmtId="169" fontId="12" fillId="3" borderId="10" xfId="2" applyNumberFormat="1" applyFont="1" applyFill="1" applyBorder="1" applyAlignment="1">
      <alignment horizontal="left" vertical="center"/>
    </xf>
    <xf numFmtId="0" fontId="14" fillId="2" borderId="13" xfId="2" applyFont="1" applyFill="1" applyBorder="1" applyAlignment="1">
      <alignment horizontal="center" vertical="center"/>
    </xf>
    <xf numFmtId="0" fontId="14" fillId="2" borderId="14" xfId="2" applyFont="1" applyFill="1" applyBorder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14" fillId="2" borderId="17" xfId="2" applyFont="1" applyFill="1" applyBorder="1" applyAlignment="1">
      <alignment horizontal="center" vertical="center"/>
    </xf>
    <xf numFmtId="0" fontId="14" fillId="2" borderId="19" xfId="2" applyFont="1" applyFill="1" applyBorder="1" applyAlignment="1">
      <alignment horizontal="center" vertical="center"/>
    </xf>
    <xf numFmtId="0" fontId="14" fillId="2" borderId="20" xfId="2" applyFont="1" applyFill="1" applyBorder="1" applyAlignment="1">
      <alignment horizontal="center" vertical="center"/>
    </xf>
    <xf numFmtId="169" fontId="4" fillId="2" borderId="13" xfId="2" applyNumberFormat="1" applyFont="1" applyFill="1" applyBorder="1" applyAlignment="1">
      <alignment horizontal="left" vertical="center"/>
    </xf>
    <xf numFmtId="169" fontId="4" fillId="2" borderId="16" xfId="2" applyNumberFormat="1" applyFont="1" applyFill="1" applyBorder="1" applyAlignment="1">
      <alignment horizontal="left" vertical="center"/>
    </xf>
    <xf numFmtId="169" fontId="4" fillId="2" borderId="0" xfId="2" applyNumberFormat="1" applyFont="1" applyFill="1" applyAlignment="1">
      <alignment horizontal="left" vertical="center"/>
    </xf>
    <xf numFmtId="169" fontId="4" fillId="2" borderId="5" xfId="2" applyNumberFormat="1" applyFont="1" applyFill="1" applyBorder="1" applyAlignment="1">
      <alignment horizontal="left" vertical="center"/>
    </xf>
    <xf numFmtId="169" fontId="4" fillId="2" borderId="19" xfId="2" applyNumberFormat="1" applyFont="1" applyFill="1" applyBorder="1" applyAlignment="1">
      <alignment horizontal="left" vertical="center"/>
    </xf>
    <xf numFmtId="169" fontId="4" fillId="2" borderId="23" xfId="2" applyNumberFormat="1" applyFont="1" applyFill="1" applyBorder="1" applyAlignment="1">
      <alignment horizontal="left" vertical="center"/>
    </xf>
    <xf numFmtId="169" fontId="12" fillId="0" borderId="15" xfId="2" applyNumberFormat="1" applyFont="1" applyBorder="1" applyAlignment="1">
      <alignment vertical="center"/>
    </xf>
    <xf numFmtId="169" fontId="12" fillId="0" borderId="16" xfId="2" applyNumberFormat="1" applyFont="1" applyBorder="1" applyAlignment="1">
      <alignment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168" fontId="12" fillId="0" borderId="21" xfId="2" applyNumberFormat="1" applyFont="1" applyBorder="1" applyAlignment="1">
      <alignment vertical="center"/>
    </xf>
    <xf numFmtId="168" fontId="12" fillId="0" borderId="22" xfId="2" applyNumberFormat="1" applyFont="1" applyBorder="1" applyAlignment="1">
      <alignment vertical="center"/>
    </xf>
    <xf numFmtId="169" fontId="9" fillId="0" borderId="25" xfId="2" applyNumberFormat="1" applyFont="1" applyBorder="1" applyAlignment="1">
      <alignment horizontal="center" vertical="center"/>
    </xf>
    <xf numFmtId="169" fontId="9" fillId="0" borderId="23" xfId="2" applyNumberFormat="1" applyFont="1" applyBorder="1" applyAlignment="1">
      <alignment horizontal="center" vertical="center"/>
    </xf>
    <xf numFmtId="169" fontId="9" fillId="0" borderId="0" xfId="2" applyNumberFormat="1" applyFont="1" applyAlignment="1">
      <alignment horizontal="center" vertical="center"/>
    </xf>
    <xf numFmtId="169" fontId="9" fillId="0" borderId="5" xfId="2" applyNumberFormat="1" applyFont="1" applyBorder="1" applyAlignment="1">
      <alignment horizontal="center" vertical="center"/>
    </xf>
    <xf numFmtId="170" fontId="12" fillId="0" borderId="21" xfId="2" applyNumberFormat="1" applyFont="1" applyBorder="1" applyAlignment="1">
      <alignment vertical="center"/>
    </xf>
    <xf numFmtId="170" fontId="12" fillId="0" borderId="22" xfId="2" applyNumberFormat="1" applyFont="1" applyBorder="1" applyAlignment="1">
      <alignment vertical="center"/>
    </xf>
    <xf numFmtId="0" fontId="10" fillId="0" borderId="9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171" fontId="9" fillId="0" borderId="21" xfId="2" applyNumberFormat="1" applyFont="1" applyBorder="1" applyAlignment="1">
      <alignment horizontal="center" vertical="center"/>
    </xf>
    <xf numFmtId="171" fontId="9" fillId="0" borderId="22" xfId="2" applyNumberFormat="1" applyFont="1" applyBorder="1" applyAlignment="1">
      <alignment horizontal="center" vertical="center"/>
    </xf>
    <xf numFmtId="171" fontId="12" fillId="3" borderId="9" xfId="2" applyNumberFormat="1" applyFont="1" applyFill="1" applyBorder="1" applyAlignment="1">
      <alignment horizontal="center" vertical="center"/>
    </xf>
    <xf numFmtId="171" fontId="12" fillId="3" borderId="10" xfId="2" applyNumberFormat="1" applyFont="1" applyFill="1" applyBorder="1" applyAlignment="1">
      <alignment horizontal="center" vertical="center"/>
    </xf>
    <xf numFmtId="171" fontId="9" fillId="0" borderId="0" xfId="2" applyNumberFormat="1" applyFont="1" applyAlignment="1">
      <alignment horizontal="center" vertical="center"/>
    </xf>
    <xf numFmtId="171" fontId="9" fillId="0" borderId="5" xfId="2" applyNumberFormat="1" applyFont="1" applyBorder="1" applyAlignment="1">
      <alignment horizontal="center" vertical="center"/>
    </xf>
    <xf numFmtId="171" fontId="4" fillId="2" borderId="13" xfId="2" applyNumberFormat="1" applyFont="1" applyFill="1" applyBorder="1" applyAlignment="1">
      <alignment horizontal="left" vertical="center"/>
    </xf>
    <xf numFmtId="171" fontId="4" fillId="2" borderId="16" xfId="2" applyNumberFormat="1" applyFont="1" applyFill="1" applyBorder="1" applyAlignment="1">
      <alignment horizontal="left" vertical="center"/>
    </xf>
    <xf numFmtId="171" fontId="4" fillId="2" borderId="0" xfId="2" applyNumberFormat="1" applyFont="1" applyFill="1" applyAlignment="1">
      <alignment horizontal="left" vertical="center"/>
    </xf>
    <xf numFmtId="171" fontId="4" fillId="2" borderId="5" xfId="2" applyNumberFormat="1" applyFont="1" applyFill="1" applyBorder="1" applyAlignment="1">
      <alignment horizontal="left" vertical="center"/>
    </xf>
    <xf numFmtId="171" fontId="4" fillId="2" borderId="19" xfId="2" applyNumberFormat="1" applyFont="1" applyFill="1" applyBorder="1" applyAlignment="1">
      <alignment horizontal="left" vertical="center"/>
    </xf>
    <xf numFmtId="171" fontId="4" fillId="2" borderId="23" xfId="2" applyNumberFormat="1" applyFont="1" applyFill="1" applyBorder="1" applyAlignment="1">
      <alignment horizontal="left" vertical="center"/>
    </xf>
    <xf numFmtId="171" fontId="12" fillId="0" borderId="15" xfId="2" applyNumberFormat="1" applyFont="1" applyBorder="1" applyAlignment="1">
      <alignment vertical="center"/>
    </xf>
    <xf numFmtId="171" fontId="12" fillId="0" borderId="16" xfId="2" applyNumberFormat="1" applyFont="1" applyBorder="1" applyAlignment="1">
      <alignment vertical="center"/>
    </xf>
    <xf numFmtId="172" fontId="12" fillId="0" borderId="21" xfId="2" applyNumberFormat="1" applyFont="1" applyBorder="1" applyAlignment="1">
      <alignment vertical="center"/>
    </xf>
    <xf numFmtId="172" fontId="12" fillId="0" borderId="22" xfId="2" applyNumberFormat="1" applyFont="1" applyBorder="1" applyAlignment="1">
      <alignment vertical="center"/>
    </xf>
    <xf numFmtId="173" fontId="9" fillId="0" borderId="21" xfId="2" applyNumberFormat="1" applyFont="1" applyBorder="1" applyAlignment="1">
      <alignment horizontal="center" vertical="center"/>
    </xf>
    <xf numFmtId="173" fontId="9" fillId="0" borderId="22" xfId="2" applyNumberFormat="1" applyFont="1" applyBorder="1" applyAlignment="1">
      <alignment horizontal="center" vertical="center"/>
    </xf>
    <xf numFmtId="173" fontId="12" fillId="3" borderId="9" xfId="2" applyNumberFormat="1" applyFont="1" applyFill="1" applyBorder="1" applyAlignment="1">
      <alignment horizontal="center" vertical="center"/>
    </xf>
    <xf numFmtId="173" fontId="12" fillId="3" borderId="10" xfId="2" applyNumberFormat="1" applyFont="1" applyFill="1" applyBorder="1" applyAlignment="1">
      <alignment horizontal="center" vertical="center"/>
    </xf>
    <xf numFmtId="174" fontId="4" fillId="2" borderId="13" xfId="2" applyNumberFormat="1" applyFont="1" applyFill="1" applyBorder="1" applyAlignment="1">
      <alignment horizontal="left" vertical="center"/>
    </xf>
    <xf numFmtId="174" fontId="4" fillId="2" borderId="16" xfId="2" applyNumberFormat="1" applyFont="1" applyFill="1" applyBorder="1" applyAlignment="1">
      <alignment horizontal="left" vertical="center"/>
    </xf>
    <xf numFmtId="174" fontId="4" fillId="2" borderId="0" xfId="2" applyNumberFormat="1" applyFont="1" applyFill="1" applyAlignment="1">
      <alignment horizontal="left" vertical="center"/>
    </xf>
    <xf numFmtId="174" fontId="4" fillId="2" borderId="5" xfId="2" applyNumberFormat="1" applyFont="1" applyFill="1" applyBorder="1" applyAlignment="1">
      <alignment horizontal="left" vertical="center"/>
    </xf>
    <xf numFmtId="174" fontId="4" fillId="2" borderId="19" xfId="2" applyNumberFormat="1" applyFont="1" applyFill="1" applyBorder="1" applyAlignment="1">
      <alignment horizontal="left" vertical="center"/>
    </xf>
    <xf numFmtId="174" fontId="4" fillId="2" borderId="23" xfId="2" applyNumberFormat="1" applyFont="1" applyFill="1" applyBorder="1" applyAlignment="1">
      <alignment horizontal="left" vertical="center"/>
    </xf>
    <xf numFmtId="173" fontId="12" fillId="0" borderId="15" xfId="2" applyNumberFormat="1" applyFont="1" applyBorder="1" applyAlignment="1">
      <alignment vertical="center"/>
    </xf>
    <xf numFmtId="173" fontId="12" fillId="0" borderId="16" xfId="2" applyNumberFormat="1" applyFont="1" applyBorder="1" applyAlignment="1">
      <alignment vertical="center"/>
    </xf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169" fontId="14" fillId="2" borderId="13" xfId="2" applyNumberFormat="1" applyFont="1" applyFill="1" applyBorder="1" applyAlignment="1">
      <alignment horizontal="left" vertical="center" indent="1"/>
    </xf>
    <xf numFmtId="169" fontId="14" fillId="2" borderId="16" xfId="2" applyNumberFormat="1" applyFont="1" applyFill="1" applyBorder="1" applyAlignment="1">
      <alignment horizontal="left" vertical="center" indent="1"/>
    </xf>
    <xf numFmtId="169" fontId="14" fillId="2" borderId="0" xfId="2" applyNumberFormat="1" applyFont="1" applyFill="1" applyAlignment="1">
      <alignment horizontal="left" vertical="center" indent="1"/>
    </xf>
    <xf numFmtId="169" fontId="14" fillId="2" borderId="5" xfId="2" applyNumberFormat="1" applyFont="1" applyFill="1" applyBorder="1" applyAlignment="1">
      <alignment horizontal="left" vertical="center" indent="1"/>
    </xf>
    <xf numFmtId="169" fontId="14" fillId="2" borderId="19" xfId="2" applyNumberFormat="1" applyFont="1" applyFill="1" applyBorder="1" applyAlignment="1">
      <alignment horizontal="left" vertical="center" indent="1"/>
    </xf>
    <xf numFmtId="169" fontId="14" fillId="2" borderId="23" xfId="2" applyNumberFormat="1" applyFont="1" applyFill="1" applyBorder="1" applyAlignment="1">
      <alignment horizontal="left" vertical="center" indent="1"/>
    </xf>
    <xf numFmtId="176" fontId="12" fillId="0" borderId="15" xfId="2" applyNumberFormat="1" applyFont="1" applyBorder="1" applyAlignment="1">
      <alignment vertical="center"/>
    </xf>
    <xf numFmtId="176" fontId="12" fillId="0" borderId="16" xfId="2" applyNumberFormat="1" applyFont="1" applyBorder="1" applyAlignment="1">
      <alignment vertical="center"/>
    </xf>
    <xf numFmtId="175" fontId="12" fillId="0" borderId="21" xfId="2" applyNumberFormat="1" applyFont="1" applyBorder="1" applyAlignment="1">
      <alignment vertical="center"/>
    </xf>
    <xf numFmtId="175" fontId="12" fillId="0" borderId="22" xfId="2" applyNumberFormat="1" applyFont="1" applyBorder="1" applyAlignment="1">
      <alignment vertical="center"/>
    </xf>
    <xf numFmtId="176" fontId="9" fillId="0" borderId="21" xfId="2" applyNumberFormat="1" applyFont="1" applyBorder="1" applyAlignment="1">
      <alignment horizontal="center" vertical="center"/>
    </xf>
    <xf numFmtId="176" fontId="9" fillId="0" borderId="22" xfId="2" applyNumberFormat="1" applyFont="1" applyBorder="1" applyAlignment="1">
      <alignment horizontal="center" vertical="center"/>
    </xf>
    <xf numFmtId="176" fontId="12" fillId="3" borderId="9" xfId="2" applyNumberFormat="1" applyFont="1" applyFill="1" applyBorder="1" applyAlignment="1">
      <alignment horizontal="center" vertical="center"/>
    </xf>
    <xf numFmtId="176" fontId="12" fillId="3" borderId="10" xfId="2" applyNumberFormat="1" applyFont="1" applyFill="1" applyBorder="1" applyAlignment="1">
      <alignment horizontal="center" vertical="center"/>
    </xf>
    <xf numFmtId="176" fontId="9" fillId="0" borderId="25" xfId="2" applyNumberFormat="1" applyFont="1" applyBorder="1" applyAlignment="1">
      <alignment horizontal="center" vertical="center"/>
    </xf>
    <xf numFmtId="176" fontId="9" fillId="0" borderId="23" xfId="2" applyNumberFormat="1" applyFont="1" applyBorder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176" fontId="9" fillId="0" borderId="5" xfId="2" applyNumberFormat="1" applyFont="1" applyBorder="1" applyAlignment="1">
      <alignment horizontal="center" vertical="center"/>
    </xf>
    <xf numFmtId="176" fontId="14" fillId="2" borderId="13" xfId="2" applyNumberFormat="1" applyFont="1" applyFill="1" applyBorder="1" applyAlignment="1">
      <alignment horizontal="left" vertical="center" indent="1"/>
    </xf>
    <xf numFmtId="176" fontId="14" fillId="2" borderId="16" xfId="2" applyNumberFormat="1" applyFont="1" applyFill="1" applyBorder="1" applyAlignment="1">
      <alignment horizontal="left" vertical="center" indent="1"/>
    </xf>
    <xf numFmtId="176" fontId="14" fillId="2" borderId="0" xfId="2" applyNumberFormat="1" applyFont="1" applyFill="1" applyAlignment="1">
      <alignment horizontal="left" vertical="center" indent="1"/>
    </xf>
    <xf numFmtId="176" fontId="14" fillId="2" borderId="5" xfId="2" applyNumberFormat="1" applyFont="1" applyFill="1" applyBorder="1" applyAlignment="1">
      <alignment horizontal="left" vertical="center" indent="1"/>
    </xf>
    <xf numFmtId="176" fontId="14" fillId="2" borderId="19" xfId="2" applyNumberFormat="1" applyFont="1" applyFill="1" applyBorder="1" applyAlignment="1">
      <alignment horizontal="left" vertical="center" indent="1"/>
    </xf>
    <xf numFmtId="176" fontId="14" fillId="2" borderId="23" xfId="2" applyNumberFormat="1" applyFont="1" applyFill="1" applyBorder="1" applyAlignment="1">
      <alignment horizontal="left" vertical="center" indent="1"/>
    </xf>
    <xf numFmtId="176" fontId="12" fillId="0" borderId="21" xfId="2" applyNumberFormat="1" applyFont="1" applyBorder="1" applyAlignment="1">
      <alignment vertical="center"/>
    </xf>
    <xf numFmtId="176" fontId="12" fillId="0" borderId="22" xfId="2" applyNumberFormat="1" applyFont="1" applyBorder="1" applyAlignment="1">
      <alignment vertical="center"/>
    </xf>
    <xf numFmtId="0" fontId="8" fillId="0" borderId="4" xfId="2" applyFont="1" applyBorder="1" applyAlignment="1">
      <alignment vertical="center" wrapText="1"/>
    </xf>
    <xf numFmtId="0" fontId="11" fillId="3" borderId="11" xfId="2" applyFont="1" applyFill="1" applyBorder="1" applyAlignment="1">
      <alignment horizontal="center" vertical="center"/>
    </xf>
    <xf numFmtId="0" fontId="11" fillId="3" borderId="9" xfId="2" applyFont="1" applyFill="1" applyBorder="1" applyAlignment="1">
      <alignment horizontal="center" vertical="center"/>
    </xf>
    <xf numFmtId="0" fontId="10" fillId="0" borderId="6" xfId="2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 wrapText="1"/>
    </xf>
    <xf numFmtId="177" fontId="12" fillId="0" borderId="21" xfId="2" applyNumberFormat="1" applyFont="1" applyBorder="1" applyAlignment="1">
      <alignment vertical="center"/>
    </xf>
    <xf numFmtId="177" fontId="12" fillId="0" borderId="22" xfId="2" applyNumberFormat="1" applyFont="1" applyBorder="1" applyAlignment="1">
      <alignment vertical="center"/>
    </xf>
    <xf numFmtId="178" fontId="9" fillId="0" borderId="21" xfId="2" applyNumberFormat="1" applyFont="1" applyBorder="1" applyAlignment="1">
      <alignment horizontal="center" vertical="center"/>
    </xf>
    <xf numFmtId="178" fontId="9" fillId="0" borderId="22" xfId="2" applyNumberFormat="1" applyFont="1" applyBorder="1" applyAlignment="1">
      <alignment horizontal="center" vertical="center"/>
    </xf>
    <xf numFmtId="178" fontId="12" fillId="3" borderId="9" xfId="2" applyNumberFormat="1" applyFont="1" applyFill="1" applyBorder="1" applyAlignment="1">
      <alignment horizontal="center" vertical="center"/>
    </xf>
    <xf numFmtId="178" fontId="12" fillId="3" borderId="10" xfId="2" applyNumberFormat="1" applyFont="1" applyFill="1" applyBorder="1" applyAlignment="1">
      <alignment horizontal="center" vertical="center"/>
    </xf>
    <xf numFmtId="178" fontId="9" fillId="0" borderId="25" xfId="2" applyNumberFormat="1" applyFont="1" applyBorder="1" applyAlignment="1">
      <alignment horizontal="center" vertical="center"/>
    </xf>
    <xf numFmtId="178" fontId="9" fillId="0" borderId="23" xfId="2" applyNumberFormat="1" applyFont="1" applyBorder="1" applyAlignment="1">
      <alignment horizontal="center" vertical="center"/>
    </xf>
    <xf numFmtId="178" fontId="14" fillId="2" borderId="13" xfId="2" applyNumberFormat="1" applyFont="1" applyFill="1" applyBorder="1" applyAlignment="1">
      <alignment horizontal="left" vertical="center"/>
    </xf>
    <xf numFmtId="178" fontId="14" fillId="2" borderId="16" xfId="2" applyNumberFormat="1" applyFont="1" applyFill="1" applyBorder="1" applyAlignment="1">
      <alignment horizontal="left" vertical="center"/>
    </xf>
    <xf numFmtId="178" fontId="14" fillId="2" borderId="0" xfId="2" applyNumberFormat="1" applyFont="1" applyFill="1" applyAlignment="1">
      <alignment horizontal="left" vertical="center"/>
    </xf>
    <xf numFmtId="178" fontId="14" fillId="2" borderId="5" xfId="2" applyNumberFormat="1" applyFont="1" applyFill="1" applyBorder="1" applyAlignment="1">
      <alignment horizontal="left" vertical="center"/>
    </xf>
    <xf numFmtId="178" fontId="14" fillId="2" borderId="19" xfId="2" applyNumberFormat="1" applyFont="1" applyFill="1" applyBorder="1" applyAlignment="1">
      <alignment horizontal="left" vertical="center"/>
    </xf>
    <xf numFmtId="178" fontId="14" fillId="2" borderId="23" xfId="2" applyNumberFormat="1" applyFont="1" applyFill="1" applyBorder="1" applyAlignment="1">
      <alignment horizontal="left" vertical="center"/>
    </xf>
    <xf numFmtId="178" fontId="12" fillId="0" borderId="15" xfId="2" applyNumberFormat="1" applyFont="1" applyBorder="1" applyAlignment="1">
      <alignment vertical="center"/>
    </xf>
    <xf numFmtId="178" fontId="12" fillId="0" borderId="16" xfId="2" applyNumberFormat="1" applyFont="1" applyBorder="1" applyAlignment="1">
      <alignment vertical="center"/>
    </xf>
    <xf numFmtId="180" fontId="12" fillId="0" borderId="15" xfId="2" applyNumberFormat="1" applyFont="1" applyBorder="1" applyAlignment="1">
      <alignment vertical="center"/>
    </xf>
    <xf numFmtId="180" fontId="12" fillId="0" borderId="16" xfId="2" applyNumberFormat="1" applyFont="1" applyBorder="1" applyAlignment="1">
      <alignment vertical="center"/>
    </xf>
    <xf numFmtId="179" fontId="12" fillId="0" borderId="21" xfId="2" applyNumberFormat="1" applyFont="1" applyBorder="1" applyAlignment="1">
      <alignment vertical="center"/>
    </xf>
    <xf numFmtId="179" fontId="12" fillId="0" borderId="22" xfId="2" applyNumberFormat="1" applyFont="1" applyBorder="1" applyAlignment="1">
      <alignment vertical="center"/>
    </xf>
    <xf numFmtId="180" fontId="9" fillId="0" borderId="21" xfId="2" applyNumberFormat="1" applyFont="1" applyBorder="1" applyAlignment="1">
      <alignment horizontal="center" vertical="center"/>
    </xf>
    <xf numFmtId="180" fontId="9" fillId="0" borderId="22" xfId="2" applyNumberFormat="1" applyFont="1" applyBorder="1" applyAlignment="1">
      <alignment horizontal="center" vertical="center"/>
    </xf>
    <xf numFmtId="180" fontId="12" fillId="3" borderId="9" xfId="2" applyNumberFormat="1" applyFont="1" applyFill="1" applyBorder="1" applyAlignment="1">
      <alignment horizontal="left" vertical="center"/>
    </xf>
    <xf numFmtId="180" fontId="12" fillId="3" borderId="10" xfId="2" applyNumberFormat="1" applyFont="1" applyFill="1" applyBorder="1" applyAlignment="1">
      <alignment horizontal="left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0" fontId="9" fillId="0" borderId="5" xfId="2" applyNumberFormat="1" applyFont="1" applyBorder="1" applyAlignment="1">
      <alignment horizontal="center" vertical="center"/>
    </xf>
    <xf numFmtId="180" fontId="20" fillId="2" borderId="13" xfId="2" applyNumberFormat="1" applyFont="1" applyFill="1" applyBorder="1" applyAlignment="1">
      <alignment horizontal="left" vertical="center"/>
    </xf>
    <xf numFmtId="180" fontId="20" fillId="2" borderId="16" xfId="2" applyNumberFormat="1" applyFont="1" applyFill="1" applyBorder="1" applyAlignment="1">
      <alignment horizontal="left" vertical="center"/>
    </xf>
    <xf numFmtId="180" fontId="20" fillId="2" borderId="0" xfId="2" applyNumberFormat="1" applyFont="1" applyFill="1" applyAlignment="1">
      <alignment horizontal="left" vertical="center"/>
    </xf>
    <xf numFmtId="180" fontId="20" fillId="2" borderId="5" xfId="2" applyNumberFormat="1" applyFont="1" applyFill="1" applyBorder="1" applyAlignment="1">
      <alignment horizontal="left" vertical="center"/>
    </xf>
    <xf numFmtId="180" fontId="20" fillId="2" borderId="19" xfId="2" applyNumberFormat="1" applyFont="1" applyFill="1" applyBorder="1" applyAlignment="1">
      <alignment horizontal="left" vertical="center"/>
    </xf>
    <xf numFmtId="180" fontId="20" fillId="2" borderId="23" xfId="2" applyNumberFormat="1" applyFont="1" applyFill="1" applyBorder="1" applyAlignment="1">
      <alignment horizontal="left" vertical="center"/>
    </xf>
    <xf numFmtId="182" fontId="12" fillId="0" borderId="15" xfId="2" applyNumberFormat="1" applyFont="1" applyBorder="1" applyAlignment="1">
      <alignment vertical="center"/>
    </xf>
    <xf numFmtId="182" fontId="12" fillId="0" borderId="16" xfId="2" applyNumberFormat="1" applyFont="1" applyBorder="1" applyAlignment="1">
      <alignment vertical="center"/>
    </xf>
    <xf numFmtId="181" fontId="12" fillId="0" borderId="21" xfId="2" applyNumberFormat="1" applyFont="1" applyBorder="1" applyAlignment="1">
      <alignment vertical="center"/>
    </xf>
    <xf numFmtId="181" fontId="12" fillId="0" borderId="22" xfId="2" applyNumberFormat="1" applyFont="1" applyBorder="1" applyAlignment="1">
      <alignment vertical="center"/>
    </xf>
    <xf numFmtId="182" fontId="9" fillId="0" borderId="21" xfId="2" applyNumberFormat="1" applyFont="1" applyBorder="1" applyAlignment="1">
      <alignment horizontal="center" vertical="center"/>
    </xf>
    <xf numFmtId="182" fontId="9" fillId="0" borderId="22" xfId="2" applyNumberFormat="1" applyFont="1" applyBorder="1" applyAlignment="1">
      <alignment horizontal="center" vertical="center"/>
    </xf>
    <xf numFmtId="182" fontId="12" fillId="3" borderId="9" xfId="2" applyNumberFormat="1" applyFont="1" applyFill="1" applyBorder="1" applyAlignment="1">
      <alignment horizontal="center" vertical="center"/>
    </xf>
    <xf numFmtId="182" fontId="12" fillId="3" borderId="10" xfId="2" applyNumberFormat="1" applyFont="1" applyFill="1" applyBorder="1" applyAlignment="1">
      <alignment horizontal="center" vertical="center"/>
    </xf>
    <xf numFmtId="182" fontId="9" fillId="0" borderId="0" xfId="2" applyNumberFormat="1" applyFont="1" applyAlignment="1">
      <alignment horizontal="center" vertical="center"/>
    </xf>
    <xf numFmtId="182" fontId="9" fillId="0" borderId="5" xfId="2" applyNumberFormat="1" applyFont="1" applyBorder="1" applyAlignment="1">
      <alignment horizontal="center" vertical="center"/>
    </xf>
    <xf numFmtId="182" fontId="14" fillId="2" borderId="13" xfId="2" applyNumberFormat="1" applyFont="1" applyFill="1" applyBorder="1" applyAlignment="1">
      <alignment horizontal="left" vertical="center"/>
    </xf>
    <xf numFmtId="182" fontId="14" fillId="2" borderId="16" xfId="2" applyNumberFormat="1" applyFont="1" applyFill="1" applyBorder="1" applyAlignment="1">
      <alignment horizontal="left" vertical="center"/>
    </xf>
    <xf numFmtId="182" fontId="14" fillId="2" borderId="0" xfId="2" applyNumberFormat="1" applyFont="1" applyFill="1" applyAlignment="1">
      <alignment horizontal="left" vertical="center"/>
    </xf>
    <xf numFmtId="182" fontId="14" fillId="2" borderId="5" xfId="2" applyNumberFormat="1" applyFont="1" applyFill="1" applyBorder="1" applyAlignment="1">
      <alignment horizontal="left" vertical="center"/>
    </xf>
    <xf numFmtId="182" fontId="14" fillId="2" borderId="19" xfId="2" applyNumberFormat="1" applyFont="1" applyFill="1" applyBorder="1" applyAlignment="1">
      <alignment horizontal="left" vertical="center"/>
    </xf>
    <xf numFmtId="182" fontId="14" fillId="2" borderId="23" xfId="2" applyNumberFormat="1" applyFont="1" applyFill="1" applyBorder="1" applyAlignment="1">
      <alignment horizontal="left" vertical="center"/>
    </xf>
    <xf numFmtId="0" fontId="27" fillId="4" borderId="2" xfId="2" applyFont="1" applyFill="1" applyBorder="1" applyAlignment="1">
      <alignment horizontal="right" vertical="center"/>
    </xf>
    <xf numFmtId="0" fontId="27" fillId="4" borderId="3" xfId="2" applyFont="1" applyFill="1" applyBorder="1" applyAlignment="1">
      <alignment horizontal="right" vertical="center"/>
    </xf>
    <xf numFmtId="0" fontId="22" fillId="4" borderId="0" xfId="2" applyFont="1" applyFill="1" applyAlignment="1">
      <alignment horizontal="right"/>
    </xf>
    <xf numFmtId="0" fontId="22" fillId="4" borderId="5" xfId="2" applyFont="1" applyFill="1" applyBorder="1" applyAlignment="1">
      <alignment horizontal="right"/>
    </xf>
    <xf numFmtId="0" fontId="23" fillId="4" borderId="4" xfId="2" applyFont="1" applyFill="1" applyBorder="1" applyAlignment="1">
      <alignment horizontal="center" vertical="center"/>
    </xf>
    <xf numFmtId="0" fontId="23" fillId="4" borderId="0" xfId="2" applyFont="1" applyFill="1" applyAlignment="1">
      <alignment horizontal="center" vertical="center"/>
    </xf>
    <xf numFmtId="0" fontId="23" fillId="4" borderId="5" xfId="2" applyFont="1" applyFill="1" applyBorder="1" applyAlignment="1">
      <alignment horizontal="center" vertical="center"/>
    </xf>
    <xf numFmtId="183" fontId="12" fillId="0" borderId="15" xfId="2" applyNumberFormat="1" applyFont="1" applyBorder="1" applyAlignment="1">
      <alignment horizontal="center" vertical="center"/>
    </xf>
    <xf numFmtId="183" fontId="12" fillId="0" borderId="16" xfId="2" applyNumberFormat="1" applyFont="1" applyBorder="1" applyAlignment="1">
      <alignment horizontal="center" vertical="center"/>
    </xf>
    <xf numFmtId="183" fontId="12" fillId="0" borderId="21" xfId="2" applyNumberFormat="1" applyFont="1" applyBorder="1" applyAlignment="1">
      <alignment vertical="center"/>
    </xf>
    <xf numFmtId="183" fontId="12" fillId="0" borderId="22" xfId="2" applyNumberFormat="1" applyFont="1" applyBorder="1" applyAlignment="1">
      <alignment vertical="center"/>
    </xf>
    <xf numFmtId="0" fontId="22" fillId="6" borderId="9" xfId="2" applyFont="1" applyFill="1" applyBorder="1" applyAlignment="1">
      <alignment horizontal="center"/>
    </xf>
    <xf numFmtId="0" fontId="22" fillId="6" borderId="10" xfId="2" applyFont="1" applyFill="1" applyBorder="1" applyAlignment="1">
      <alignment horizontal="center"/>
    </xf>
    <xf numFmtId="183" fontId="9" fillId="0" borderId="21" xfId="2" applyNumberFormat="1" applyFont="1" applyBorder="1" applyAlignment="1">
      <alignment horizontal="center" vertical="center"/>
    </xf>
    <xf numFmtId="183" fontId="9" fillId="0" borderId="22" xfId="2" applyNumberFormat="1" applyFont="1" applyBorder="1" applyAlignment="1">
      <alignment horizontal="center" vertical="center"/>
    </xf>
    <xf numFmtId="0" fontId="24" fillId="6" borderId="11" xfId="2" applyFont="1" applyFill="1" applyBorder="1" applyAlignment="1">
      <alignment horizontal="center" vertical="center"/>
    </xf>
    <xf numFmtId="0" fontId="24" fillId="6" borderId="9" xfId="2" applyFont="1" applyFill="1" applyBorder="1" applyAlignment="1">
      <alignment horizontal="center" vertical="center"/>
    </xf>
    <xf numFmtId="183" fontId="24" fillId="6" borderId="9" xfId="2" applyNumberFormat="1" applyFont="1" applyFill="1" applyBorder="1" applyAlignment="1">
      <alignment horizontal="center" vertical="center"/>
    </xf>
    <xf numFmtId="183" fontId="24" fillId="6" borderId="10" xfId="2" applyNumberFormat="1" applyFont="1" applyFill="1" applyBorder="1" applyAlignment="1">
      <alignment horizontal="center" vertical="center"/>
    </xf>
    <xf numFmtId="0" fontId="26" fillId="6" borderId="26" xfId="2" applyFont="1" applyFill="1" applyBorder="1" applyAlignment="1">
      <alignment horizontal="center" vertical="center"/>
    </xf>
    <xf numFmtId="0" fontId="26" fillId="6" borderId="27" xfId="2" applyFont="1" applyFill="1" applyBorder="1" applyAlignment="1">
      <alignment horizontal="center" vertical="center"/>
    </xf>
    <xf numFmtId="0" fontId="26" fillId="6" borderId="28" xfId="2" applyFont="1" applyFill="1" applyBorder="1" applyAlignment="1">
      <alignment horizontal="center" vertical="center"/>
    </xf>
    <xf numFmtId="0" fontId="8" fillId="0" borderId="4" xfId="2" applyFont="1" applyBorder="1" applyAlignment="1">
      <alignment horizontal="left" vertical="center" wrapText="1"/>
    </xf>
    <xf numFmtId="0" fontId="8" fillId="0" borderId="4" xfId="2" applyFont="1" applyBorder="1" applyAlignment="1">
      <alignment horizontal="left" vertical="center"/>
    </xf>
    <xf numFmtId="0" fontId="8" fillId="0" borderId="18" xfId="2" applyFont="1" applyBorder="1" applyAlignment="1">
      <alignment horizontal="left" vertical="center"/>
    </xf>
    <xf numFmtId="0" fontId="8" fillId="0" borderId="19" xfId="2" applyFont="1" applyBorder="1" applyAlignment="1">
      <alignment horizontal="left" vertical="center"/>
    </xf>
    <xf numFmtId="0" fontId="8" fillId="0" borderId="23" xfId="2" applyFont="1" applyBorder="1" applyAlignment="1">
      <alignment horizontal="left" vertical="center"/>
    </xf>
    <xf numFmtId="0" fontId="8" fillId="0" borderId="6" xfId="2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22" xfId="2" applyFont="1" applyBorder="1" applyAlignment="1">
      <alignment horizontal="left" vertical="center"/>
    </xf>
    <xf numFmtId="0" fontId="22" fillId="6" borderId="6" xfId="2" applyFont="1" applyFill="1" applyBorder="1" applyAlignment="1">
      <alignment horizontal="center"/>
    </xf>
    <xf numFmtId="0" fontId="22" fillId="6" borderId="7" xfId="2" applyFont="1" applyFill="1" applyBorder="1" applyAlignment="1">
      <alignment horizontal="center"/>
    </xf>
    <xf numFmtId="0" fontId="22" fillId="6" borderId="8" xfId="2" applyFont="1" applyFill="1" applyBorder="1" applyAlignment="1">
      <alignment horizontal="center"/>
    </xf>
    <xf numFmtId="183" fontId="9" fillId="0" borderId="0" xfId="2" applyNumberFormat="1" applyFont="1" applyAlignment="1">
      <alignment horizontal="center" vertical="center"/>
    </xf>
    <xf numFmtId="183" fontId="9" fillId="0" borderId="5" xfId="2" applyNumberFormat="1" applyFont="1" applyBorder="1" applyAlignment="1">
      <alignment horizontal="center" vertical="center"/>
    </xf>
    <xf numFmtId="0" fontId="7" fillId="8" borderId="4" xfId="2" applyFont="1" applyFill="1" applyBorder="1" applyAlignment="1">
      <alignment horizontal="center" vertical="center"/>
    </xf>
    <xf numFmtId="0" fontId="7" fillId="8" borderId="0" xfId="2" applyFont="1" applyFill="1" applyAlignment="1">
      <alignment horizontal="center" vertical="center"/>
    </xf>
    <xf numFmtId="0" fontId="7" fillId="8" borderId="18" xfId="2" applyFont="1" applyFill="1" applyBorder="1" applyAlignment="1">
      <alignment horizontal="center" vertical="center"/>
    </xf>
    <xf numFmtId="0" fontId="7" fillId="8" borderId="19" xfId="2" applyFont="1" applyFill="1" applyBorder="1" applyAlignment="1">
      <alignment horizontal="center" vertical="center"/>
    </xf>
    <xf numFmtId="0" fontId="14" fillId="9" borderId="13" xfId="2" applyFont="1" applyFill="1" applyBorder="1" applyAlignment="1">
      <alignment horizontal="center" vertical="center"/>
    </xf>
    <xf numFmtId="0" fontId="14" fillId="9" borderId="14" xfId="2" applyFont="1" applyFill="1" applyBorder="1" applyAlignment="1">
      <alignment horizontal="center" vertical="center"/>
    </xf>
    <xf numFmtId="0" fontId="14" fillId="9" borderId="0" xfId="2" applyFont="1" applyFill="1" applyAlignment="1">
      <alignment horizontal="center" vertical="center"/>
    </xf>
    <xf numFmtId="0" fontId="14" fillId="9" borderId="17" xfId="2" applyFont="1" applyFill="1" applyBorder="1" applyAlignment="1">
      <alignment horizontal="center" vertical="center"/>
    </xf>
    <xf numFmtId="0" fontId="14" fillId="9" borderId="19" xfId="2" applyFont="1" applyFill="1" applyBorder="1" applyAlignment="1">
      <alignment horizontal="center" vertical="center"/>
    </xf>
    <xf numFmtId="0" fontId="14" fillId="9" borderId="20" xfId="2" applyFont="1" applyFill="1" applyBorder="1" applyAlignment="1">
      <alignment horizontal="center" vertical="center"/>
    </xf>
    <xf numFmtId="183" fontId="14" fillId="9" borderId="13" xfId="2" applyNumberFormat="1" applyFont="1" applyFill="1" applyBorder="1" applyAlignment="1">
      <alignment horizontal="left" vertical="center"/>
    </xf>
    <xf numFmtId="183" fontId="14" fillId="9" borderId="16" xfId="2" applyNumberFormat="1" applyFont="1" applyFill="1" applyBorder="1" applyAlignment="1">
      <alignment horizontal="left" vertical="center"/>
    </xf>
    <xf numFmtId="183" fontId="14" fillId="9" borderId="0" xfId="2" applyNumberFormat="1" applyFont="1" applyFill="1" applyAlignment="1">
      <alignment horizontal="left" vertical="center"/>
    </xf>
    <xf numFmtId="183" fontId="14" fillId="9" borderId="5" xfId="2" applyNumberFormat="1" applyFont="1" applyFill="1" applyBorder="1" applyAlignment="1">
      <alignment horizontal="left" vertical="center"/>
    </xf>
    <xf numFmtId="183" fontId="14" fillId="9" borderId="19" xfId="2" applyNumberFormat="1" applyFont="1" applyFill="1" applyBorder="1" applyAlignment="1">
      <alignment horizontal="left" vertical="center"/>
    </xf>
    <xf numFmtId="183" fontId="14" fillId="9" borderId="23" xfId="2" applyNumberFormat="1" applyFont="1" applyFill="1" applyBorder="1" applyAlignment="1">
      <alignment horizontal="left" vertical="center"/>
    </xf>
    <xf numFmtId="183" fontId="12" fillId="0" borderId="15" xfId="2" applyNumberFormat="1" applyFont="1" applyBorder="1" applyAlignment="1">
      <alignment vertical="center"/>
    </xf>
    <xf numFmtId="183" fontId="12" fillId="0" borderId="16" xfId="2" applyNumberFormat="1" applyFont="1" applyBorder="1" applyAlignment="1">
      <alignment vertical="center"/>
    </xf>
    <xf numFmtId="0" fontId="22" fillId="4" borderId="0" xfId="2" applyFont="1" applyFill="1" applyAlignment="1">
      <alignment horizontal="right" wrapText="1"/>
    </xf>
    <xf numFmtId="0" fontId="13" fillId="0" borderId="4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2" fillId="0" borderId="0" xfId="2" applyAlignment="1">
      <alignment horizontal="left" vertical="center"/>
    </xf>
    <xf numFmtId="0" fontId="2" fillId="0" borderId="5" xfId="2" applyBorder="1" applyAlignment="1">
      <alignment horizontal="left" vertical="center"/>
    </xf>
    <xf numFmtId="0" fontId="2" fillId="0" borderId="4" xfId="2" applyBorder="1" applyAlignment="1">
      <alignment vertical="center"/>
    </xf>
    <xf numFmtId="0" fontId="2" fillId="0" borderId="4" xfId="2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2" fillId="0" borderId="5" xfId="2" applyBorder="1" applyAlignment="1">
      <alignment horizontal="left" vertical="center" wrapText="1"/>
    </xf>
    <xf numFmtId="185" fontId="12" fillId="0" borderId="15" xfId="2" applyNumberFormat="1" applyFont="1" applyBorder="1" applyAlignment="1">
      <alignment vertical="center"/>
    </xf>
    <xf numFmtId="185" fontId="12" fillId="0" borderId="16" xfId="2" applyNumberFormat="1" applyFont="1" applyBorder="1" applyAlignment="1">
      <alignment vertical="center"/>
    </xf>
    <xf numFmtId="184" fontId="12" fillId="0" borderId="21" xfId="2" applyNumberFormat="1" applyFont="1" applyBorder="1" applyAlignment="1">
      <alignment vertical="center"/>
    </xf>
    <xf numFmtId="184" fontId="12" fillId="0" borderId="22" xfId="2" applyNumberFormat="1" applyFont="1" applyBorder="1" applyAlignment="1">
      <alignment vertical="center"/>
    </xf>
    <xf numFmtId="0" fontId="28" fillId="5" borderId="9" xfId="2" applyFont="1" applyFill="1" applyBorder="1" applyAlignment="1">
      <alignment horizontal="center"/>
    </xf>
    <xf numFmtId="0" fontId="28" fillId="5" borderId="10" xfId="2" applyFont="1" applyFill="1" applyBorder="1" applyAlignment="1">
      <alignment horizontal="center"/>
    </xf>
    <xf numFmtId="185" fontId="9" fillId="0" borderId="21" xfId="2" applyNumberFormat="1" applyFont="1" applyBorder="1" applyAlignment="1">
      <alignment horizontal="center" vertical="center"/>
    </xf>
    <xf numFmtId="185" fontId="9" fillId="0" borderId="22" xfId="2" applyNumberFormat="1" applyFont="1" applyBorder="1" applyAlignment="1">
      <alignment horizontal="center" vertical="center"/>
    </xf>
    <xf numFmtId="0" fontId="11" fillId="10" borderId="11" xfId="2" applyFont="1" applyFill="1" applyBorder="1" applyAlignment="1">
      <alignment horizontal="center" vertical="center"/>
    </xf>
    <xf numFmtId="0" fontId="11" fillId="10" borderId="9" xfId="2" applyFont="1" applyFill="1" applyBorder="1" applyAlignment="1">
      <alignment horizontal="center" vertical="center"/>
    </xf>
    <xf numFmtId="185" fontId="12" fillId="10" borderId="9" xfId="2" applyNumberFormat="1" applyFont="1" applyFill="1" applyBorder="1" applyAlignment="1">
      <alignment horizontal="center" vertical="center"/>
    </xf>
    <xf numFmtId="185" fontId="12" fillId="10" borderId="10" xfId="2" applyNumberFormat="1" applyFont="1" applyFill="1" applyBorder="1" applyAlignment="1">
      <alignment horizontal="center" vertical="center"/>
    </xf>
    <xf numFmtId="0" fontId="25" fillId="5" borderId="26" xfId="2" applyFont="1" applyFill="1" applyBorder="1" applyAlignment="1">
      <alignment horizontal="center" vertical="center"/>
    </xf>
    <xf numFmtId="0" fontId="25" fillId="5" borderId="27" xfId="2" applyFont="1" applyFill="1" applyBorder="1" applyAlignment="1">
      <alignment horizontal="center" vertical="center"/>
    </xf>
    <xf numFmtId="0" fontId="25" fillId="5" borderId="28" xfId="2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/>
    </xf>
    <xf numFmtId="0" fontId="28" fillId="5" borderId="7" xfId="2" applyFont="1" applyFill="1" applyBorder="1" applyAlignment="1">
      <alignment horizontal="center"/>
    </xf>
    <xf numFmtId="0" fontId="28" fillId="5" borderId="8" xfId="2" applyFont="1" applyFill="1" applyBorder="1" applyAlignment="1">
      <alignment horizontal="center"/>
    </xf>
    <xf numFmtId="185" fontId="9" fillId="0" borderId="0" xfId="2" applyNumberFormat="1" applyFont="1" applyAlignment="1">
      <alignment horizontal="center" vertical="center"/>
    </xf>
    <xf numFmtId="185" fontId="9" fillId="0" borderId="5" xfId="2" applyNumberFormat="1" applyFont="1" applyBorder="1" applyAlignment="1">
      <alignment horizontal="center" vertical="center"/>
    </xf>
    <xf numFmtId="0" fontId="12" fillId="7" borderId="4" xfId="2" applyFont="1" applyFill="1" applyBorder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0" fontId="12" fillId="7" borderId="18" xfId="2" applyFont="1" applyFill="1" applyBorder="1" applyAlignment="1">
      <alignment horizontal="center" vertical="center"/>
    </xf>
    <xf numFmtId="0" fontId="12" fillId="7" borderId="19" xfId="2" applyFont="1" applyFill="1" applyBorder="1" applyAlignment="1">
      <alignment horizontal="center" vertical="center"/>
    </xf>
    <xf numFmtId="0" fontId="14" fillId="11" borderId="13" xfId="2" applyFont="1" applyFill="1" applyBorder="1" applyAlignment="1">
      <alignment horizontal="center" vertical="center"/>
    </xf>
    <xf numFmtId="0" fontId="14" fillId="11" borderId="14" xfId="2" applyFont="1" applyFill="1" applyBorder="1" applyAlignment="1">
      <alignment horizontal="center" vertical="center"/>
    </xf>
    <xf numFmtId="0" fontId="14" fillId="11" borderId="0" xfId="2" applyFont="1" applyFill="1" applyAlignment="1">
      <alignment horizontal="center" vertical="center"/>
    </xf>
    <xf numFmtId="0" fontId="14" fillId="11" borderId="17" xfId="2" applyFont="1" applyFill="1" applyBorder="1" applyAlignment="1">
      <alignment horizontal="center" vertical="center"/>
    </xf>
    <xf numFmtId="0" fontId="14" fillId="11" borderId="19" xfId="2" applyFont="1" applyFill="1" applyBorder="1" applyAlignment="1">
      <alignment horizontal="center" vertical="center"/>
    </xf>
    <xf numFmtId="0" fontId="14" fillId="11" borderId="20" xfId="2" applyFont="1" applyFill="1" applyBorder="1" applyAlignment="1">
      <alignment horizontal="center" vertical="center"/>
    </xf>
    <xf numFmtId="186" fontId="4" fillId="11" borderId="13" xfId="2" applyNumberFormat="1" applyFont="1" applyFill="1" applyBorder="1" applyAlignment="1">
      <alignment horizontal="left" vertical="center"/>
    </xf>
    <xf numFmtId="186" fontId="4" fillId="11" borderId="16" xfId="2" applyNumberFormat="1" applyFont="1" applyFill="1" applyBorder="1" applyAlignment="1">
      <alignment horizontal="left" vertical="center"/>
    </xf>
    <xf numFmtId="186" fontId="4" fillId="11" borderId="0" xfId="2" applyNumberFormat="1" applyFont="1" applyFill="1" applyAlignment="1">
      <alignment horizontal="left" vertical="center"/>
    </xf>
    <xf numFmtId="186" fontId="4" fillId="11" borderId="5" xfId="2" applyNumberFormat="1" applyFont="1" applyFill="1" applyBorder="1" applyAlignment="1">
      <alignment horizontal="left" vertical="center"/>
    </xf>
    <xf numFmtId="186" fontId="4" fillId="11" borderId="19" xfId="2" applyNumberFormat="1" applyFont="1" applyFill="1" applyBorder="1" applyAlignment="1">
      <alignment horizontal="left" vertical="center"/>
    </xf>
    <xf numFmtId="186" fontId="4" fillId="11" borderId="23" xfId="2" applyNumberFormat="1" applyFont="1" applyFill="1" applyBorder="1" applyAlignment="1">
      <alignment horizontal="left" vertical="center"/>
    </xf>
    <xf numFmtId="0" fontId="7" fillId="0" borderId="4" xfId="2" applyFont="1" applyBorder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8" fillId="0" borderId="0" xfId="2" applyFont="1" applyAlignment="1">
      <alignment horizontal="right" vertical="center"/>
    </xf>
    <xf numFmtId="0" fontId="8" fillId="0" borderId="5" xfId="2" applyFont="1" applyBorder="1" applyAlignment="1">
      <alignment horizontal="right" vertical="center"/>
    </xf>
    <xf numFmtId="0" fontId="14" fillId="2" borderId="2" xfId="2" applyFont="1" applyFill="1" applyBorder="1" applyAlignment="1">
      <alignment horizontal="right"/>
    </xf>
    <xf numFmtId="0" fontId="14" fillId="2" borderId="3" xfId="2" applyFont="1" applyFill="1" applyBorder="1" applyAlignment="1">
      <alignment horizontal="right"/>
    </xf>
    <xf numFmtId="0" fontId="15" fillId="2" borderId="0" xfId="2" applyFont="1" applyFill="1" applyAlignment="1">
      <alignment horizontal="right"/>
    </xf>
    <xf numFmtId="0" fontId="15" fillId="2" borderId="5" xfId="2" applyFont="1" applyFill="1" applyBorder="1" applyAlignment="1">
      <alignment horizontal="right"/>
    </xf>
    <xf numFmtId="187" fontId="9" fillId="0" borderId="9" xfId="2" applyNumberFormat="1" applyFont="1" applyBorder="1" applyAlignment="1">
      <alignment horizontal="center" vertical="center"/>
    </xf>
    <xf numFmtId="187" fontId="9" fillId="0" borderId="10" xfId="2" applyNumberFormat="1" applyFont="1" applyBorder="1" applyAlignment="1">
      <alignment horizontal="center" vertical="center"/>
    </xf>
    <xf numFmtId="0" fontId="8" fillId="0" borderId="0" xfId="2" applyFont="1" applyAlignment="1">
      <alignment horizontal="left"/>
    </xf>
    <xf numFmtId="0" fontId="7" fillId="3" borderId="26" xfId="2" applyFont="1" applyFill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/>
    </xf>
    <xf numFmtId="0" fontId="7" fillId="3" borderId="28" xfId="2" applyFont="1" applyFill="1" applyBorder="1" applyAlignment="1">
      <alignment horizontal="center" vertical="center"/>
    </xf>
    <xf numFmtId="0" fontId="16" fillId="0" borderId="11" xfId="2" applyFont="1" applyBorder="1" applyAlignment="1">
      <alignment horizontal="center"/>
    </xf>
    <xf numFmtId="0" fontId="9" fillId="0" borderId="11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190" fontId="19" fillId="2" borderId="13" xfId="2" applyNumberFormat="1" applyFont="1" applyFill="1" applyBorder="1" applyAlignment="1">
      <alignment horizontal="left" vertical="center" indent="1"/>
    </xf>
    <xf numFmtId="190" fontId="19" fillId="2" borderId="16" xfId="2" applyNumberFormat="1" applyFont="1" applyFill="1" applyBorder="1" applyAlignment="1">
      <alignment horizontal="left" vertical="center" indent="1"/>
    </xf>
    <xf numFmtId="190" fontId="19" fillId="2" borderId="0" xfId="2" applyNumberFormat="1" applyFont="1" applyFill="1" applyAlignment="1">
      <alignment horizontal="left" vertical="center" indent="1"/>
    </xf>
    <xf numFmtId="190" fontId="19" fillId="2" borderId="5" xfId="2" applyNumberFormat="1" applyFont="1" applyFill="1" applyBorder="1" applyAlignment="1">
      <alignment horizontal="left" vertical="center" indent="1"/>
    </xf>
    <xf numFmtId="190" fontId="19" fillId="2" borderId="19" xfId="2" applyNumberFormat="1" applyFont="1" applyFill="1" applyBorder="1" applyAlignment="1">
      <alignment horizontal="left" vertical="center" indent="1"/>
    </xf>
    <xf numFmtId="190" fontId="19" fillId="2" borderId="23" xfId="2" applyNumberFormat="1" applyFont="1" applyFill="1" applyBorder="1" applyAlignment="1">
      <alignment horizontal="left" vertical="center" indent="1"/>
    </xf>
    <xf numFmtId="0" fontId="12" fillId="3" borderId="6" xfId="2" applyFont="1" applyFill="1" applyBorder="1" applyAlignment="1">
      <alignment horizontal="center" vertical="center"/>
    </xf>
    <xf numFmtId="0" fontId="12" fillId="3" borderId="7" xfId="2" applyFont="1" applyFill="1" applyBorder="1" applyAlignment="1">
      <alignment horizontal="center" vertical="center"/>
    </xf>
    <xf numFmtId="0" fontId="12" fillId="3" borderId="8" xfId="2" applyFont="1" applyFill="1" applyBorder="1" applyAlignment="1">
      <alignment horizontal="center" vertical="center"/>
    </xf>
    <xf numFmtId="190" fontId="12" fillId="3" borderId="21" xfId="2" applyNumberFormat="1" applyFont="1" applyFill="1" applyBorder="1" applyAlignment="1">
      <alignment horizontal="center" vertical="center"/>
    </xf>
    <xf numFmtId="190" fontId="12" fillId="3" borderId="22" xfId="2" applyNumberFormat="1" applyFont="1" applyFill="1" applyBorder="1" applyAlignment="1">
      <alignment horizontal="center" vertical="center"/>
    </xf>
    <xf numFmtId="0" fontId="12" fillId="0" borderId="13" xfId="2" applyFont="1" applyBorder="1" applyAlignment="1">
      <alignment vertical="center"/>
    </xf>
    <xf numFmtId="0" fontId="12" fillId="0" borderId="14" xfId="2" applyFont="1" applyBorder="1" applyAlignment="1">
      <alignment vertical="center"/>
    </xf>
    <xf numFmtId="187" fontId="12" fillId="0" borderId="21" xfId="2" applyNumberFormat="1" applyFont="1" applyBorder="1" applyAlignment="1">
      <alignment vertical="center"/>
    </xf>
    <xf numFmtId="187" fontId="12" fillId="0" borderId="22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0" fontId="12" fillId="0" borderId="17" xfId="2" applyFont="1" applyBorder="1" applyAlignment="1">
      <alignment vertical="center"/>
    </xf>
    <xf numFmtId="188" fontId="9" fillId="0" borderId="0" xfId="2" applyNumberFormat="1" applyFont="1" applyAlignment="1">
      <alignment horizontal="center" vertical="center"/>
    </xf>
    <xf numFmtId="188" fontId="9" fillId="0" borderId="5" xfId="2" applyNumberFormat="1" applyFont="1" applyBorder="1" applyAlignment="1">
      <alignment horizontal="center" vertical="center"/>
    </xf>
    <xf numFmtId="188" fontId="12" fillId="3" borderId="21" xfId="1" applyNumberFormat="1" applyFont="1" applyFill="1" applyBorder="1" applyAlignment="1">
      <alignment horizontal="center" vertical="center"/>
    </xf>
    <xf numFmtId="188" fontId="12" fillId="3" borderId="22" xfId="1" applyNumberFormat="1" applyFont="1" applyFill="1" applyBorder="1" applyAlignment="1">
      <alignment horizontal="center" vertical="center"/>
    </xf>
    <xf numFmtId="188" fontId="12" fillId="0" borderId="21" xfId="2" applyNumberFormat="1" applyFont="1" applyBorder="1" applyAlignment="1">
      <alignment vertical="center"/>
    </xf>
    <xf numFmtId="188" fontId="12" fillId="0" borderId="22" xfId="2" applyNumberFormat="1" applyFont="1" applyBorder="1" applyAlignment="1">
      <alignment vertical="center"/>
    </xf>
    <xf numFmtId="189" fontId="12" fillId="0" borderId="21" xfId="2" applyNumberFormat="1" applyFont="1" applyBorder="1" applyAlignment="1">
      <alignment vertical="center"/>
    </xf>
    <xf numFmtId="189" fontId="12" fillId="0" borderId="22" xfId="2" applyNumberFormat="1" applyFont="1" applyBorder="1" applyAlignment="1">
      <alignment vertical="center"/>
    </xf>
    <xf numFmtId="188" fontId="19" fillId="2" borderId="13" xfId="2" applyNumberFormat="1" applyFont="1" applyFill="1" applyBorder="1" applyAlignment="1">
      <alignment horizontal="left" vertical="center" indent="1"/>
    </xf>
    <xf numFmtId="188" fontId="19" fillId="2" borderId="16" xfId="2" applyNumberFormat="1" applyFont="1" applyFill="1" applyBorder="1" applyAlignment="1">
      <alignment horizontal="left" vertical="center" indent="1"/>
    </xf>
    <xf numFmtId="188" fontId="19" fillId="2" borderId="0" xfId="2" applyNumberFormat="1" applyFont="1" applyFill="1" applyAlignment="1">
      <alignment horizontal="left" vertical="center" indent="1"/>
    </xf>
    <xf numFmtId="188" fontId="19" fillId="2" borderId="5" xfId="2" applyNumberFormat="1" applyFont="1" applyFill="1" applyBorder="1" applyAlignment="1">
      <alignment horizontal="left" vertical="center" indent="1"/>
    </xf>
    <xf numFmtId="188" fontId="19" fillId="2" borderId="19" xfId="2" applyNumberFormat="1" applyFont="1" applyFill="1" applyBorder="1" applyAlignment="1">
      <alignment horizontal="left" vertical="center" indent="1"/>
    </xf>
    <xf numFmtId="188" fontId="19" fillId="2" borderId="23" xfId="2" applyNumberFormat="1" applyFont="1" applyFill="1" applyBorder="1" applyAlignment="1">
      <alignment horizontal="left" vertical="center" indent="1"/>
    </xf>
    <xf numFmtId="0" fontId="2" fillId="0" borderId="4" xfId="2" applyBorder="1" applyAlignment="1"/>
    <xf numFmtId="0" fontId="2" fillId="0" borderId="0" xfId="2" applyAlignment="1"/>
    <xf numFmtId="0" fontId="2" fillId="0" borderId="5" xfId="2" applyBorder="1" applyAlignment="1"/>
    <xf numFmtId="0" fontId="8" fillId="0" borderId="0" xfId="2" applyFont="1" applyAlignment="1"/>
    <xf numFmtId="0" fontId="2" fillId="0" borderId="18" xfId="2" applyBorder="1" applyAlignment="1"/>
    <xf numFmtId="0" fontId="2" fillId="0" borderId="19" xfId="2" applyBorder="1" applyAlignment="1"/>
    <xf numFmtId="0" fontId="2" fillId="0" borderId="6" xfId="2" applyBorder="1" applyAlignment="1"/>
    <xf numFmtId="0" fontId="2" fillId="0" borderId="7" xfId="2" applyBorder="1" applyAlignment="1"/>
    <xf numFmtId="0" fontId="2" fillId="0" borderId="22" xfId="2" applyBorder="1" applyAlignment="1"/>
    <xf numFmtId="0" fontId="3" fillId="2" borderId="1" xfId="2" applyFont="1" applyFill="1" applyBorder="1" applyAlignment="1"/>
    <xf numFmtId="0" fontId="3" fillId="2" borderId="2" xfId="2" applyFont="1" applyFill="1" applyBorder="1" applyAlignment="1"/>
    <xf numFmtId="0" fontId="3" fillId="2" borderId="4" xfId="2" applyFont="1" applyFill="1" applyBorder="1" applyAlignment="1"/>
    <xf numFmtId="0" fontId="3" fillId="2" borderId="0" xfId="2" applyFont="1" applyFill="1" applyAlignment="1"/>
  </cellXfs>
  <cellStyles count="4">
    <cellStyle name="Currency" xfId="1" builtinId="4"/>
    <cellStyle name="Currency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904875</xdr:colOff>
      <xdr:row>3</xdr:row>
      <xdr:rowOff>1716</xdr:rowOff>
    </xdr:to>
    <xdr:pic>
      <xdr:nvPicPr>
        <xdr:cNvPr id="2" name="Picture 1" descr="C:\Users\Azeem\AppData\Local\Packages\Microsoft.Windows.Photos_8wekyb3d8bbwe\TempState\ShareServiceTempFolder\jade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857375" cy="1516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6" name="Picture 5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180975</xdr:colOff>
      <xdr:row>3</xdr:row>
      <xdr:rowOff>0</xdr:rowOff>
    </xdr:to>
    <xdr:pic>
      <xdr:nvPicPr>
        <xdr:cNvPr id="3" name="Picture 2" descr="C:\Users\Azeem\AppData\Local\Packages\Microsoft.Windows.Photos_8wekyb3d8bbwe\TempState\ShareServiceTempFolder\Infinity.jpe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10502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211591</xdr:colOff>
      <xdr:row>3</xdr:row>
      <xdr:rowOff>0</xdr:rowOff>
    </xdr:to>
    <xdr:pic>
      <xdr:nvPicPr>
        <xdr:cNvPr id="2" name="Picture 1" descr="C:\Users\Azeem\AppData\Local\Packages\Microsoft.Windows.Photos_8wekyb3d8bbwe\TempState\ShareServiceTempFolder\Infinity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135641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2</xdr:col>
      <xdr:colOff>136425</xdr:colOff>
      <xdr:row>2</xdr:row>
      <xdr:rowOff>1190624</xdr:rowOff>
    </xdr:to>
    <xdr:pic>
      <xdr:nvPicPr>
        <xdr:cNvPr id="2" name="Picture 1" descr="C:\Users\Azeem\AppData\Local\Packages\Microsoft.Windows.Photos_8wekyb3d8bbwe\TempState\ShareServiceTempFolder\MOON NETWORK (1)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041425" cy="1543049"/>
        </a:xfrm>
        <a:prstGeom prst="rect">
          <a:avLst/>
        </a:prstGeom>
        <a:noFill/>
        <a:ln>
          <a:solidFill>
            <a:schemeClr val="accent4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3</xdr:col>
      <xdr:colOff>28575</xdr:colOff>
      <xdr:row>3</xdr:row>
      <xdr:rowOff>0</xdr:rowOff>
    </xdr:to>
    <xdr:pic>
      <xdr:nvPicPr>
        <xdr:cNvPr id="3" name="Picture 2" descr="C:\Users\Azeem\AppData\Local\Packages\Microsoft.Windows.Photos_8wekyb3d8bbwe\TempState\ShareServiceTempFolder\Infinity (1).jpe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82892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0</xdr:rowOff>
    </xdr:from>
    <xdr:to>
      <xdr:col>1</xdr:col>
      <xdr:colOff>942943</xdr:colOff>
      <xdr:row>2</xdr:row>
      <xdr:rowOff>1200150</xdr:rowOff>
    </xdr:to>
    <xdr:pic>
      <xdr:nvPicPr>
        <xdr:cNvPr id="5" name="Picture 4" descr="C:\Users\Azeem\AppData\Local\Packages\Microsoft.Windows.Photos_8wekyb3d8bbwe\TempState\ShareServiceTempFolder\Infinity (3).jpeg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0"/>
          <a:ext cx="1762092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180974</xdr:rowOff>
    </xdr:from>
    <xdr:to>
      <xdr:col>2</xdr:col>
      <xdr:colOff>180976</xdr:colOff>
      <xdr:row>2</xdr:row>
      <xdr:rowOff>1095373</xdr:rowOff>
    </xdr:to>
    <xdr:pic>
      <xdr:nvPicPr>
        <xdr:cNvPr id="4" name="Picture 3" descr="C:\Users\Azeem\AppData\Local\Packages\Microsoft.Windows.Photos_8wekyb3d8bbwe\TempState\ShareServiceTempFolder\Infinity (4).jpe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6" y="180974"/>
          <a:ext cx="2095500" cy="1466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966459" cy="190500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pSpPr/>
      </xdr:nvGrpSpPr>
      <xdr:grpSpPr>
        <a:xfrm>
          <a:off x="0" y="6677025"/>
          <a:ext cx="5966459" cy="190500"/>
          <a:chOff x="-9700" y="678775"/>
          <a:chExt cx="6390000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 editAs="oneCell">
    <xdr:from>
      <xdr:col>0</xdr:col>
      <xdr:colOff>19050</xdr:colOff>
      <xdr:row>0</xdr:row>
      <xdr:rowOff>0</xdr:rowOff>
    </xdr:from>
    <xdr:to>
      <xdr:col>1</xdr:col>
      <xdr:colOff>438150</xdr:colOff>
      <xdr:row>3</xdr:row>
      <xdr:rowOff>3099</xdr:rowOff>
    </xdr:to>
    <xdr:pic>
      <xdr:nvPicPr>
        <xdr:cNvPr id="8" name="Picture 7" descr="C:\Users\Azeem\AppData\Local\Packages\Microsoft.Windows.Photos_8wekyb3d8bbwe\TempState\ShareServiceTempFolder\GULF NET.jpeg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381125" cy="1527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5966459" cy="1905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0" y="6677025"/>
          <a:ext cx="5966459" cy="190500"/>
          <a:chOff x="-9700" y="678775"/>
          <a:chExt cx="63900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CxnSpPr/>
        </xdr:nvCxnSpPr>
        <xdr:spPr>
          <a:xfrm>
            <a:off x="-9700" y="678775"/>
            <a:ext cx="6390000" cy="0"/>
          </a:xfrm>
          <a:prstGeom prst="straightConnector1">
            <a:avLst/>
          </a:prstGeom>
          <a:noFill/>
          <a:ln w="9525" cap="flat" cmpd="sng">
            <a:solidFill>
              <a:srgbClr val="CCCCCC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twoCellAnchor editAs="oneCell">
    <xdr:from>
      <xdr:col>0</xdr:col>
      <xdr:colOff>19050</xdr:colOff>
      <xdr:row>0</xdr:row>
      <xdr:rowOff>19050</xdr:rowOff>
    </xdr:from>
    <xdr:to>
      <xdr:col>2</xdr:col>
      <xdr:colOff>400050</xdr:colOff>
      <xdr:row>3</xdr:row>
      <xdr:rowOff>0</xdr:rowOff>
    </xdr:to>
    <xdr:pic>
      <xdr:nvPicPr>
        <xdr:cNvPr id="6" name="Picture 5" descr="C:\Users\Azeem\AppData\Local\Packages\Microsoft.Windows.Photos_8wekyb3d8bbwe\TempState\ShareServiceTempFolder\Eclipse.jpeg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23050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1">
    <outlinePr summaryBelow="0" summaryRight="0"/>
  </sheetPr>
  <dimension ref="A1:K27"/>
  <sheetViews>
    <sheetView showGridLines="0" workbookViewId="0">
      <selection activeCell="A3" sqref="A3:H3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0</v>
      </c>
      <c r="D1" s="48"/>
      <c r="E1" s="48"/>
      <c r="F1" s="48"/>
      <c r="G1" s="48"/>
      <c r="H1" s="49"/>
    </row>
    <row r="2" spans="1:11" ht="13.15" customHeight="1">
      <c r="A2" s="4"/>
      <c r="B2" s="5"/>
      <c r="C2" s="50" t="s">
        <v>1</v>
      </c>
      <c r="D2" s="50"/>
      <c r="E2" s="50"/>
      <c r="F2" s="50"/>
      <c r="G2" s="50"/>
      <c r="H2" s="51"/>
    </row>
    <row r="3" spans="1:11" ht="91.5" customHeight="1">
      <c r="A3" s="52" t="s">
        <v>2</v>
      </c>
      <c r="B3" s="53"/>
      <c r="C3" s="53"/>
      <c r="D3" s="53"/>
      <c r="E3" s="53"/>
      <c r="F3" s="53"/>
      <c r="G3" s="53"/>
      <c r="H3" s="54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4</v>
      </c>
      <c r="F5" s="57"/>
      <c r="G5" s="57"/>
      <c r="H5" s="58"/>
    </row>
    <row r="6" spans="1:11" ht="18" customHeight="1">
      <c r="A6" s="59" t="s">
        <v>5</v>
      </c>
      <c r="B6" s="433"/>
      <c r="C6" s="433"/>
      <c r="D6" s="433"/>
      <c r="E6" s="57" t="s">
        <v>6</v>
      </c>
      <c r="F6" s="57"/>
      <c r="G6" s="57"/>
      <c r="H6" s="58"/>
    </row>
    <row r="7" spans="1:11" ht="22.5" customHeight="1">
      <c r="A7" s="59" t="s">
        <v>7</v>
      </c>
      <c r="B7" s="433"/>
      <c r="C7" s="433"/>
      <c r="D7" s="433"/>
      <c r="E7" s="57" t="s">
        <v>8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13</v>
      </c>
      <c r="B10" s="95"/>
      <c r="C10" s="95"/>
      <c r="D10" s="96"/>
      <c r="E10" s="11">
        <v>10385</v>
      </c>
      <c r="F10" s="12">
        <v>0.1515</v>
      </c>
      <c r="G10" s="71">
        <f>E10+(E10*F10)</f>
        <v>11958.327499999999</v>
      </c>
      <c r="H10" s="72"/>
    </row>
    <row r="11" spans="1:11" ht="30" customHeight="1">
      <c r="A11" s="8"/>
      <c r="B11" s="9"/>
      <c r="C11" s="9"/>
      <c r="D11" s="10"/>
      <c r="E11" s="11"/>
      <c r="F11" s="12"/>
      <c r="G11" s="86"/>
      <c r="H11" s="87"/>
    </row>
    <row r="12" spans="1:11" ht="30" customHeight="1">
      <c r="A12" s="8"/>
      <c r="B12" s="9"/>
      <c r="C12" s="9"/>
      <c r="D12" s="10"/>
      <c r="E12" s="11"/>
      <c r="F12" s="12"/>
      <c r="G12" s="86"/>
      <c r="H12" s="87"/>
    </row>
    <row r="13" spans="1:11" ht="30" customHeight="1">
      <c r="A13" s="8"/>
      <c r="B13" s="9"/>
      <c r="C13" s="9"/>
      <c r="D13" s="10"/>
      <c r="E13" s="11"/>
      <c r="F13" s="12"/>
      <c r="G13" s="86"/>
      <c r="H13" s="87"/>
    </row>
    <row r="14" spans="1:11" ht="30" customHeight="1">
      <c r="A14" s="8"/>
      <c r="B14" s="9"/>
      <c r="C14" s="9"/>
      <c r="D14" s="10"/>
      <c r="E14" s="11"/>
      <c r="F14" s="12"/>
      <c r="G14" s="86"/>
      <c r="H14" s="87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75">
        <f>SUM(G10:H10)</f>
        <v>11958.327499999999</v>
      </c>
      <c r="H15" s="76"/>
    </row>
    <row r="16" spans="1:11" ht="17.45" customHeight="1">
      <c r="A16" s="124" t="s">
        <v>15</v>
      </c>
      <c r="B16" s="125"/>
      <c r="C16" s="126"/>
      <c r="D16" s="133" t="s">
        <v>16</v>
      </c>
      <c r="E16" s="134"/>
      <c r="F16" s="135"/>
      <c r="G16" s="62">
        <f>G15</f>
        <v>11958.327499999999</v>
      </c>
      <c r="H16" s="63"/>
    </row>
    <row r="17" spans="1:8" ht="15.6" customHeight="1">
      <c r="A17" s="127"/>
      <c r="B17" s="128"/>
      <c r="C17" s="129"/>
      <c r="D17" s="133" t="s">
        <v>17</v>
      </c>
      <c r="E17" s="134"/>
      <c r="F17" s="135"/>
      <c r="G17" s="62">
        <f>G16</f>
        <v>11958.327499999999</v>
      </c>
      <c r="H17" s="63"/>
    </row>
    <row r="18" spans="1:8" ht="15" customHeight="1">
      <c r="A18" s="130"/>
      <c r="B18" s="131"/>
      <c r="C18" s="132"/>
      <c r="D18" s="64" t="s">
        <v>18</v>
      </c>
      <c r="E18" s="65"/>
      <c r="F18" s="66"/>
      <c r="G18" s="67">
        <v>0</v>
      </c>
      <c r="H18" s="68"/>
    </row>
    <row r="19" spans="1:8" ht="35.450000000000003" customHeight="1">
      <c r="A19" s="97" t="s">
        <v>19</v>
      </c>
      <c r="B19" s="98"/>
      <c r="C19" s="99"/>
      <c r="D19" s="106" t="s">
        <v>20</v>
      </c>
      <c r="E19" s="106"/>
      <c r="F19" s="107"/>
      <c r="G19" s="112">
        <f>G17</f>
        <v>11958.327499999999</v>
      </c>
      <c r="H19" s="113"/>
    </row>
    <row r="20" spans="1:8" ht="11.25" customHeight="1">
      <c r="A20" s="100"/>
      <c r="B20" s="101"/>
      <c r="C20" s="102"/>
      <c r="D20" s="108"/>
      <c r="E20" s="108"/>
      <c r="F20" s="109"/>
      <c r="G20" s="114"/>
      <c r="H20" s="115"/>
    </row>
    <row r="21" spans="1:8" ht="33" customHeight="1">
      <c r="A21" s="103"/>
      <c r="B21" s="104"/>
      <c r="C21" s="105"/>
      <c r="D21" s="110"/>
      <c r="E21" s="110"/>
      <c r="F21" s="111"/>
      <c r="G21" s="116"/>
      <c r="H21" s="117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D22:H26"/>
    <mergeCell ref="G12:H12"/>
    <mergeCell ref="A27:H27"/>
    <mergeCell ref="A9:D9"/>
    <mergeCell ref="A10:D10"/>
    <mergeCell ref="G11:H11"/>
    <mergeCell ref="G13:H13"/>
    <mergeCell ref="G14:H14"/>
    <mergeCell ref="A19:C21"/>
    <mergeCell ref="D19:F21"/>
    <mergeCell ref="G19:H21"/>
    <mergeCell ref="A22:C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2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24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25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26</v>
      </c>
      <c r="F5" s="57"/>
      <c r="G5" s="57"/>
      <c r="H5" s="58"/>
    </row>
    <row r="6" spans="1:11" ht="18" customHeight="1">
      <c r="A6" s="59" t="s">
        <v>27</v>
      </c>
      <c r="B6" s="433"/>
      <c r="C6" s="433"/>
      <c r="D6" s="433"/>
      <c r="E6" s="57" t="s">
        <v>28</v>
      </c>
      <c r="F6" s="57"/>
      <c r="G6" s="57"/>
      <c r="H6" s="58"/>
    </row>
    <row r="7" spans="1:11" ht="22.5" customHeight="1">
      <c r="A7" s="59" t="s">
        <v>29</v>
      </c>
      <c r="B7" s="433"/>
      <c r="C7" s="433"/>
      <c r="D7" s="433"/>
      <c r="E7" s="57" t="s">
        <v>30</v>
      </c>
      <c r="F7" s="57"/>
      <c r="G7" s="57"/>
      <c r="H7" s="58"/>
    </row>
    <row r="8" spans="1:11" ht="16.899999999999999" customHeight="1">
      <c r="A8" s="59" t="s">
        <v>31</v>
      </c>
      <c r="B8" s="433"/>
      <c r="C8" s="433"/>
      <c r="D8" s="433"/>
      <c r="E8" s="60"/>
      <c r="F8" s="60"/>
      <c r="G8" s="60"/>
      <c r="H8" s="61"/>
    </row>
    <row r="9" spans="1:11" ht="14.45" customHeight="1">
      <c r="A9" s="430"/>
      <c r="B9" s="431"/>
      <c r="C9" s="431"/>
      <c r="D9" s="431"/>
      <c r="E9" s="431"/>
      <c r="F9" s="431"/>
      <c r="G9" s="431"/>
      <c r="H9" s="6"/>
    </row>
    <row r="10" spans="1:11" ht="13.15">
      <c r="A10" s="91" t="s">
        <v>9</v>
      </c>
      <c r="B10" s="92"/>
      <c r="C10" s="92"/>
      <c r="D10" s="93"/>
      <c r="E10" s="16" t="s">
        <v>10</v>
      </c>
      <c r="F10" s="16" t="s">
        <v>11</v>
      </c>
      <c r="G10" s="69" t="s">
        <v>12</v>
      </c>
      <c r="H10" s="70"/>
    </row>
    <row r="11" spans="1:11" ht="30" customHeight="1">
      <c r="A11" s="94" t="s">
        <v>32</v>
      </c>
      <c r="B11" s="95"/>
      <c r="C11" s="95"/>
      <c r="D11" s="96"/>
      <c r="E11" s="13">
        <v>11833</v>
      </c>
      <c r="F11" s="12">
        <v>0.1515</v>
      </c>
      <c r="G11" s="138">
        <f>E11+(E11*F11)</f>
        <v>13625.699500000001</v>
      </c>
      <c r="H11" s="139"/>
    </row>
    <row r="12" spans="1:11" ht="30" customHeight="1">
      <c r="A12" s="94"/>
      <c r="B12" s="95"/>
      <c r="C12" s="95"/>
      <c r="D12" s="96"/>
      <c r="E12" s="13"/>
      <c r="F12" s="12"/>
      <c r="G12" s="160"/>
      <c r="H12" s="161"/>
    </row>
    <row r="13" spans="1:11" ht="30" customHeight="1">
      <c r="A13" s="94"/>
      <c r="B13" s="95"/>
      <c r="C13" s="95"/>
      <c r="D13" s="96"/>
      <c r="E13" s="13"/>
      <c r="F13" s="12"/>
      <c r="G13" s="138"/>
      <c r="H13" s="139"/>
    </row>
    <row r="14" spans="1:11" ht="30" customHeight="1">
      <c r="A14" s="94"/>
      <c r="B14" s="95"/>
      <c r="C14" s="95"/>
      <c r="D14" s="96"/>
      <c r="E14" s="13"/>
      <c r="F14" s="12"/>
      <c r="G14" s="162"/>
      <c r="H14" s="163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140">
        <f>G11</f>
        <v>13625.699500000001</v>
      </c>
      <c r="H15" s="141"/>
    </row>
    <row r="16" spans="1:11" ht="17.45" customHeight="1">
      <c r="A16" s="124" t="s">
        <v>33</v>
      </c>
      <c r="B16" s="125"/>
      <c r="C16" s="126"/>
      <c r="D16" s="134" t="s">
        <v>16</v>
      </c>
      <c r="E16" s="134"/>
      <c r="F16" s="135"/>
      <c r="G16" s="154">
        <f>G15</f>
        <v>13625.699500000001</v>
      </c>
      <c r="H16" s="155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54">
        <f>G16</f>
        <v>13625.699500000001</v>
      </c>
      <c r="H17" s="155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58">
        <v>0</v>
      </c>
      <c r="H18" s="159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48">
        <f>G17</f>
        <v>13625.699500000001</v>
      </c>
      <c r="H19" s="149"/>
    </row>
    <row r="20" spans="1:8" ht="11.25" customHeight="1">
      <c r="A20" s="100"/>
      <c r="B20" s="101"/>
      <c r="C20" s="102"/>
      <c r="D20" s="144"/>
      <c r="E20" s="144"/>
      <c r="F20" s="145"/>
      <c r="G20" s="150"/>
      <c r="H20" s="151"/>
    </row>
    <row r="21" spans="1:8" ht="33" customHeight="1">
      <c r="A21" s="103"/>
      <c r="B21" s="104"/>
      <c r="C21" s="105"/>
      <c r="D21" s="146"/>
      <c r="E21" s="146"/>
      <c r="F21" s="147"/>
      <c r="G21" s="152"/>
      <c r="H21" s="153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8">
    <mergeCell ref="A27:H27"/>
    <mergeCell ref="A22:C26"/>
    <mergeCell ref="D22:H26"/>
    <mergeCell ref="G12:H12"/>
    <mergeCell ref="G13:H13"/>
    <mergeCell ref="G14:H14"/>
    <mergeCell ref="A19:C21"/>
    <mergeCell ref="D19:F21"/>
    <mergeCell ref="G19:H21"/>
    <mergeCell ref="A16:C18"/>
    <mergeCell ref="D16:F16"/>
    <mergeCell ref="G16:H16"/>
    <mergeCell ref="D17:F17"/>
    <mergeCell ref="G17:H17"/>
    <mergeCell ref="D18:F18"/>
    <mergeCell ref="G18:H18"/>
    <mergeCell ref="A9:G9"/>
    <mergeCell ref="G10:H10"/>
    <mergeCell ref="G11:H11"/>
    <mergeCell ref="A15:F15"/>
    <mergeCell ref="G15:H15"/>
    <mergeCell ref="A11:D11"/>
    <mergeCell ref="A10:D10"/>
    <mergeCell ref="A12:D12"/>
    <mergeCell ref="A13:D13"/>
    <mergeCell ref="A14:D14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3">
    <outlinePr summaryBelow="0" summaryRight="0"/>
  </sheetPr>
  <dimension ref="A1:L27"/>
  <sheetViews>
    <sheetView showGridLines="0" workbookViewId="0">
      <selection activeCell="C1" sqref="C1:H1"/>
    </sheetView>
  </sheetViews>
  <sheetFormatPr defaultColWidth="14.42578125" defaultRowHeight="15.75" customHeight="1"/>
  <cols>
    <col min="1" max="1" width="14.7109375" style="3" customWidth="1"/>
    <col min="2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2" ht="15.6" customHeight="1">
      <c r="A1" s="1"/>
      <c r="B1" s="2"/>
      <c r="C1" s="48" t="s">
        <v>34</v>
      </c>
      <c r="D1" s="48"/>
      <c r="E1" s="48"/>
      <c r="F1" s="48"/>
      <c r="G1" s="48"/>
      <c r="H1" s="49"/>
    </row>
    <row r="2" spans="1:12" ht="13.15" customHeight="1">
      <c r="A2" s="4"/>
      <c r="B2" s="5"/>
      <c r="C2" s="136" t="s">
        <v>35</v>
      </c>
      <c r="D2" s="136"/>
      <c r="E2" s="136"/>
      <c r="F2" s="136"/>
      <c r="G2" s="136"/>
      <c r="H2" s="137"/>
    </row>
    <row r="3" spans="1:12" ht="71.25" customHeight="1">
      <c r="A3" s="52" t="s">
        <v>2</v>
      </c>
      <c r="B3" s="53"/>
      <c r="C3" s="53"/>
      <c r="D3" s="53"/>
      <c r="E3" s="53"/>
      <c r="F3" s="53"/>
      <c r="G3" s="53"/>
      <c r="H3" s="54"/>
      <c r="K3"/>
      <c r="L3"/>
    </row>
    <row r="4" spans="1:12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2" ht="13.9">
      <c r="A5" s="55" t="s">
        <v>3</v>
      </c>
      <c r="B5" s="56"/>
      <c r="C5" s="56"/>
      <c r="D5" s="56"/>
      <c r="E5" s="57" t="s">
        <v>36</v>
      </c>
      <c r="F5" s="57"/>
      <c r="G5" s="57"/>
      <c r="H5" s="58"/>
    </row>
    <row r="6" spans="1:12" ht="18" customHeight="1">
      <c r="A6" s="59" t="s">
        <v>37</v>
      </c>
      <c r="B6" s="433"/>
      <c r="C6" s="433"/>
      <c r="D6" s="433"/>
      <c r="E6" s="57" t="s">
        <v>6</v>
      </c>
      <c r="F6" s="57"/>
      <c r="G6" s="57"/>
      <c r="H6" s="58"/>
    </row>
    <row r="7" spans="1:12" ht="22.5" customHeight="1">
      <c r="A7" s="59" t="s">
        <v>38</v>
      </c>
      <c r="B7" s="433"/>
      <c r="C7" s="433"/>
      <c r="D7" s="433"/>
      <c r="E7" s="57" t="s">
        <v>8</v>
      </c>
      <c r="F7" s="57"/>
      <c r="G7" s="57"/>
      <c r="H7" s="58"/>
    </row>
    <row r="8" spans="1:12" ht="16.899999999999999" customHeight="1">
      <c r="A8" s="59" t="s">
        <v>39</v>
      </c>
      <c r="B8" s="433"/>
      <c r="C8" s="433"/>
      <c r="D8" s="433"/>
      <c r="E8" s="60"/>
      <c r="F8" s="60"/>
      <c r="G8" s="60"/>
      <c r="H8" s="61"/>
    </row>
    <row r="9" spans="1:12" ht="14.45" customHeight="1">
      <c r="A9" s="430"/>
      <c r="B9" s="431"/>
      <c r="C9" s="431"/>
      <c r="D9" s="431"/>
      <c r="E9" s="431"/>
      <c r="F9" s="431"/>
      <c r="G9" s="431"/>
      <c r="H9" s="6"/>
    </row>
    <row r="10" spans="1:12" ht="13.15">
      <c r="A10" s="91" t="s">
        <v>9</v>
      </c>
      <c r="B10" s="92"/>
      <c r="C10" s="92"/>
      <c r="D10" s="93"/>
      <c r="E10" s="7" t="s">
        <v>10</v>
      </c>
      <c r="F10" s="7" t="s">
        <v>11</v>
      </c>
      <c r="G10" s="166" t="s">
        <v>12</v>
      </c>
      <c r="H10" s="167"/>
    </row>
    <row r="11" spans="1:12" ht="30" customHeight="1">
      <c r="A11" s="94" t="s">
        <v>40</v>
      </c>
      <c r="B11" s="95"/>
      <c r="C11" s="95"/>
      <c r="D11" s="96"/>
      <c r="E11" s="31">
        <v>12332</v>
      </c>
      <c r="F11" s="12">
        <v>0.1515</v>
      </c>
      <c r="G11" s="168">
        <f>E11+(E11*F11)</f>
        <v>14200.298000000001</v>
      </c>
      <c r="H11" s="169"/>
    </row>
    <row r="12" spans="1:12" ht="30" customHeight="1">
      <c r="A12" s="8"/>
      <c r="B12" s="9"/>
      <c r="C12" s="9"/>
      <c r="D12" s="10"/>
      <c r="E12" s="31"/>
      <c r="F12" s="12"/>
      <c r="G12" s="168"/>
      <c r="H12" s="169"/>
    </row>
    <row r="13" spans="1:12" ht="30" customHeight="1">
      <c r="A13" s="8"/>
      <c r="B13" s="9"/>
      <c r="C13" s="9"/>
      <c r="D13" s="10"/>
      <c r="E13" s="31"/>
      <c r="F13" s="12"/>
      <c r="G13" s="168"/>
      <c r="H13" s="169"/>
    </row>
    <row r="14" spans="1:12" ht="30" customHeight="1">
      <c r="A14" s="8"/>
      <c r="B14" s="9"/>
      <c r="C14" s="9"/>
      <c r="D14" s="10"/>
      <c r="E14" s="14"/>
      <c r="F14" s="12"/>
      <c r="G14" s="172"/>
      <c r="H14" s="173"/>
    </row>
    <row r="15" spans="1:12" ht="30" customHeight="1">
      <c r="A15" s="73" t="s">
        <v>14</v>
      </c>
      <c r="B15" s="74"/>
      <c r="C15" s="74"/>
      <c r="D15" s="74"/>
      <c r="E15" s="74"/>
      <c r="F15" s="74"/>
      <c r="G15" s="170">
        <f>SUM(G11:H11)</f>
        <v>14200.298000000001</v>
      </c>
      <c r="H15" s="171"/>
    </row>
    <row r="16" spans="1:12" ht="17.45" customHeight="1">
      <c r="A16" s="124" t="s">
        <v>41</v>
      </c>
      <c r="B16" s="125"/>
      <c r="C16" s="126"/>
      <c r="D16" s="134" t="s">
        <v>16</v>
      </c>
      <c r="E16" s="134"/>
      <c r="F16" s="135"/>
      <c r="G16" s="180">
        <f>G15</f>
        <v>14200.298000000001</v>
      </c>
      <c r="H16" s="181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80">
        <f>G16</f>
        <v>14200.298000000001</v>
      </c>
      <c r="H17" s="181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64">
        <v>0</v>
      </c>
      <c r="H18" s="165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74">
        <f>G17</f>
        <v>14200.298000000001</v>
      </c>
      <c r="H19" s="175"/>
    </row>
    <row r="20" spans="1:8" ht="11.25" customHeight="1">
      <c r="A20" s="100"/>
      <c r="B20" s="101"/>
      <c r="C20" s="102"/>
      <c r="D20" s="144"/>
      <c r="E20" s="144"/>
      <c r="F20" s="145"/>
      <c r="G20" s="176"/>
      <c r="H20" s="177"/>
    </row>
    <row r="21" spans="1:8" ht="33" customHeight="1">
      <c r="A21" s="103"/>
      <c r="B21" s="104"/>
      <c r="C21" s="105"/>
      <c r="D21" s="146"/>
      <c r="E21" s="146"/>
      <c r="F21" s="147"/>
      <c r="G21" s="178"/>
      <c r="H21" s="179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10:D10"/>
    <mergeCell ref="A11:D11"/>
    <mergeCell ref="A22:C26"/>
    <mergeCell ref="D22:H26"/>
    <mergeCell ref="G12:H12"/>
    <mergeCell ref="G13:H13"/>
    <mergeCell ref="G14:H14"/>
    <mergeCell ref="A19:C21"/>
    <mergeCell ref="D19:F21"/>
    <mergeCell ref="G19:H21"/>
    <mergeCell ref="A16:C18"/>
    <mergeCell ref="D16:F16"/>
    <mergeCell ref="G16:H16"/>
    <mergeCell ref="D17:F17"/>
    <mergeCell ref="G17:H17"/>
    <mergeCell ref="D18:F18"/>
    <mergeCell ref="G18:H18"/>
    <mergeCell ref="A9:G9"/>
    <mergeCell ref="G10:H10"/>
    <mergeCell ref="G11:H11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4">
    <outlinePr summaryBelow="0" summaryRight="0"/>
  </sheetPr>
  <dimension ref="A1:K26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" style="3" customWidth="1"/>
    <col min="4" max="4" width="9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42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25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43</v>
      </c>
      <c r="F5" s="57"/>
      <c r="G5" s="57"/>
      <c r="H5" s="58"/>
    </row>
    <row r="6" spans="1:11" ht="18" customHeight="1">
      <c r="A6" s="59" t="s">
        <v>44</v>
      </c>
      <c r="B6" s="433"/>
      <c r="C6" s="433"/>
      <c r="D6" s="433"/>
      <c r="E6" s="57" t="s">
        <v>6</v>
      </c>
      <c r="F6" s="57"/>
      <c r="G6" s="57"/>
      <c r="H6" s="58"/>
    </row>
    <row r="7" spans="1:11" ht="22.5" customHeight="1">
      <c r="A7" s="59" t="s">
        <v>45</v>
      </c>
      <c r="B7" s="433"/>
      <c r="C7" s="433"/>
      <c r="D7" s="433"/>
      <c r="E7" s="57" t="s">
        <v>8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46</v>
      </c>
      <c r="B10" s="95"/>
      <c r="C10" s="95"/>
      <c r="D10" s="96"/>
      <c r="E10" s="32">
        <v>12478</v>
      </c>
      <c r="F10" s="12">
        <v>0.1515</v>
      </c>
      <c r="G10" s="184">
        <f>E10+(E10*F10)</f>
        <v>14368.416999999999</v>
      </c>
      <c r="H10" s="185"/>
    </row>
    <row r="11" spans="1:11" ht="30" customHeight="1">
      <c r="A11" s="94"/>
      <c r="B11" s="95"/>
      <c r="C11" s="95"/>
      <c r="D11" s="96"/>
      <c r="E11" s="32"/>
      <c r="F11" s="12"/>
      <c r="G11" s="184"/>
      <c r="H11" s="185"/>
    </row>
    <row r="12" spans="1:11" ht="30" customHeight="1">
      <c r="A12" s="94"/>
      <c r="B12" s="95"/>
      <c r="C12" s="95"/>
      <c r="D12" s="96"/>
      <c r="E12" s="32"/>
      <c r="F12" s="12"/>
      <c r="G12" s="184"/>
      <c r="H12" s="185"/>
    </row>
    <row r="13" spans="1:11" ht="30" customHeight="1">
      <c r="A13" s="94"/>
      <c r="B13" s="95"/>
      <c r="C13" s="95"/>
      <c r="D13" s="96"/>
      <c r="E13" s="15"/>
      <c r="F13" s="12"/>
      <c r="G13" s="184"/>
      <c r="H13" s="185"/>
    </row>
    <row r="14" spans="1:11" ht="30" customHeight="1">
      <c r="A14" s="73" t="s">
        <v>14</v>
      </c>
      <c r="B14" s="74"/>
      <c r="C14" s="74"/>
      <c r="D14" s="74"/>
      <c r="E14" s="74"/>
      <c r="F14" s="74"/>
      <c r="G14" s="186">
        <f>SUM(G10:H10)</f>
        <v>14368.416999999999</v>
      </c>
      <c r="H14" s="187"/>
    </row>
    <row r="15" spans="1:11" ht="17.45" customHeight="1">
      <c r="A15" s="124" t="s">
        <v>47</v>
      </c>
      <c r="B15" s="125"/>
      <c r="C15" s="126"/>
      <c r="D15" s="133" t="s">
        <v>16</v>
      </c>
      <c r="E15" s="134"/>
      <c r="F15" s="135"/>
      <c r="G15" s="194">
        <f>G14</f>
        <v>14368.416999999999</v>
      </c>
      <c r="H15" s="195"/>
    </row>
    <row r="16" spans="1:11" ht="15.6" customHeight="1">
      <c r="A16" s="127"/>
      <c r="B16" s="128"/>
      <c r="C16" s="129"/>
      <c r="D16" s="133" t="s">
        <v>17</v>
      </c>
      <c r="E16" s="134"/>
      <c r="F16" s="135"/>
      <c r="G16" s="194">
        <f>G15</f>
        <v>14368.416999999999</v>
      </c>
      <c r="H16" s="195"/>
    </row>
    <row r="17" spans="1:8" ht="15" customHeight="1">
      <c r="A17" s="130"/>
      <c r="B17" s="131"/>
      <c r="C17" s="132"/>
      <c r="D17" s="156" t="s">
        <v>18</v>
      </c>
      <c r="E17" s="156"/>
      <c r="F17" s="157"/>
      <c r="G17" s="182">
        <v>0</v>
      </c>
      <c r="H17" s="183"/>
    </row>
    <row r="18" spans="1:8" ht="35.450000000000003" customHeight="1">
      <c r="A18" s="97" t="s">
        <v>19</v>
      </c>
      <c r="B18" s="98"/>
      <c r="C18" s="99"/>
      <c r="D18" s="142" t="s">
        <v>20</v>
      </c>
      <c r="E18" s="142"/>
      <c r="F18" s="143"/>
      <c r="G18" s="188">
        <f>G16</f>
        <v>14368.416999999999</v>
      </c>
      <c r="H18" s="189"/>
    </row>
    <row r="19" spans="1:8" ht="11.25" customHeight="1">
      <c r="A19" s="100"/>
      <c r="B19" s="101"/>
      <c r="C19" s="102"/>
      <c r="D19" s="144"/>
      <c r="E19" s="144"/>
      <c r="F19" s="145"/>
      <c r="G19" s="190"/>
      <c r="H19" s="191"/>
    </row>
    <row r="20" spans="1:8" ht="33" customHeight="1">
      <c r="A20" s="103"/>
      <c r="B20" s="104"/>
      <c r="C20" s="105"/>
      <c r="D20" s="146"/>
      <c r="E20" s="146"/>
      <c r="F20" s="147"/>
      <c r="G20" s="192"/>
      <c r="H20" s="193"/>
    </row>
    <row r="21" spans="1:8" ht="15.75" customHeight="1">
      <c r="A21" s="118" t="s">
        <v>21</v>
      </c>
      <c r="B21" s="78"/>
      <c r="C21" s="119"/>
      <c r="D21" s="77" t="s">
        <v>22</v>
      </c>
      <c r="E21" s="78"/>
      <c r="F21" s="78"/>
      <c r="G21" s="78"/>
      <c r="H21" s="79"/>
    </row>
    <row r="22" spans="1:8" ht="15.75" customHeight="1">
      <c r="A22" s="120"/>
      <c r="B22" s="81"/>
      <c r="C22" s="121"/>
      <c r="D22" s="80"/>
      <c r="E22" s="81"/>
      <c r="F22" s="81"/>
      <c r="G22" s="81"/>
      <c r="H22" s="82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2"/>
      <c r="B25" s="84"/>
      <c r="C25" s="123"/>
      <c r="D25" s="83"/>
      <c r="E25" s="84"/>
      <c r="F25" s="84"/>
      <c r="G25" s="84"/>
      <c r="H25" s="85"/>
    </row>
    <row r="26" spans="1:8" ht="44.25" customHeight="1" thickBot="1">
      <c r="A26" s="88" t="s">
        <v>23</v>
      </c>
      <c r="B26" s="89"/>
      <c r="C26" s="89"/>
      <c r="D26" s="89"/>
      <c r="E26" s="89"/>
      <c r="F26" s="89"/>
      <c r="G26" s="89"/>
      <c r="H26" s="90"/>
    </row>
  </sheetData>
  <mergeCells count="37">
    <mergeCell ref="A26:H26"/>
    <mergeCell ref="G11:H11"/>
    <mergeCell ref="G12:H12"/>
    <mergeCell ref="G13:H13"/>
    <mergeCell ref="A21:C25"/>
    <mergeCell ref="D21:H25"/>
    <mergeCell ref="A11:D11"/>
    <mergeCell ref="A12:D12"/>
    <mergeCell ref="A18:C20"/>
    <mergeCell ref="D18:F20"/>
    <mergeCell ref="G18:H20"/>
    <mergeCell ref="A15:C17"/>
    <mergeCell ref="D15:F15"/>
    <mergeCell ref="G15:H15"/>
    <mergeCell ref="D16:F16"/>
    <mergeCell ref="G16:H16"/>
    <mergeCell ref="D17:F17"/>
    <mergeCell ref="G17:H17"/>
    <mergeCell ref="G9:H9"/>
    <mergeCell ref="G10:H10"/>
    <mergeCell ref="A14:F14"/>
    <mergeCell ref="G14:H14"/>
    <mergeCell ref="A9:D9"/>
    <mergeCell ref="A10:D10"/>
    <mergeCell ref="A13:D13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5">
    <outlinePr summaryBelow="0" summaryRight="0"/>
  </sheetPr>
  <dimension ref="A1:L28"/>
  <sheetViews>
    <sheetView showGridLines="0" workbookViewId="0">
      <selection activeCell="C1" sqref="C1:H1"/>
    </sheetView>
  </sheetViews>
  <sheetFormatPr defaultColWidth="14.42578125" defaultRowHeight="15.75" customHeight="1"/>
  <cols>
    <col min="1" max="1" width="14.7109375" style="3" customWidth="1"/>
    <col min="2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2" ht="15.6" customHeight="1">
      <c r="A1" s="1"/>
      <c r="B1" s="2"/>
      <c r="C1" s="48" t="s">
        <v>48</v>
      </c>
      <c r="D1" s="48"/>
      <c r="E1" s="48"/>
      <c r="F1" s="48"/>
      <c r="G1" s="48"/>
      <c r="H1" s="49"/>
    </row>
    <row r="2" spans="1:12" ht="13.15" customHeight="1">
      <c r="A2" s="4"/>
      <c r="B2" s="5"/>
      <c r="C2" s="136" t="s">
        <v>49</v>
      </c>
      <c r="D2" s="136"/>
      <c r="E2" s="136"/>
      <c r="F2" s="136"/>
      <c r="G2" s="136"/>
      <c r="H2" s="137"/>
    </row>
    <row r="3" spans="1:12" ht="71.25" customHeight="1">
      <c r="A3" s="52" t="s">
        <v>2</v>
      </c>
      <c r="B3" s="53"/>
      <c r="C3" s="53"/>
      <c r="D3" s="53"/>
      <c r="E3" s="53"/>
      <c r="F3" s="53"/>
      <c r="G3" s="53"/>
      <c r="H3" s="54"/>
      <c r="K3"/>
      <c r="L3"/>
    </row>
    <row r="4" spans="1:12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2" ht="13.9">
      <c r="A5" s="55" t="s">
        <v>3</v>
      </c>
      <c r="B5" s="56"/>
      <c r="C5" s="56"/>
      <c r="D5" s="56"/>
      <c r="E5" s="57" t="s">
        <v>50</v>
      </c>
      <c r="F5" s="57"/>
      <c r="G5" s="57"/>
      <c r="H5" s="58"/>
    </row>
    <row r="6" spans="1:12" ht="18" customHeight="1">
      <c r="A6" s="59" t="s">
        <v>51</v>
      </c>
      <c r="B6" s="433"/>
      <c r="C6" s="433"/>
      <c r="D6" s="433"/>
      <c r="E6" s="57" t="s">
        <v>6</v>
      </c>
      <c r="F6" s="57"/>
      <c r="G6" s="57"/>
      <c r="H6" s="58"/>
    </row>
    <row r="7" spans="1:12" ht="22.5" customHeight="1">
      <c r="A7" s="59" t="s">
        <v>52</v>
      </c>
      <c r="B7" s="433"/>
      <c r="C7" s="433"/>
      <c r="D7" s="433"/>
      <c r="E7" s="57" t="s">
        <v>8</v>
      </c>
      <c r="F7" s="57"/>
      <c r="G7" s="57"/>
      <c r="H7" s="58"/>
    </row>
    <row r="8" spans="1:12" ht="16.899999999999999" customHeight="1">
      <c r="A8" s="59" t="s">
        <v>53</v>
      </c>
      <c r="B8" s="433"/>
      <c r="C8" s="433"/>
      <c r="D8" s="433"/>
      <c r="E8" s="60"/>
      <c r="F8" s="60"/>
      <c r="G8" s="60"/>
      <c r="H8" s="61"/>
    </row>
    <row r="9" spans="1:12" ht="14.45" customHeight="1">
      <c r="A9" s="434"/>
      <c r="B9" s="435"/>
      <c r="C9" s="435"/>
      <c r="D9" s="435"/>
      <c r="E9" s="435"/>
      <c r="F9" s="435"/>
      <c r="G9" s="435"/>
      <c r="H9" s="6"/>
    </row>
    <row r="10" spans="1:12" ht="13.15">
      <c r="A10" s="91" t="s">
        <v>9</v>
      </c>
      <c r="B10" s="92"/>
      <c r="C10" s="92"/>
      <c r="D10" s="93"/>
      <c r="E10" s="16" t="s">
        <v>10</v>
      </c>
      <c r="F10" s="16" t="s">
        <v>11</v>
      </c>
      <c r="G10" s="69" t="s">
        <v>12</v>
      </c>
      <c r="H10" s="70"/>
    </row>
    <row r="11" spans="1:12" ht="30" customHeight="1">
      <c r="A11" s="196" t="s">
        <v>54</v>
      </c>
      <c r="B11" s="197"/>
      <c r="C11" s="197"/>
      <c r="D11" s="198"/>
      <c r="E11" s="31">
        <v>9436</v>
      </c>
      <c r="F11" s="12">
        <v>0.1515</v>
      </c>
      <c r="G11" s="168">
        <f>E11+(E11*F11)</f>
        <v>10865.554</v>
      </c>
      <c r="H11" s="169"/>
    </row>
    <row r="12" spans="1:12" ht="30" customHeight="1">
      <c r="A12" s="17"/>
      <c r="B12" s="18"/>
      <c r="C12" s="18"/>
      <c r="D12" s="19"/>
      <c r="E12" s="31"/>
      <c r="F12" s="12"/>
      <c r="G12" s="168"/>
      <c r="H12" s="169"/>
    </row>
    <row r="13" spans="1:12" ht="30" customHeight="1">
      <c r="A13" s="17"/>
      <c r="B13" s="18"/>
      <c r="C13" s="18"/>
      <c r="D13" s="19"/>
      <c r="E13" s="31"/>
      <c r="F13" s="12"/>
      <c r="G13" s="168"/>
      <c r="H13" s="169"/>
    </row>
    <row r="14" spans="1:12" ht="30" customHeight="1">
      <c r="A14" s="17"/>
      <c r="B14" s="18"/>
      <c r="C14" s="18"/>
      <c r="D14" s="19"/>
      <c r="E14" s="31"/>
      <c r="F14" s="12"/>
      <c r="G14" s="168"/>
      <c r="H14" s="169"/>
    </row>
    <row r="15" spans="1:12" ht="30" customHeight="1">
      <c r="A15" s="17"/>
      <c r="B15" s="18"/>
      <c r="C15" s="18"/>
      <c r="D15" s="19"/>
      <c r="E15" s="14"/>
      <c r="F15" s="12"/>
      <c r="G15" s="172"/>
      <c r="H15" s="173"/>
    </row>
    <row r="16" spans="1:12" ht="30" customHeight="1">
      <c r="A16" s="73" t="s">
        <v>14</v>
      </c>
      <c r="B16" s="74"/>
      <c r="C16" s="74"/>
      <c r="D16" s="74"/>
      <c r="E16" s="74"/>
      <c r="F16" s="74"/>
      <c r="G16" s="170">
        <f>SUM(G11:H11)</f>
        <v>10865.554</v>
      </c>
      <c r="H16" s="171"/>
    </row>
    <row r="17" spans="1:8" ht="17.45" customHeight="1">
      <c r="A17" s="124" t="s">
        <v>55</v>
      </c>
      <c r="B17" s="125"/>
      <c r="C17" s="126"/>
      <c r="D17" s="133" t="s">
        <v>16</v>
      </c>
      <c r="E17" s="134"/>
      <c r="F17" s="135"/>
      <c r="G17" s="180">
        <f>G16</f>
        <v>10865.554</v>
      </c>
      <c r="H17" s="181"/>
    </row>
    <row r="18" spans="1:8" ht="15.6" customHeight="1">
      <c r="A18" s="127"/>
      <c r="B18" s="128"/>
      <c r="C18" s="129"/>
      <c r="D18" s="133" t="s">
        <v>17</v>
      </c>
      <c r="E18" s="134"/>
      <c r="F18" s="135"/>
      <c r="G18" s="180">
        <f>G17</f>
        <v>10865.554</v>
      </c>
      <c r="H18" s="181"/>
    </row>
    <row r="19" spans="1:8" ht="15" customHeight="1">
      <c r="A19" s="130"/>
      <c r="B19" s="131"/>
      <c r="C19" s="132"/>
      <c r="D19" s="156" t="s">
        <v>18</v>
      </c>
      <c r="E19" s="156"/>
      <c r="F19" s="157"/>
      <c r="G19" s="164">
        <v>0</v>
      </c>
      <c r="H19" s="165"/>
    </row>
    <row r="20" spans="1:8" ht="35.450000000000003" customHeight="1">
      <c r="A20" s="97" t="s">
        <v>19</v>
      </c>
      <c r="B20" s="98"/>
      <c r="C20" s="99"/>
      <c r="D20" s="142" t="s">
        <v>20</v>
      </c>
      <c r="E20" s="142"/>
      <c r="F20" s="143"/>
      <c r="G20" s="174">
        <f>G18</f>
        <v>10865.554</v>
      </c>
      <c r="H20" s="175"/>
    </row>
    <row r="21" spans="1:8" ht="11.25" customHeight="1">
      <c r="A21" s="100"/>
      <c r="B21" s="101"/>
      <c r="C21" s="102"/>
      <c r="D21" s="144"/>
      <c r="E21" s="144"/>
      <c r="F21" s="145"/>
      <c r="G21" s="176"/>
      <c r="H21" s="177"/>
    </row>
    <row r="22" spans="1:8" ht="33" customHeight="1">
      <c r="A22" s="103"/>
      <c r="B22" s="104"/>
      <c r="C22" s="105"/>
      <c r="D22" s="146"/>
      <c r="E22" s="146"/>
      <c r="F22" s="147"/>
      <c r="G22" s="178"/>
      <c r="H22" s="179"/>
    </row>
    <row r="23" spans="1:8" ht="15.75" customHeight="1">
      <c r="A23" s="118" t="s">
        <v>21</v>
      </c>
      <c r="B23" s="78"/>
      <c r="C23" s="119"/>
      <c r="D23" s="77" t="s">
        <v>22</v>
      </c>
      <c r="E23" s="78"/>
      <c r="F23" s="78"/>
      <c r="G23" s="78"/>
      <c r="H23" s="79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0"/>
      <c r="B26" s="81"/>
      <c r="C26" s="121"/>
      <c r="D26" s="80"/>
      <c r="E26" s="81"/>
      <c r="F26" s="81"/>
      <c r="G26" s="81"/>
      <c r="H26" s="82"/>
    </row>
    <row r="27" spans="1:8" ht="15.75" customHeight="1">
      <c r="A27" s="122"/>
      <c r="B27" s="84"/>
      <c r="C27" s="123"/>
      <c r="D27" s="83"/>
      <c r="E27" s="84"/>
      <c r="F27" s="84"/>
      <c r="G27" s="84"/>
      <c r="H27" s="85"/>
    </row>
    <row r="28" spans="1:8" ht="44.25" customHeight="1" thickBot="1">
      <c r="A28" s="88" t="s">
        <v>23</v>
      </c>
      <c r="B28" s="89"/>
      <c r="C28" s="89"/>
      <c r="D28" s="89"/>
      <c r="E28" s="89"/>
      <c r="F28" s="89"/>
      <c r="G28" s="89"/>
      <c r="H28" s="90"/>
    </row>
  </sheetData>
  <mergeCells count="36">
    <mergeCell ref="A28:H28"/>
    <mergeCell ref="A10:D10"/>
    <mergeCell ref="A11:D11"/>
    <mergeCell ref="A23:C27"/>
    <mergeCell ref="D23:H27"/>
    <mergeCell ref="G12:H12"/>
    <mergeCell ref="G13:H13"/>
    <mergeCell ref="G14:H14"/>
    <mergeCell ref="A20:C22"/>
    <mergeCell ref="D20:F22"/>
    <mergeCell ref="G20:H22"/>
    <mergeCell ref="A17:C19"/>
    <mergeCell ref="D17:F17"/>
    <mergeCell ref="G17:H17"/>
    <mergeCell ref="D18:F18"/>
    <mergeCell ref="G18:H18"/>
    <mergeCell ref="D19:F19"/>
    <mergeCell ref="G19:H19"/>
    <mergeCell ref="A9:G9"/>
    <mergeCell ref="G10:H10"/>
    <mergeCell ref="G11:H11"/>
    <mergeCell ref="A16:F16"/>
    <mergeCell ref="G16:H16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6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56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57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58</v>
      </c>
      <c r="F5" s="57"/>
      <c r="G5" s="57"/>
      <c r="H5" s="58"/>
    </row>
    <row r="6" spans="1:11" ht="18" customHeight="1">
      <c r="A6" s="59" t="s">
        <v>59</v>
      </c>
      <c r="B6" s="433"/>
      <c r="C6" s="433"/>
      <c r="D6" s="433"/>
      <c r="E6" s="57" t="s">
        <v>60</v>
      </c>
      <c r="F6" s="57"/>
      <c r="G6" s="57"/>
      <c r="H6" s="58"/>
    </row>
    <row r="7" spans="1:11" ht="22.5" customHeight="1">
      <c r="A7" s="59" t="s">
        <v>61</v>
      </c>
      <c r="B7" s="433"/>
      <c r="C7" s="433"/>
      <c r="D7" s="433"/>
      <c r="E7" s="57" t="s">
        <v>30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4.45" customHeight="1">
      <c r="A9" s="430"/>
      <c r="B9" s="431"/>
      <c r="C9" s="431"/>
      <c r="D9" s="431"/>
      <c r="E9" s="431"/>
      <c r="F9" s="431"/>
      <c r="G9" s="431"/>
      <c r="H9" s="6"/>
    </row>
    <row r="10" spans="1:11" ht="13.15">
      <c r="A10" s="91" t="s">
        <v>9</v>
      </c>
      <c r="B10" s="92"/>
      <c r="C10" s="92"/>
      <c r="D10" s="93"/>
      <c r="E10" s="16" t="s">
        <v>10</v>
      </c>
      <c r="F10" s="16" t="s">
        <v>11</v>
      </c>
      <c r="G10" s="69" t="s">
        <v>12</v>
      </c>
      <c r="H10" s="70"/>
    </row>
    <row r="11" spans="1:11" ht="30" customHeight="1">
      <c r="A11" s="94" t="s">
        <v>62</v>
      </c>
      <c r="B11" s="95"/>
      <c r="C11" s="95"/>
      <c r="D11" s="96"/>
      <c r="E11" s="13">
        <v>9950</v>
      </c>
      <c r="F11" s="12">
        <v>0.15160000000000001</v>
      </c>
      <c r="G11" s="138">
        <f>E11+(E11*F11)</f>
        <v>11458.42</v>
      </c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38"/>
      <c r="H13" s="139"/>
    </row>
    <row r="14" spans="1:11" ht="30" customHeight="1">
      <c r="A14" s="8"/>
      <c r="B14" s="9"/>
      <c r="C14" s="9"/>
      <c r="D14" s="10"/>
      <c r="E14" s="13"/>
      <c r="F14" s="12"/>
      <c r="G14" s="162"/>
      <c r="H14" s="163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140">
        <f>G11</f>
        <v>11458.42</v>
      </c>
      <c r="H15" s="141"/>
    </row>
    <row r="16" spans="1:11" ht="17.45" customHeight="1">
      <c r="A16" s="124" t="s">
        <v>63</v>
      </c>
      <c r="B16" s="125"/>
      <c r="C16" s="126"/>
      <c r="D16" s="134" t="s">
        <v>16</v>
      </c>
      <c r="E16" s="134"/>
      <c r="F16" s="135"/>
      <c r="G16" s="154">
        <f>G15</f>
        <v>11458.42</v>
      </c>
      <c r="H16" s="155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54">
        <f>G16</f>
        <v>11458.42</v>
      </c>
      <c r="H17" s="155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58">
        <v>0</v>
      </c>
      <c r="H18" s="159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99">
        <f>G17</f>
        <v>11458.42</v>
      </c>
      <c r="H19" s="200"/>
    </row>
    <row r="20" spans="1:8" ht="11.25" customHeight="1">
      <c r="A20" s="100"/>
      <c r="B20" s="101"/>
      <c r="C20" s="102"/>
      <c r="D20" s="144"/>
      <c r="E20" s="144"/>
      <c r="F20" s="145"/>
      <c r="G20" s="201"/>
      <c r="H20" s="202"/>
    </row>
    <row r="21" spans="1:8" ht="33" customHeight="1">
      <c r="A21" s="103"/>
      <c r="B21" s="104"/>
      <c r="C21" s="105"/>
      <c r="D21" s="146"/>
      <c r="E21" s="146"/>
      <c r="F21" s="147"/>
      <c r="G21" s="203"/>
      <c r="H21" s="204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10:D10"/>
    <mergeCell ref="A11:D11"/>
    <mergeCell ref="A22:C26"/>
    <mergeCell ref="D22:H26"/>
    <mergeCell ref="G12:H12"/>
    <mergeCell ref="G13:H13"/>
    <mergeCell ref="G14:H14"/>
    <mergeCell ref="A19:C21"/>
    <mergeCell ref="D19:F21"/>
    <mergeCell ref="G19:H21"/>
    <mergeCell ref="A16:C18"/>
    <mergeCell ref="D16:F16"/>
    <mergeCell ref="G16:H16"/>
    <mergeCell ref="D17:F17"/>
    <mergeCell ref="G17:H17"/>
    <mergeCell ref="D18:F18"/>
    <mergeCell ref="G18:H18"/>
    <mergeCell ref="A9:G9"/>
    <mergeCell ref="G10:H10"/>
    <mergeCell ref="G11:H11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>
    <outlinePr summaryBelow="0" summaryRight="0"/>
  </sheetPr>
  <dimension ref="A1:K26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64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57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65</v>
      </c>
      <c r="F5" s="57"/>
      <c r="G5" s="57"/>
      <c r="H5" s="58"/>
    </row>
    <row r="6" spans="1:11" ht="18" customHeight="1">
      <c r="A6" s="59" t="s">
        <v>66</v>
      </c>
      <c r="B6" s="433"/>
      <c r="C6" s="433"/>
      <c r="D6" s="433"/>
      <c r="E6" s="57" t="s">
        <v>28</v>
      </c>
      <c r="F6" s="57"/>
      <c r="G6" s="57"/>
      <c r="H6" s="58"/>
    </row>
    <row r="7" spans="1:11" ht="22.5" customHeight="1">
      <c r="A7" s="59" t="s">
        <v>67</v>
      </c>
      <c r="B7" s="433"/>
      <c r="C7" s="433"/>
      <c r="D7" s="433"/>
      <c r="E7" s="57" t="s">
        <v>30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68</v>
      </c>
      <c r="B10" s="95"/>
      <c r="C10" s="95"/>
      <c r="D10" s="96"/>
      <c r="E10" s="13">
        <v>12424</v>
      </c>
      <c r="F10" s="12">
        <v>0.1515</v>
      </c>
      <c r="G10" s="138">
        <f>E10+(E10*F10)</f>
        <v>14306.236000000001</v>
      </c>
      <c r="H10" s="139"/>
    </row>
    <row r="11" spans="1:11" ht="30" customHeight="1">
      <c r="A11" s="8"/>
      <c r="B11" s="9"/>
      <c r="C11" s="9"/>
      <c r="D11" s="10"/>
      <c r="E11" s="13"/>
      <c r="F11" s="12"/>
      <c r="G11" s="138"/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38"/>
      <c r="H13" s="139"/>
    </row>
    <row r="14" spans="1:11" ht="30" customHeight="1">
      <c r="A14" s="73" t="s">
        <v>14</v>
      </c>
      <c r="B14" s="74"/>
      <c r="C14" s="74"/>
      <c r="D14" s="74"/>
      <c r="E14" s="74"/>
      <c r="F14" s="74"/>
      <c r="G14" s="140">
        <f>G10</f>
        <v>14306.236000000001</v>
      </c>
      <c r="H14" s="141"/>
    </row>
    <row r="15" spans="1:11" ht="17.45" customHeight="1">
      <c r="A15" s="124" t="s">
        <v>69</v>
      </c>
      <c r="B15" s="125"/>
      <c r="C15" s="126"/>
      <c r="D15" s="134" t="s">
        <v>16</v>
      </c>
      <c r="E15" s="134"/>
      <c r="F15" s="135"/>
      <c r="G15" s="154">
        <f>G14</f>
        <v>14306.236000000001</v>
      </c>
      <c r="H15" s="155"/>
    </row>
    <row r="16" spans="1:11" ht="15.6" customHeight="1">
      <c r="A16" s="127"/>
      <c r="B16" s="128"/>
      <c r="C16" s="129"/>
      <c r="D16" s="134" t="s">
        <v>17</v>
      </c>
      <c r="E16" s="134"/>
      <c r="F16" s="135"/>
      <c r="G16" s="154">
        <f>G15</f>
        <v>14306.236000000001</v>
      </c>
      <c r="H16" s="155"/>
    </row>
    <row r="17" spans="1:8" ht="15" customHeight="1">
      <c r="A17" s="130"/>
      <c r="B17" s="131"/>
      <c r="C17" s="132"/>
      <c r="D17" s="156" t="s">
        <v>18</v>
      </c>
      <c r="E17" s="156"/>
      <c r="F17" s="157"/>
      <c r="G17" s="158">
        <v>0</v>
      </c>
      <c r="H17" s="159"/>
    </row>
    <row r="18" spans="1:8" ht="35.450000000000003" customHeight="1">
      <c r="A18" s="97" t="s">
        <v>19</v>
      </c>
      <c r="B18" s="98"/>
      <c r="C18" s="99"/>
      <c r="D18" s="142" t="s">
        <v>20</v>
      </c>
      <c r="E18" s="142"/>
      <c r="F18" s="143"/>
      <c r="G18" s="199">
        <f>G16</f>
        <v>14306.236000000001</v>
      </c>
      <c r="H18" s="200"/>
    </row>
    <row r="19" spans="1:8" ht="11.25" customHeight="1">
      <c r="A19" s="100"/>
      <c r="B19" s="101"/>
      <c r="C19" s="102"/>
      <c r="D19" s="144"/>
      <c r="E19" s="144"/>
      <c r="F19" s="145"/>
      <c r="G19" s="201"/>
      <c r="H19" s="202"/>
    </row>
    <row r="20" spans="1:8" ht="33" customHeight="1">
      <c r="A20" s="103"/>
      <c r="B20" s="104"/>
      <c r="C20" s="105"/>
      <c r="D20" s="146"/>
      <c r="E20" s="146"/>
      <c r="F20" s="147"/>
      <c r="G20" s="203"/>
      <c r="H20" s="204"/>
    </row>
    <row r="21" spans="1:8" ht="15.75" customHeight="1">
      <c r="A21" s="118" t="s">
        <v>21</v>
      </c>
      <c r="B21" s="78"/>
      <c r="C21" s="119"/>
      <c r="D21" s="77" t="s">
        <v>22</v>
      </c>
      <c r="E21" s="78"/>
      <c r="F21" s="78"/>
      <c r="G21" s="78"/>
      <c r="H21" s="79"/>
    </row>
    <row r="22" spans="1:8" ht="15.75" customHeight="1">
      <c r="A22" s="120"/>
      <c r="B22" s="81"/>
      <c r="C22" s="121"/>
      <c r="D22" s="80"/>
      <c r="E22" s="81"/>
      <c r="F22" s="81"/>
      <c r="G22" s="81"/>
      <c r="H22" s="82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2"/>
      <c r="B25" s="84"/>
      <c r="C25" s="123"/>
      <c r="D25" s="83"/>
      <c r="E25" s="84"/>
      <c r="F25" s="84"/>
      <c r="G25" s="84"/>
      <c r="H25" s="85"/>
    </row>
    <row r="26" spans="1:8" ht="44.25" customHeight="1" thickBot="1">
      <c r="A26" s="88" t="s">
        <v>23</v>
      </c>
      <c r="B26" s="89"/>
      <c r="C26" s="89"/>
      <c r="D26" s="89"/>
      <c r="E26" s="89"/>
      <c r="F26" s="89"/>
      <c r="G26" s="89"/>
      <c r="H26" s="90"/>
    </row>
  </sheetData>
  <mergeCells count="34">
    <mergeCell ref="A26:H26"/>
    <mergeCell ref="A9:D9"/>
    <mergeCell ref="A10:D10"/>
    <mergeCell ref="A21:C25"/>
    <mergeCell ref="D21:H25"/>
    <mergeCell ref="G11:H11"/>
    <mergeCell ref="G12:H12"/>
    <mergeCell ref="G13:H13"/>
    <mergeCell ref="A18:C20"/>
    <mergeCell ref="D18:F20"/>
    <mergeCell ref="G18:H20"/>
    <mergeCell ref="A15:C17"/>
    <mergeCell ref="D15:F15"/>
    <mergeCell ref="G15:H15"/>
    <mergeCell ref="D16:F16"/>
    <mergeCell ref="G16:H16"/>
    <mergeCell ref="D17:F17"/>
    <mergeCell ref="G17:H17"/>
    <mergeCell ref="G9:H9"/>
    <mergeCell ref="G10:H10"/>
    <mergeCell ref="A14:F14"/>
    <mergeCell ref="G14:H14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8">
    <outlinePr summaryBelow="0" summaryRight="0"/>
  </sheetPr>
  <dimension ref="A1:K26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70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71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72</v>
      </c>
      <c r="F5" s="57"/>
      <c r="G5" s="57"/>
      <c r="H5" s="58"/>
    </row>
    <row r="6" spans="1:11" ht="18" customHeight="1">
      <c r="A6" s="59" t="s">
        <v>73</v>
      </c>
      <c r="B6" s="433"/>
      <c r="C6" s="433"/>
      <c r="D6" s="433"/>
      <c r="E6" s="57" t="s">
        <v>74</v>
      </c>
      <c r="F6" s="57"/>
      <c r="G6" s="57"/>
      <c r="H6" s="58"/>
    </row>
    <row r="7" spans="1:11" ht="22.5" customHeight="1">
      <c r="A7" s="59" t="s">
        <v>75</v>
      </c>
      <c r="B7" s="433"/>
      <c r="C7" s="433"/>
      <c r="D7" s="433"/>
      <c r="E7" s="57" t="s">
        <v>76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46</v>
      </c>
      <c r="B10" s="95"/>
      <c r="C10" s="95"/>
      <c r="D10" s="96"/>
      <c r="E10" s="13">
        <v>10923</v>
      </c>
      <c r="F10" s="12">
        <v>0.1515</v>
      </c>
      <c r="G10" s="138">
        <f>E10+(E10*F10)</f>
        <v>12577.834500000001</v>
      </c>
      <c r="H10" s="139"/>
    </row>
    <row r="11" spans="1:11" ht="30" customHeight="1">
      <c r="A11" s="8"/>
      <c r="B11" s="9"/>
      <c r="C11" s="9"/>
      <c r="D11" s="10"/>
      <c r="E11" s="13"/>
      <c r="F11" s="12"/>
      <c r="G11" s="138"/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62"/>
      <c r="H13" s="163"/>
    </row>
    <row r="14" spans="1:11" ht="30" customHeight="1">
      <c r="A14" s="73" t="s">
        <v>14</v>
      </c>
      <c r="B14" s="74"/>
      <c r="C14" s="74"/>
      <c r="D14" s="74"/>
      <c r="E14" s="74"/>
      <c r="F14" s="74"/>
      <c r="G14" s="140">
        <f>G10</f>
        <v>12577.834500000001</v>
      </c>
      <c r="H14" s="141"/>
    </row>
    <row r="15" spans="1:11" ht="17.45" customHeight="1">
      <c r="A15" s="124" t="s">
        <v>77</v>
      </c>
      <c r="B15" s="125"/>
      <c r="C15" s="126"/>
      <c r="D15" s="134" t="s">
        <v>16</v>
      </c>
      <c r="E15" s="134"/>
      <c r="F15" s="135"/>
      <c r="G15" s="154">
        <f>G14</f>
        <v>12577.834500000001</v>
      </c>
      <c r="H15" s="155"/>
    </row>
    <row r="16" spans="1:11" ht="15.6" customHeight="1">
      <c r="A16" s="127"/>
      <c r="B16" s="128"/>
      <c r="C16" s="129"/>
      <c r="D16" s="134" t="s">
        <v>17</v>
      </c>
      <c r="E16" s="134"/>
      <c r="F16" s="135"/>
      <c r="G16" s="154">
        <f>G15</f>
        <v>12577.834500000001</v>
      </c>
      <c r="H16" s="155"/>
    </row>
    <row r="17" spans="1:8" ht="15" customHeight="1">
      <c r="A17" s="130"/>
      <c r="B17" s="131"/>
      <c r="C17" s="132"/>
      <c r="D17" s="156" t="s">
        <v>18</v>
      </c>
      <c r="E17" s="156"/>
      <c r="F17" s="157"/>
      <c r="G17" s="158">
        <v>0</v>
      </c>
      <c r="H17" s="159"/>
    </row>
    <row r="18" spans="1:8" ht="35.450000000000003" customHeight="1">
      <c r="A18" s="97" t="s">
        <v>19</v>
      </c>
      <c r="B18" s="98"/>
      <c r="C18" s="99"/>
      <c r="D18" s="142" t="s">
        <v>20</v>
      </c>
      <c r="E18" s="142"/>
      <c r="F18" s="143"/>
      <c r="G18" s="199">
        <f>G16</f>
        <v>12577.834500000001</v>
      </c>
      <c r="H18" s="200"/>
    </row>
    <row r="19" spans="1:8" ht="11.25" customHeight="1">
      <c r="A19" s="100"/>
      <c r="B19" s="101"/>
      <c r="C19" s="102"/>
      <c r="D19" s="144"/>
      <c r="E19" s="144"/>
      <c r="F19" s="145"/>
      <c r="G19" s="201"/>
      <c r="H19" s="202"/>
    </row>
    <row r="20" spans="1:8" ht="33" customHeight="1">
      <c r="A20" s="103"/>
      <c r="B20" s="104"/>
      <c r="C20" s="105"/>
      <c r="D20" s="146"/>
      <c r="E20" s="146"/>
      <c r="F20" s="147"/>
      <c r="G20" s="203"/>
      <c r="H20" s="204"/>
    </row>
    <row r="21" spans="1:8" ht="15.75" customHeight="1">
      <c r="A21" s="118" t="s">
        <v>21</v>
      </c>
      <c r="B21" s="78"/>
      <c r="C21" s="119"/>
      <c r="D21" s="77" t="s">
        <v>22</v>
      </c>
      <c r="E21" s="78"/>
      <c r="F21" s="78"/>
      <c r="G21" s="78"/>
      <c r="H21" s="79"/>
    </row>
    <row r="22" spans="1:8" ht="15.75" customHeight="1">
      <c r="A22" s="120"/>
      <c r="B22" s="81"/>
      <c r="C22" s="121"/>
      <c r="D22" s="80"/>
      <c r="E22" s="81"/>
      <c r="F22" s="81"/>
      <c r="G22" s="81"/>
      <c r="H22" s="82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2"/>
      <c r="B25" s="84"/>
      <c r="C25" s="123"/>
      <c r="D25" s="83"/>
      <c r="E25" s="84"/>
      <c r="F25" s="84"/>
      <c r="G25" s="84"/>
      <c r="H25" s="85"/>
    </row>
    <row r="26" spans="1:8" ht="44.25" customHeight="1" thickBot="1">
      <c r="A26" s="88" t="s">
        <v>23</v>
      </c>
      <c r="B26" s="89"/>
      <c r="C26" s="89"/>
      <c r="D26" s="89"/>
      <c r="E26" s="89"/>
      <c r="F26" s="89"/>
      <c r="G26" s="89"/>
      <c r="H26" s="90"/>
    </row>
  </sheetData>
  <mergeCells count="34">
    <mergeCell ref="A26:H26"/>
    <mergeCell ref="A9:D9"/>
    <mergeCell ref="A10:D10"/>
    <mergeCell ref="G11:H11"/>
    <mergeCell ref="G12:H12"/>
    <mergeCell ref="G13:H13"/>
    <mergeCell ref="A21:C25"/>
    <mergeCell ref="D21:H25"/>
    <mergeCell ref="A18:C20"/>
    <mergeCell ref="D18:F20"/>
    <mergeCell ref="G18:H20"/>
    <mergeCell ref="A15:C17"/>
    <mergeCell ref="D15:F15"/>
    <mergeCell ref="G15:H15"/>
    <mergeCell ref="D16:F16"/>
    <mergeCell ref="G16:H16"/>
    <mergeCell ref="D17:F17"/>
    <mergeCell ref="G17:H17"/>
    <mergeCell ref="G9:H9"/>
    <mergeCell ref="G10:H10"/>
    <mergeCell ref="A14:F14"/>
    <mergeCell ref="G14:H14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9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78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79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80</v>
      </c>
      <c r="F5" s="57"/>
      <c r="G5" s="57"/>
      <c r="H5" s="58"/>
    </row>
    <row r="6" spans="1:11" ht="18" customHeight="1">
      <c r="A6" s="59" t="s">
        <v>81</v>
      </c>
      <c r="B6" s="433"/>
      <c r="C6" s="433"/>
      <c r="D6" s="433"/>
      <c r="E6" s="57" t="s">
        <v>82</v>
      </c>
      <c r="F6" s="57"/>
      <c r="G6" s="57"/>
      <c r="H6" s="58"/>
    </row>
    <row r="7" spans="1:11" ht="22.5" customHeight="1">
      <c r="A7" s="59" t="s">
        <v>83</v>
      </c>
      <c r="B7" s="433"/>
      <c r="C7" s="433"/>
      <c r="D7" s="433"/>
      <c r="E7" s="57" t="s">
        <v>84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85</v>
      </c>
      <c r="B10" s="95"/>
      <c r="C10" s="95"/>
      <c r="D10" s="96"/>
      <c r="E10" s="13">
        <v>11435</v>
      </c>
      <c r="F10" s="12">
        <v>0.1515</v>
      </c>
      <c r="G10" s="138">
        <f>E10+(E10*F10)</f>
        <v>13167.4025</v>
      </c>
      <c r="H10" s="139"/>
    </row>
    <row r="11" spans="1:11" ht="30" customHeight="1">
      <c r="A11" s="8"/>
      <c r="B11" s="9"/>
      <c r="C11" s="9"/>
      <c r="D11" s="10"/>
      <c r="E11" s="13"/>
      <c r="F11" s="12"/>
      <c r="G11" s="138"/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38"/>
      <c r="H13" s="139"/>
    </row>
    <row r="14" spans="1:11" ht="30" customHeight="1">
      <c r="A14" s="8"/>
      <c r="B14" s="9"/>
      <c r="C14" s="9"/>
      <c r="D14" s="10"/>
      <c r="E14" s="13"/>
      <c r="F14" s="12"/>
      <c r="G14" s="162"/>
      <c r="H14" s="163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140">
        <f>G10</f>
        <v>13167.4025</v>
      </c>
      <c r="H15" s="141"/>
    </row>
    <row r="16" spans="1:11" ht="17.45" customHeight="1">
      <c r="A16" s="124" t="s">
        <v>86</v>
      </c>
      <c r="B16" s="125"/>
      <c r="C16" s="126"/>
      <c r="D16" s="134" t="s">
        <v>16</v>
      </c>
      <c r="E16" s="134"/>
      <c r="F16" s="135"/>
      <c r="G16" s="154">
        <f>G15</f>
        <v>13167.4025</v>
      </c>
      <c r="H16" s="155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54">
        <f>G16</f>
        <v>13167.4025</v>
      </c>
      <c r="H17" s="155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58">
        <v>0</v>
      </c>
      <c r="H18" s="159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99">
        <f>G17</f>
        <v>13167.4025</v>
      </c>
      <c r="H19" s="200"/>
    </row>
    <row r="20" spans="1:8" ht="11.25" customHeight="1">
      <c r="A20" s="100"/>
      <c r="B20" s="101"/>
      <c r="C20" s="102"/>
      <c r="D20" s="144"/>
      <c r="E20" s="144"/>
      <c r="F20" s="145"/>
      <c r="G20" s="201"/>
      <c r="H20" s="202"/>
    </row>
    <row r="21" spans="1:8" ht="33" customHeight="1">
      <c r="A21" s="103"/>
      <c r="B21" s="104"/>
      <c r="C21" s="105"/>
      <c r="D21" s="146"/>
      <c r="E21" s="146"/>
      <c r="F21" s="147"/>
      <c r="G21" s="203"/>
      <c r="H21" s="204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9:D9"/>
    <mergeCell ref="A10:D10"/>
    <mergeCell ref="G11:H11"/>
    <mergeCell ref="G12:H12"/>
    <mergeCell ref="G13:H13"/>
    <mergeCell ref="G14:H14"/>
    <mergeCell ref="A22:C26"/>
    <mergeCell ref="A19:C21"/>
    <mergeCell ref="D19:F21"/>
    <mergeCell ref="G19:H21"/>
    <mergeCell ref="D22:H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0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87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88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89</v>
      </c>
      <c r="F5" s="57"/>
      <c r="G5" s="57"/>
      <c r="H5" s="58"/>
    </row>
    <row r="6" spans="1:11" ht="18" customHeight="1">
      <c r="A6" s="59" t="s">
        <v>81</v>
      </c>
      <c r="B6" s="433"/>
      <c r="C6" s="433"/>
      <c r="D6" s="433"/>
      <c r="E6" s="57" t="s">
        <v>90</v>
      </c>
      <c r="F6" s="57"/>
      <c r="G6" s="57"/>
      <c r="H6" s="58"/>
    </row>
    <row r="7" spans="1:11" ht="22.5" customHeight="1">
      <c r="A7" s="59" t="s">
        <v>83</v>
      </c>
      <c r="B7" s="433"/>
      <c r="C7" s="433"/>
      <c r="D7" s="433"/>
      <c r="E7" s="57" t="s">
        <v>91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85</v>
      </c>
      <c r="B10" s="95"/>
      <c r="C10" s="95"/>
      <c r="D10" s="96"/>
      <c r="E10" s="33">
        <v>12374</v>
      </c>
      <c r="F10" s="12">
        <v>0.1515</v>
      </c>
      <c r="G10" s="209">
        <f>E10+(E10*F10)</f>
        <v>14248.661</v>
      </c>
      <c r="H10" s="210"/>
    </row>
    <row r="11" spans="1:11" ht="30" customHeight="1">
      <c r="A11" s="8"/>
      <c r="B11" s="9"/>
      <c r="C11" s="9"/>
      <c r="D11" s="10"/>
      <c r="E11" s="33"/>
      <c r="F11" s="12"/>
      <c r="G11" s="213"/>
      <c r="H11" s="214"/>
    </row>
    <row r="12" spans="1:11" ht="30" customHeight="1">
      <c r="A12" s="8"/>
      <c r="B12" s="9"/>
      <c r="C12" s="9"/>
      <c r="D12" s="10"/>
      <c r="E12" s="33"/>
      <c r="F12" s="12"/>
      <c r="G12" s="209"/>
      <c r="H12" s="210"/>
    </row>
    <row r="13" spans="1:11" ht="30" customHeight="1">
      <c r="A13" s="8"/>
      <c r="B13" s="9"/>
      <c r="C13" s="9"/>
      <c r="D13" s="10"/>
      <c r="E13" s="33"/>
      <c r="F13" s="12"/>
      <c r="G13" s="209"/>
      <c r="H13" s="210"/>
    </row>
    <row r="14" spans="1:11" ht="30" customHeight="1">
      <c r="A14" s="8"/>
      <c r="B14" s="9"/>
      <c r="C14" s="9"/>
      <c r="D14" s="10"/>
      <c r="E14" s="34"/>
      <c r="F14" s="12"/>
      <c r="G14" s="215"/>
      <c r="H14" s="216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211">
        <f>SUM(G10:H10)</f>
        <v>14248.661</v>
      </c>
      <c r="H15" s="212"/>
    </row>
    <row r="16" spans="1:11" ht="17.45" customHeight="1">
      <c r="A16" s="124" t="s">
        <v>92</v>
      </c>
      <c r="B16" s="125"/>
      <c r="C16" s="126"/>
      <c r="D16" s="134" t="s">
        <v>16</v>
      </c>
      <c r="E16" s="134"/>
      <c r="F16" s="135"/>
      <c r="G16" s="223">
        <f>G15</f>
        <v>14248.661</v>
      </c>
      <c r="H16" s="224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205">
        <f>G16</f>
        <v>14248.661</v>
      </c>
      <c r="H17" s="206"/>
    </row>
    <row r="18" spans="1:8" ht="24" customHeight="1">
      <c r="A18" s="130"/>
      <c r="B18" s="131"/>
      <c r="C18" s="132"/>
      <c r="D18" s="156" t="s">
        <v>18</v>
      </c>
      <c r="E18" s="156"/>
      <c r="F18" s="157"/>
      <c r="G18" s="207">
        <v>0</v>
      </c>
      <c r="H18" s="208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217">
        <f>G17</f>
        <v>14248.661</v>
      </c>
      <c r="H19" s="218"/>
    </row>
    <row r="20" spans="1:8" ht="11.25" customHeight="1">
      <c r="A20" s="100"/>
      <c r="B20" s="101"/>
      <c r="C20" s="102"/>
      <c r="D20" s="144"/>
      <c r="E20" s="144"/>
      <c r="F20" s="145"/>
      <c r="G20" s="219"/>
      <c r="H20" s="220"/>
    </row>
    <row r="21" spans="1:8" ht="33" customHeight="1">
      <c r="A21" s="103"/>
      <c r="B21" s="104"/>
      <c r="C21" s="105"/>
      <c r="D21" s="146"/>
      <c r="E21" s="146"/>
      <c r="F21" s="147"/>
      <c r="G21" s="221"/>
      <c r="H21" s="222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9:D9"/>
    <mergeCell ref="A10:D10"/>
    <mergeCell ref="G11:H11"/>
    <mergeCell ref="G12:H12"/>
    <mergeCell ref="G13:H13"/>
    <mergeCell ref="G14:H14"/>
    <mergeCell ref="A22:C26"/>
    <mergeCell ref="A19:C21"/>
    <mergeCell ref="D19:F21"/>
    <mergeCell ref="G19:H21"/>
    <mergeCell ref="D22:H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1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93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94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95</v>
      </c>
      <c r="F5" s="57"/>
      <c r="G5" s="57"/>
      <c r="H5" s="58"/>
    </row>
    <row r="6" spans="1:11" ht="18" customHeight="1">
      <c r="A6" s="59" t="s">
        <v>96</v>
      </c>
      <c r="B6" s="433"/>
      <c r="C6" s="433"/>
      <c r="D6" s="433"/>
      <c r="E6" s="57" t="s">
        <v>74</v>
      </c>
      <c r="F6" s="57"/>
      <c r="G6" s="57"/>
      <c r="H6" s="58"/>
    </row>
    <row r="7" spans="1:11" ht="26.25" customHeight="1">
      <c r="A7" s="225" t="s">
        <v>97</v>
      </c>
      <c r="B7" s="433"/>
      <c r="C7" s="433"/>
      <c r="D7" s="433"/>
      <c r="E7" s="57" t="s">
        <v>76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98</v>
      </c>
      <c r="B10" s="95"/>
      <c r="C10" s="95"/>
      <c r="D10" s="96"/>
      <c r="E10" s="13">
        <v>9355</v>
      </c>
      <c r="F10" s="12">
        <v>0.1515</v>
      </c>
      <c r="G10" s="138">
        <f>E10+(E10*F10)</f>
        <v>10772.282499999999</v>
      </c>
      <c r="H10" s="139"/>
    </row>
    <row r="11" spans="1:11" ht="30" customHeight="1">
      <c r="A11" s="8"/>
      <c r="B11" s="9"/>
      <c r="C11" s="9"/>
      <c r="D11" s="10"/>
      <c r="E11" s="13"/>
      <c r="F11" s="12"/>
      <c r="G11" s="138"/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38"/>
      <c r="H13" s="139"/>
    </row>
    <row r="14" spans="1:11" ht="30" customHeight="1">
      <c r="A14" s="8"/>
      <c r="B14" s="9"/>
      <c r="C14" s="9"/>
      <c r="D14" s="10"/>
      <c r="E14" s="13"/>
      <c r="F14" s="12"/>
      <c r="G14" s="162"/>
      <c r="H14" s="163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140">
        <f>G10</f>
        <v>10772.282499999999</v>
      </c>
      <c r="H15" s="141"/>
    </row>
    <row r="16" spans="1:11" ht="17.45" customHeight="1">
      <c r="A16" s="124" t="s">
        <v>99</v>
      </c>
      <c r="B16" s="125"/>
      <c r="C16" s="126"/>
      <c r="D16" s="134" t="s">
        <v>16</v>
      </c>
      <c r="E16" s="134"/>
      <c r="F16" s="135"/>
      <c r="G16" s="154">
        <f>G15</f>
        <v>10772.282499999999</v>
      </c>
      <c r="H16" s="155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54">
        <f>G16</f>
        <v>10772.282499999999</v>
      </c>
      <c r="H17" s="155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58">
        <v>0</v>
      </c>
      <c r="H18" s="159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99">
        <f>G17</f>
        <v>10772.282499999999</v>
      </c>
      <c r="H19" s="200"/>
    </row>
    <row r="20" spans="1:8" ht="11.25" customHeight="1">
      <c r="A20" s="100"/>
      <c r="B20" s="101"/>
      <c r="C20" s="102"/>
      <c r="D20" s="144"/>
      <c r="E20" s="144"/>
      <c r="F20" s="145"/>
      <c r="G20" s="201"/>
      <c r="H20" s="202"/>
    </row>
    <row r="21" spans="1:8" ht="33" customHeight="1">
      <c r="A21" s="103"/>
      <c r="B21" s="104"/>
      <c r="C21" s="105"/>
      <c r="D21" s="146"/>
      <c r="E21" s="146"/>
      <c r="F21" s="147"/>
      <c r="G21" s="203"/>
      <c r="H21" s="204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9:D9"/>
    <mergeCell ref="A10:D10"/>
    <mergeCell ref="A22:C26"/>
    <mergeCell ref="D22:H26"/>
    <mergeCell ref="G11:H11"/>
    <mergeCell ref="G12:H12"/>
    <mergeCell ref="G13:H13"/>
    <mergeCell ref="A19:C21"/>
    <mergeCell ref="D19:F21"/>
    <mergeCell ref="G19:H21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G14:H14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2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100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94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101</v>
      </c>
      <c r="F5" s="57"/>
      <c r="G5" s="57"/>
      <c r="H5" s="58"/>
    </row>
    <row r="6" spans="1:11" ht="18" customHeight="1">
      <c r="A6" s="59" t="s">
        <v>102</v>
      </c>
      <c r="B6" s="433"/>
      <c r="C6" s="433"/>
      <c r="D6" s="433"/>
      <c r="E6" s="57" t="s">
        <v>82</v>
      </c>
      <c r="F6" s="57"/>
      <c r="G6" s="57"/>
      <c r="H6" s="58"/>
    </row>
    <row r="7" spans="1:11" ht="26.25" customHeight="1">
      <c r="A7" s="225" t="s">
        <v>103</v>
      </c>
      <c r="B7" s="433"/>
      <c r="C7" s="433"/>
      <c r="D7" s="433"/>
      <c r="E7" s="57" t="s">
        <v>84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98</v>
      </c>
      <c r="B10" s="95"/>
      <c r="C10" s="95"/>
      <c r="D10" s="96"/>
      <c r="E10" s="13">
        <v>9105</v>
      </c>
      <c r="F10" s="12">
        <v>0.1515</v>
      </c>
      <c r="G10" s="138">
        <f>E10+(E10*F10)</f>
        <v>10484.407499999999</v>
      </c>
      <c r="H10" s="139"/>
    </row>
    <row r="11" spans="1:11" ht="30" customHeight="1">
      <c r="A11" s="8"/>
      <c r="B11" s="9"/>
      <c r="C11" s="9"/>
      <c r="D11" s="10"/>
      <c r="E11" s="13"/>
      <c r="F11" s="12"/>
      <c r="G11" s="138"/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38"/>
      <c r="H13" s="139"/>
    </row>
    <row r="14" spans="1:11" ht="30" customHeight="1">
      <c r="A14" s="8"/>
      <c r="B14" s="9"/>
      <c r="C14" s="9"/>
      <c r="D14" s="10"/>
      <c r="E14" s="13"/>
      <c r="F14" s="12"/>
      <c r="G14" s="162"/>
      <c r="H14" s="163"/>
    </row>
    <row r="15" spans="1:11" ht="30" customHeight="1">
      <c r="A15" s="226" t="s">
        <v>14</v>
      </c>
      <c r="B15" s="227"/>
      <c r="C15" s="227"/>
      <c r="D15" s="227"/>
      <c r="E15" s="227"/>
      <c r="F15" s="227"/>
      <c r="G15" s="140">
        <f>G10</f>
        <v>10484.407499999999</v>
      </c>
      <c r="H15" s="141"/>
    </row>
    <row r="16" spans="1:11" ht="17.45" customHeight="1">
      <c r="A16" s="124" t="s">
        <v>104</v>
      </c>
      <c r="B16" s="125"/>
      <c r="C16" s="126"/>
      <c r="D16" s="134" t="s">
        <v>16</v>
      </c>
      <c r="E16" s="134"/>
      <c r="F16" s="135"/>
      <c r="G16" s="154">
        <f>G15</f>
        <v>10484.407499999999</v>
      </c>
      <c r="H16" s="155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54">
        <f>G16</f>
        <v>10484.407499999999</v>
      </c>
      <c r="H17" s="155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58">
        <v>0</v>
      </c>
      <c r="H18" s="159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99">
        <f>G17</f>
        <v>10484.407499999999</v>
      </c>
      <c r="H19" s="200"/>
    </row>
    <row r="20" spans="1:8" ht="11.25" customHeight="1">
      <c r="A20" s="100"/>
      <c r="B20" s="101"/>
      <c r="C20" s="102"/>
      <c r="D20" s="144"/>
      <c r="E20" s="144"/>
      <c r="F20" s="145"/>
      <c r="G20" s="201"/>
      <c r="H20" s="202"/>
    </row>
    <row r="21" spans="1:8" ht="33" customHeight="1">
      <c r="A21" s="103"/>
      <c r="B21" s="104"/>
      <c r="C21" s="105"/>
      <c r="D21" s="146"/>
      <c r="E21" s="146"/>
      <c r="F21" s="147"/>
      <c r="G21" s="203"/>
      <c r="H21" s="204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9:D9"/>
    <mergeCell ref="A10:D10"/>
    <mergeCell ref="G11:H11"/>
    <mergeCell ref="G12:H12"/>
    <mergeCell ref="G13:H13"/>
    <mergeCell ref="G14:H14"/>
    <mergeCell ref="A22:C26"/>
    <mergeCell ref="A19:C21"/>
    <mergeCell ref="D19:F21"/>
    <mergeCell ref="G19:H21"/>
    <mergeCell ref="D22:H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3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105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106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107</v>
      </c>
      <c r="F5" s="57"/>
      <c r="G5" s="57"/>
      <c r="H5" s="58"/>
    </row>
    <row r="6" spans="1:11" ht="18" customHeight="1">
      <c r="A6" s="59" t="s">
        <v>108</v>
      </c>
      <c r="B6" s="433"/>
      <c r="C6" s="433"/>
      <c r="D6" s="433"/>
      <c r="E6" s="57" t="s">
        <v>28</v>
      </c>
      <c r="F6" s="57"/>
      <c r="G6" s="57"/>
      <c r="H6" s="58"/>
    </row>
    <row r="7" spans="1:11" ht="26.25" customHeight="1">
      <c r="A7" s="225" t="s">
        <v>109</v>
      </c>
      <c r="B7" s="433"/>
      <c r="C7" s="433"/>
      <c r="D7" s="433"/>
      <c r="E7" s="57" t="s">
        <v>30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9</v>
      </c>
      <c r="B9" s="92"/>
      <c r="C9" s="92"/>
      <c r="D9" s="93"/>
      <c r="E9" s="16" t="s">
        <v>10</v>
      </c>
      <c r="F9" s="16" t="s">
        <v>11</v>
      </c>
      <c r="G9" s="69" t="s">
        <v>12</v>
      </c>
      <c r="H9" s="70"/>
    </row>
    <row r="10" spans="1:11" ht="30" customHeight="1">
      <c r="A10" s="94" t="s">
        <v>98</v>
      </c>
      <c r="B10" s="95"/>
      <c r="C10" s="95"/>
      <c r="D10" s="96"/>
      <c r="E10" s="13">
        <v>8945</v>
      </c>
      <c r="F10" s="12">
        <v>0.1515</v>
      </c>
      <c r="G10" s="138">
        <f>E10+(E10*F10)</f>
        <v>10300.1675</v>
      </c>
      <c r="H10" s="139"/>
    </row>
    <row r="11" spans="1:11" ht="30" customHeight="1">
      <c r="A11" s="8"/>
      <c r="B11" s="9"/>
      <c r="C11" s="9"/>
      <c r="D11" s="10"/>
      <c r="E11" s="13"/>
      <c r="F11" s="12"/>
      <c r="G11" s="138"/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38"/>
      <c r="H13" s="139"/>
    </row>
    <row r="14" spans="1:11" ht="30" customHeight="1">
      <c r="A14" s="8"/>
      <c r="B14" s="9"/>
      <c r="C14" s="9"/>
      <c r="D14" s="10"/>
      <c r="E14" s="13"/>
      <c r="F14" s="12"/>
      <c r="G14" s="162"/>
      <c r="H14" s="163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140">
        <f>G10</f>
        <v>10300.1675</v>
      </c>
      <c r="H15" s="141"/>
    </row>
    <row r="16" spans="1:11" ht="17.45" customHeight="1">
      <c r="A16" s="124" t="s">
        <v>110</v>
      </c>
      <c r="B16" s="125"/>
      <c r="C16" s="126"/>
      <c r="D16" s="134" t="s">
        <v>16</v>
      </c>
      <c r="E16" s="134"/>
      <c r="F16" s="135"/>
      <c r="G16" s="154">
        <f>G15</f>
        <v>10300.1675</v>
      </c>
      <c r="H16" s="155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54">
        <f>G16</f>
        <v>10300.1675</v>
      </c>
      <c r="H17" s="155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58">
        <v>0</v>
      </c>
      <c r="H18" s="159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99">
        <f>G17</f>
        <v>10300.1675</v>
      </c>
      <c r="H19" s="200"/>
    </row>
    <row r="20" spans="1:8" ht="11.25" customHeight="1">
      <c r="A20" s="100"/>
      <c r="B20" s="101"/>
      <c r="C20" s="102"/>
      <c r="D20" s="144"/>
      <c r="E20" s="144"/>
      <c r="F20" s="145"/>
      <c r="G20" s="201"/>
      <c r="H20" s="202"/>
    </row>
    <row r="21" spans="1:8" ht="33" customHeight="1">
      <c r="A21" s="103"/>
      <c r="B21" s="104"/>
      <c r="C21" s="105"/>
      <c r="D21" s="146"/>
      <c r="E21" s="146"/>
      <c r="F21" s="147"/>
      <c r="G21" s="203"/>
      <c r="H21" s="204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9:D9"/>
    <mergeCell ref="A10:D10"/>
    <mergeCell ref="G11:H11"/>
    <mergeCell ref="G12:H12"/>
    <mergeCell ref="G13:H13"/>
    <mergeCell ref="G14:H14"/>
    <mergeCell ref="A22:C26"/>
    <mergeCell ref="A19:C21"/>
    <mergeCell ref="D19:F21"/>
    <mergeCell ref="G19:H21"/>
    <mergeCell ref="D22:H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4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111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112</v>
      </c>
      <c r="D2" s="136"/>
      <c r="E2" s="136"/>
      <c r="F2" s="136"/>
      <c r="G2" s="136"/>
      <c r="H2" s="137"/>
    </row>
    <row r="3" spans="1:11" ht="93.75" customHeight="1">
      <c r="A3" s="52" t="s">
        <v>2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3</v>
      </c>
      <c r="B5" s="56"/>
      <c r="C5" s="56"/>
      <c r="D5" s="56"/>
      <c r="E5" s="57" t="s">
        <v>113</v>
      </c>
      <c r="F5" s="57"/>
      <c r="G5" s="57"/>
      <c r="H5" s="58"/>
    </row>
    <row r="6" spans="1:11" ht="18" customHeight="1">
      <c r="A6" s="59" t="s">
        <v>114</v>
      </c>
      <c r="B6" s="433"/>
      <c r="C6" s="433"/>
      <c r="D6" s="433"/>
      <c r="E6" s="57" t="s">
        <v>28</v>
      </c>
      <c r="F6" s="57"/>
      <c r="G6" s="57"/>
      <c r="H6" s="58"/>
    </row>
    <row r="7" spans="1:11" ht="26.25" customHeight="1">
      <c r="A7" s="225" t="s">
        <v>115</v>
      </c>
      <c r="B7" s="433"/>
      <c r="C7" s="433"/>
      <c r="D7" s="433"/>
      <c r="E7" s="57" t="s">
        <v>30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228" t="s">
        <v>9</v>
      </c>
      <c r="B9" s="229"/>
      <c r="C9" s="229"/>
      <c r="D9" s="230"/>
      <c r="E9" s="7" t="s">
        <v>10</v>
      </c>
      <c r="F9" s="7" t="s">
        <v>11</v>
      </c>
      <c r="G9" s="166" t="s">
        <v>12</v>
      </c>
      <c r="H9" s="167"/>
    </row>
    <row r="10" spans="1:11" ht="30" customHeight="1">
      <c r="A10" s="94" t="s">
        <v>46</v>
      </c>
      <c r="B10" s="95"/>
      <c r="C10" s="95"/>
      <c r="D10" s="96"/>
      <c r="E10" s="13">
        <v>10450</v>
      </c>
      <c r="F10" s="12">
        <v>0.1515</v>
      </c>
      <c r="G10" s="138">
        <f>E10+(E10*F10)</f>
        <v>12033.174999999999</v>
      </c>
      <c r="H10" s="139"/>
    </row>
    <row r="11" spans="1:11" ht="30" customHeight="1">
      <c r="A11" s="8"/>
      <c r="B11" s="9"/>
      <c r="C11" s="9"/>
      <c r="D11" s="10"/>
      <c r="E11" s="13"/>
      <c r="F11" s="12"/>
      <c r="G11" s="138"/>
      <c r="H11" s="139"/>
    </row>
    <row r="12" spans="1:11" ht="30" customHeight="1">
      <c r="A12" s="8"/>
      <c r="B12" s="9"/>
      <c r="C12" s="9"/>
      <c r="D12" s="10"/>
      <c r="E12" s="13"/>
      <c r="F12" s="12"/>
      <c r="G12" s="138"/>
      <c r="H12" s="139"/>
    </row>
    <row r="13" spans="1:11" ht="30" customHeight="1">
      <c r="A13" s="8"/>
      <c r="B13" s="9"/>
      <c r="C13" s="9"/>
      <c r="D13" s="10"/>
      <c r="E13" s="13"/>
      <c r="F13" s="12"/>
      <c r="G13" s="138"/>
      <c r="H13" s="139"/>
    </row>
    <row r="14" spans="1:11" ht="30" customHeight="1">
      <c r="A14" s="8"/>
      <c r="B14" s="9"/>
      <c r="C14" s="9"/>
      <c r="D14" s="10"/>
      <c r="E14" s="13"/>
      <c r="F14" s="12"/>
      <c r="G14" s="162"/>
      <c r="H14" s="163"/>
    </row>
    <row r="15" spans="1:11" ht="30" customHeight="1">
      <c r="A15" s="73" t="s">
        <v>14</v>
      </c>
      <c r="B15" s="74"/>
      <c r="C15" s="74"/>
      <c r="D15" s="74"/>
      <c r="E15" s="74"/>
      <c r="F15" s="74"/>
      <c r="G15" s="140">
        <f>G10</f>
        <v>12033.174999999999</v>
      </c>
      <c r="H15" s="141"/>
    </row>
    <row r="16" spans="1:11" ht="17.45" customHeight="1">
      <c r="A16" s="124" t="s">
        <v>116</v>
      </c>
      <c r="B16" s="125"/>
      <c r="C16" s="126"/>
      <c r="D16" s="134" t="s">
        <v>16</v>
      </c>
      <c r="E16" s="134"/>
      <c r="F16" s="135"/>
      <c r="G16" s="154">
        <f>G15</f>
        <v>12033.174999999999</v>
      </c>
      <c r="H16" s="155"/>
    </row>
    <row r="17" spans="1:8" ht="15.6" customHeight="1">
      <c r="A17" s="127"/>
      <c r="B17" s="128"/>
      <c r="C17" s="129"/>
      <c r="D17" s="134" t="s">
        <v>17</v>
      </c>
      <c r="E17" s="134"/>
      <c r="F17" s="135"/>
      <c r="G17" s="154">
        <f>G16</f>
        <v>12033.174999999999</v>
      </c>
      <c r="H17" s="155"/>
    </row>
    <row r="18" spans="1:8" ht="15" customHeight="1">
      <c r="A18" s="130"/>
      <c r="B18" s="131"/>
      <c r="C18" s="132"/>
      <c r="D18" s="156" t="s">
        <v>18</v>
      </c>
      <c r="E18" s="156"/>
      <c r="F18" s="157"/>
      <c r="G18" s="158">
        <v>0</v>
      </c>
      <c r="H18" s="159"/>
    </row>
    <row r="19" spans="1:8" ht="35.450000000000003" customHeight="1">
      <c r="A19" s="97" t="s">
        <v>19</v>
      </c>
      <c r="B19" s="98"/>
      <c r="C19" s="99"/>
      <c r="D19" s="142" t="s">
        <v>20</v>
      </c>
      <c r="E19" s="142"/>
      <c r="F19" s="143"/>
      <c r="G19" s="199">
        <f>G17</f>
        <v>12033.174999999999</v>
      </c>
      <c r="H19" s="200"/>
    </row>
    <row r="20" spans="1:8" ht="11.25" customHeight="1">
      <c r="A20" s="100"/>
      <c r="B20" s="101"/>
      <c r="C20" s="102"/>
      <c r="D20" s="144"/>
      <c r="E20" s="144"/>
      <c r="F20" s="145"/>
      <c r="G20" s="201"/>
      <c r="H20" s="202"/>
    </row>
    <row r="21" spans="1:8" ht="33" customHeight="1">
      <c r="A21" s="103"/>
      <c r="B21" s="104"/>
      <c r="C21" s="105"/>
      <c r="D21" s="146"/>
      <c r="E21" s="146"/>
      <c r="F21" s="147"/>
      <c r="G21" s="203"/>
      <c r="H21" s="204"/>
    </row>
    <row r="22" spans="1:8" ht="15.75" customHeight="1">
      <c r="A22" s="118" t="s">
        <v>21</v>
      </c>
      <c r="B22" s="78"/>
      <c r="C22" s="119"/>
      <c r="D22" s="77" t="s">
        <v>22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23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9:D9"/>
    <mergeCell ref="A10:D10"/>
    <mergeCell ref="G11:H11"/>
    <mergeCell ref="G12:H12"/>
    <mergeCell ref="G13:H13"/>
    <mergeCell ref="G14:H14"/>
    <mergeCell ref="A22:C26"/>
    <mergeCell ref="A19:C21"/>
    <mergeCell ref="D19:F21"/>
    <mergeCell ref="G19:H21"/>
    <mergeCell ref="D22:H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5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1" ht="15.6" customHeight="1">
      <c r="A1" s="1"/>
      <c r="B1" s="2"/>
      <c r="C1" s="48" t="s">
        <v>117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118</v>
      </c>
      <c r="D2" s="136"/>
      <c r="E2" s="136"/>
      <c r="F2" s="136"/>
      <c r="G2" s="136"/>
      <c r="H2" s="137"/>
    </row>
    <row r="3" spans="1:11" ht="93.75" customHeight="1">
      <c r="A3" s="52" t="s">
        <v>119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120</v>
      </c>
      <c r="B5" s="56"/>
      <c r="C5" s="56"/>
      <c r="D5" s="56"/>
      <c r="E5" s="231" t="s">
        <v>121</v>
      </c>
      <c r="F5" s="57"/>
      <c r="G5" s="57"/>
      <c r="H5" s="58"/>
    </row>
    <row r="6" spans="1:11" ht="18" customHeight="1">
      <c r="A6" s="59" t="s">
        <v>122</v>
      </c>
      <c r="B6" s="433"/>
      <c r="C6" s="433"/>
      <c r="D6" s="433"/>
      <c r="E6" s="231" t="s">
        <v>123</v>
      </c>
      <c r="F6" s="57"/>
      <c r="G6" s="57"/>
      <c r="H6" s="58"/>
    </row>
    <row r="7" spans="1:11" ht="26.25" customHeight="1">
      <c r="A7" s="225" t="s">
        <v>124</v>
      </c>
      <c r="B7" s="433"/>
      <c r="C7" s="433"/>
      <c r="D7" s="433"/>
      <c r="E7" s="232" t="s">
        <v>125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126</v>
      </c>
      <c r="B9" s="92"/>
      <c r="C9" s="92"/>
      <c r="D9" s="93"/>
      <c r="E9" s="16" t="s">
        <v>127</v>
      </c>
      <c r="F9" s="16" t="s">
        <v>128</v>
      </c>
      <c r="G9" s="69" t="s">
        <v>129</v>
      </c>
      <c r="H9" s="70"/>
    </row>
    <row r="10" spans="1:11" ht="39" customHeight="1">
      <c r="A10" s="196" t="s">
        <v>130</v>
      </c>
      <c r="B10" s="197"/>
      <c r="C10" s="197"/>
      <c r="D10" s="198"/>
      <c r="E10" s="36">
        <v>9455</v>
      </c>
      <c r="F10" s="12">
        <v>0.1515</v>
      </c>
      <c r="G10" s="235">
        <f>E10+(E10*F10)</f>
        <v>10887.432499999999</v>
      </c>
      <c r="H10" s="236"/>
    </row>
    <row r="11" spans="1:11" ht="39" customHeight="1">
      <c r="A11" s="17"/>
      <c r="B11" s="18"/>
      <c r="C11" s="18"/>
      <c r="D11" s="19"/>
      <c r="E11" s="36"/>
      <c r="F11" s="12"/>
      <c r="G11" s="235"/>
      <c r="H11" s="236"/>
    </row>
    <row r="12" spans="1:11" ht="39" customHeight="1">
      <c r="A12" s="17"/>
      <c r="B12" s="18"/>
      <c r="C12" s="18"/>
      <c r="D12" s="19"/>
      <c r="E12" s="36"/>
      <c r="F12" s="12"/>
      <c r="G12" s="235"/>
      <c r="H12" s="236"/>
    </row>
    <row r="13" spans="1:11" ht="39" customHeight="1">
      <c r="A13" s="17"/>
      <c r="B13" s="18"/>
      <c r="C13" s="18"/>
      <c r="D13" s="19"/>
      <c r="E13" s="36"/>
      <c r="F13" s="12"/>
      <c r="G13" s="235"/>
      <c r="H13" s="236"/>
    </row>
    <row r="14" spans="1:11" ht="39" customHeight="1">
      <c r="A14" s="17"/>
      <c r="B14" s="18"/>
      <c r="C14" s="18"/>
      <c r="D14" s="19"/>
      <c r="E14" s="35"/>
      <c r="F14" s="12"/>
      <c r="G14" s="239"/>
      <c r="H14" s="240"/>
    </row>
    <row r="15" spans="1:11" ht="30" customHeight="1">
      <c r="A15" s="73" t="s">
        <v>131</v>
      </c>
      <c r="B15" s="74"/>
      <c r="C15" s="74"/>
      <c r="D15" s="74"/>
      <c r="E15" s="74"/>
      <c r="F15" s="74"/>
      <c r="G15" s="237">
        <f>SUM(G10:H10)</f>
        <v>10887.432499999999</v>
      </c>
      <c r="H15" s="238"/>
    </row>
    <row r="16" spans="1:11" ht="17.45" customHeight="1">
      <c r="A16" s="124" t="s">
        <v>132</v>
      </c>
      <c r="B16" s="125"/>
      <c r="C16" s="126"/>
      <c r="D16" s="134" t="s">
        <v>133</v>
      </c>
      <c r="E16" s="134"/>
      <c r="F16" s="135"/>
      <c r="G16" s="247">
        <f>G15</f>
        <v>10887.432499999999</v>
      </c>
      <c r="H16" s="248"/>
    </row>
    <row r="17" spans="1:8" ht="15.6" customHeight="1">
      <c r="A17" s="127"/>
      <c r="B17" s="128"/>
      <c r="C17" s="129"/>
      <c r="D17" s="134" t="s">
        <v>134</v>
      </c>
      <c r="E17" s="134"/>
      <c r="F17" s="135"/>
      <c r="G17" s="247">
        <f>G16</f>
        <v>10887.432499999999</v>
      </c>
      <c r="H17" s="248"/>
    </row>
    <row r="18" spans="1:8" ht="19.5" customHeight="1">
      <c r="A18" s="130"/>
      <c r="B18" s="131"/>
      <c r="C18" s="132"/>
      <c r="D18" s="156" t="s">
        <v>135</v>
      </c>
      <c r="E18" s="156"/>
      <c r="F18" s="157"/>
      <c r="G18" s="233">
        <v>0</v>
      </c>
      <c r="H18" s="234"/>
    </row>
    <row r="19" spans="1:8" ht="35.450000000000003" customHeight="1">
      <c r="A19" s="97" t="s">
        <v>136</v>
      </c>
      <c r="B19" s="98"/>
      <c r="C19" s="99"/>
      <c r="D19" s="142" t="s">
        <v>137</v>
      </c>
      <c r="E19" s="142"/>
      <c r="F19" s="143"/>
      <c r="G19" s="241">
        <f>G17</f>
        <v>10887.432499999999</v>
      </c>
      <c r="H19" s="242"/>
    </row>
    <row r="20" spans="1:8" ht="11.25" customHeight="1">
      <c r="A20" s="100"/>
      <c r="B20" s="101"/>
      <c r="C20" s="102"/>
      <c r="D20" s="144"/>
      <c r="E20" s="144"/>
      <c r="F20" s="145"/>
      <c r="G20" s="243"/>
      <c r="H20" s="244"/>
    </row>
    <row r="21" spans="1:8" ht="33" customHeight="1">
      <c r="A21" s="103"/>
      <c r="B21" s="104"/>
      <c r="C21" s="105"/>
      <c r="D21" s="146"/>
      <c r="E21" s="146"/>
      <c r="F21" s="147"/>
      <c r="G21" s="245"/>
      <c r="H21" s="246"/>
    </row>
    <row r="22" spans="1:8" ht="15.75" customHeight="1">
      <c r="A22" s="118" t="s">
        <v>138</v>
      </c>
      <c r="B22" s="78"/>
      <c r="C22" s="119"/>
      <c r="D22" s="77" t="s">
        <v>139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88" t="s">
        <v>140</v>
      </c>
      <c r="B27" s="89"/>
      <c r="C27" s="89"/>
      <c r="D27" s="89"/>
      <c r="E27" s="89"/>
      <c r="F27" s="89"/>
      <c r="G27" s="89"/>
      <c r="H27" s="90"/>
    </row>
  </sheetData>
  <mergeCells count="35">
    <mergeCell ref="A27:H27"/>
    <mergeCell ref="A9:D9"/>
    <mergeCell ref="A10:D10"/>
    <mergeCell ref="A22:C26"/>
    <mergeCell ref="D22:H26"/>
    <mergeCell ref="G11:H11"/>
    <mergeCell ref="G12:H12"/>
    <mergeCell ref="A19:C21"/>
    <mergeCell ref="D19:F21"/>
    <mergeCell ref="G19:H21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G13:H13"/>
    <mergeCell ref="G14:H14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46">
    <outlinePr summaryBelow="0" summaryRight="0"/>
  </sheetPr>
  <dimension ref="A1:K28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" style="3" customWidth="1"/>
    <col min="7" max="7" width="8.28515625" style="3" customWidth="1"/>
    <col min="8" max="8" width="7.7109375" style="3" customWidth="1"/>
    <col min="9" max="16384" width="14.42578125" style="3"/>
  </cols>
  <sheetData>
    <row r="1" spans="1:11" ht="15.6" customHeight="1">
      <c r="A1" s="1"/>
      <c r="B1" s="2"/>
      <c r="C1" s="48" t="s">
        <v>141</v>
      </c>
      <c r="D1" s="48"/>
      <c r="E1" s="48"/>
      <c r="F1" s="48"/>
      <c r="G1" s="48"/>
      <c r="H1" s="49"/>
    </row>
    <row r="2" spans="1:11" ht="13.15" customHeight="1">
      <c r="A2" s="4"/>
      <c r="B2" s="5"/>
      <c r="C2" s="136" t="s">
        <v>142</v>
      </c>
      <c r="D2" s="136"/>
      <c r="E2" s="136"/>
      <c r="F2" s="136"/>
      <c r="G2" s="136"/>
      <c r="H2" s="137"/>
    </row>
    <row r="3" spans="1:11" ht="93.75" customHeight="1">
      <c r="A3" s="52" t="s">
        <v>143</v>
      </c>
      <c r="B3" s="53"/>
      <c r="C3" s="53"/>
      <c r="D3" s="53"/>
      <c r="E3" s="53"/>
      <c r="F3" s="53"/>
      <c r="G3" s="53"/>
      <c r="H3" s="54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9">
      <c r="A5" s="55" t="s">
        <v>144</v>
      </c>
      <c r="B5" s="56"/>
      <c r="C5" s="56"/>
      <c r="D5" s="56"/>
      <c r="E5" s="231" t="s">
        <v>145</v>
      </c>
      <c r="F5" s="57"/>
      <c r="G5" s="57"/>
      <c r="H5" s="58"/>
    </row>
    <row r="6" spans="1:11" ht="18" customHeight="1">
      <c r="A6" s="59" t="s">
        <v>146</v>
      </c>
      <c r="B6" s="433"/>
      <c r="C6" s="433"/>
      <c r="D6" s="433"/>
      <c r="E6" s="231" t="s">
        <v>147</v>
      </c>
      <c r="F6" s="57"/>
      <c r="G6" s="57"/>
      <c r="H6" s="58"/>
    </row>
    <row r="7" spans="1:11" ht="26.25" customHeight="1">
      <c r="A7" s="225" t="s">
        <v>148</v>
      </c>
      <c r="B7" s="433"/>
      <c r="C7" s="433"/>
      <c r="D7" s="433"/>
      <c r="E7" s="57" t="s">
        <v>149</v>
      </c>
      <c r="F7" s="57"/>
      <c r="G7" s="57"/>
      <c r="H7" s="58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91" t="s">
        <v>150</v>
      </c>
      <c r="B9" s="92"/>
      <c r="C9" s="92"/>
      <c r="D9" s="93"/>
      <c r="E9" s="16" t="s">
        <v>151</v>
      </c>
      <c r="F9" s="16" t="s">
        <v>152</v>
      </c>
      <c r="G9" s="69" t="s">
        <v>153</v>
      </c>
      <c r="H9" s="70"/>
    </row>
    <row r="10" spans="1:11" ht="30" customHeight="1">
      <c r="A10" s="196" t="s">
        <v>154</v>
      </c>
      <c r="B10" s="197"/>
      <c r="C10" s="197"/>
      <c r="D10" s="198"/>
      <c r="E10" s="20">
        <v>9910</v>
      </c>
      <c r="F10" s="12">
        <v>0.1515</v>
      </c>
      <c r="G10" s="253">
        <f>E10+(E10*F10)</f>
        <v>11411.365</v>
      </c>
      <c r="H10" s="254"/>
    </row>
    <row r="11" spans="1:11" ht="30" customHeight="1">
      <c r="A11" s="17"/>
      <c r="B11" s="18"/>
      <c r="C11" s="18"/>
      <c r="D11" s="19"/>
      <c r="E11" s="20"/>
      <c r="F11" s="12"/>
      <c r="G11" s="253"/>
      <c r="H11" s="254"/>
    </row>
    <row r="12" spans="1:11" ht="30" customHeight="1">
      <c r="A12" s="17"/>
      <c r="B12" s="18"/>
      <c r="C12" s="18"/>
      <c r="D12" s="19"/>
      <c r="E12" s="20"/>
      <c r="F12" s="12"/>
      <c r="G12" s="253"/>
      <c r="H12" s="254"/>
    </row>
    <row r="13" spans="1:11" ht="30" customHeight="1">
      <c r="A13" s="17"/>
      <c r="B13" s="18"/>
      <c r="C13" s="18"/>
      <c r="D13" s="19"/>
      <c r="E13" s="20"/>
      <c r="F13" s="12"/>
      <c r="G13" s="253"/>
      <c r="H13" s="254"/>
    </row>
    <row r="14" spans="1:11" ht="30" customHeight="1">
      <c r="A14" s="17"/>
      <c r="B14" s="18"/>
      <c r="C14" s="18"/>
      <c r="D14" s="19"/>
      <c r="E14" s="20"/>
      <c r="F14" s="12"/>
      <c r="G14" s="260"/>
      <c r="H14" s="261"/>
    </row>
    <row r="15" spans="1:11" ht="30" customHeight="1">
      <c r="A15" s="73" t="s">
        <v>155</v>
      </c>
      <c r="B15" s="74"/>
      <c r="C15" s="74"/>
      <c r="D15" s="74"/>
      <c r="E15" s="74"/>
      <c r="F15" s="74"/>
      <c r="G15" s="255">
        <f>G10</f>
        <v>11411.365</v>
      </c>
      <c r="H15" s="256"/>
    </row>
    <row r="16" spans="1:11" ht="17.45" customHeight="1">
      <c r="A16" s="124" t="s">
        <v>156</v>
      </c>
      <c r="B16" s="125"/>
      <c r="C16" s="126"/>
      <c r="D16" s="134" t="s">
        <v>157</v>
      </c>
      <c r="E16" s="134"/>
      <c r="F16" s="135"/>
      <c r="G16" s="249">
        <f>G15</f>
        <v>11411.365</v>
      </c>
      <c r="H16" s="250"/>
    </row>
    <row r="17" spans="1:8" ht="15.6" customHeight="1">
      <c r="A17" s="127"/>
      <c r="B17" s="128"/>
      <c r="C17" s="129"/>
      <c r="D17" s="134" t="s">
        <v>158</v>
      </c>
      <c r="E17" s="134"/>
      <c r="F17" s="135"/>
      <c r="G17" s="249">
        <f>G16</f>
        <v>11411.365</v>
      </c>
      <c r="H17" s="250"/>
    </row>
    <row r="18" spans="1:8" ht="15" customHeight="1">
      <c r="A18" s="130"/>
      <c r="B18" s="131"/>
      <c r="C18" s="132"/>
      <c r="D18" s="156" t="s">
        <v>159</v>
      </c>
      <c r="E18" s="156"/>
      <c r="F18" s="157"/>
      <c r="G18" s="251">
        <v>0</v>
      </c>
      <c r="H18" s="252"/>
    </row>
    <row r="19" spans="1:8" ht="35.450000000000003" customHeight="1">
      <c r="A19" s="97" t="s">
        <v>160</v>
      </c>
      <c r="B19" s="98"/>
      <c r="C19" s="99"/>
      <c r="D19" s="142" t="s">
        <v>161</v>
      </c>
      <c r="E19" s="142"/>
      <c r="F19" s="143"/>
      <c r="G19" s="262">
        <f>G17</f>
        <v>11411.365</v>
      </c>
      <c r="H19" s="263"/>
    </row>
    <row r="20" spans="1:8" ht="11.25" customHeight="1">
      <c r="A20" s="100"/>
      <c r="B20" s="101"/>
      <c r="C20" s="102"/>
      <c r="D20" s="144"/>
      <c r="E20" s="144"/>
      <c r="F20" s="145"/>
      <c r="G20" s="264"/>
      <c r="H20" s="265"/>
    </row>
    <row r="21" spans="1:8" ht="33" customHeight="1">
      <c r="A21" s="103"/>
      <c r="B21" s="104"/>
      <c r="C21" s="105"/>
      <c r="D21" s="146"/>
      <c r="E21" s="146"/>
      <c r="F21" s="147"/>
      <c r="G21" s="266"/>
      <c r="H21" s="267"/>
    </row>
    <row r="22" spans="1:8" ht="15.75" customHeight="1">
      <c r="A22" s="118" t="s">
        <v>162</v>
      </c>
      <c r="B22" s="78"/>
      <c r="C22" s="119"/>
      <c r="D22" s="77" t="s">
        <v>163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22.5" customHeight="1">
      <c r="A27" s="257" t="s">
        <v>164</v>
      </c>
      <c r="B27" s="258"/>
      <c r="C27" s="258"/>
      <c r="D27" s="258"/>
      <c r="E27" s="258"/>
      <c r="F27" s="258"/>
      <c r="G27" s="258"/>
      <c r="H27" s="259"/>
    </row>
    <row r="28" spans="1:8" ht="42.75" customHeight="1" thickBot="1">
      <c r="A28" s="88" t="s">
        <v>165</v>
      </c>
      <c r="B28" s="89"/>
      <c r="C28" s="89"/>
      <c r="D28" s="89"/>
      <c r="E28" s="89"/>
      <c r="F28" s="89"/>
      <c r="G28" s="89"/>
      <c r="H28" s="90"/>
    </row>
  </sheetData>
  <mergeCells count="36">
    <mergeCell ref="D22:H26"/>
    <mergeCell ref="A28:H28"/>
    <mergeCell ref="A27:H27"/>
    <mergeCell ref="A9:D9"/>
    <mergeCell ref="A10:D10"/>
    <mergeCell ref="G11:H11"/>
    <mergeCell ref="G12:H12"/>
    <mergeCell ref="G13:H13"/>
    <mergeCell ref="G14:H14"/>
    <mergeCell ref="A19:C21"/>
    <mergeCell ref="D19:F21"/>
    <mergeCell ref="G19:H21"/>
    <mergeCell ref="A22:C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47">
    <outlinePr summaryBelow="0" summaryRight="0"/>
  </sheetPr>
  <dimension ref="A1:T28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" style="3" customWidth="1"/>
    <col min="7" max="7" width="8.28515625" style="3" customWidth="1"/>
    <col min="8" max="8" width="7.7109375" style="3" customWidth="1"/>
    <col min="9" max="16384" width="14.42578125" style="3"/>
  </cols>
  <sheetData>
    <row r="1" spans="1:12" ht="15.6" customHeight="1">
      <c r="A1" s="1"/>
      <c r="B1" s="2"/>
      <c r="C1" s="48" t="s">
        <v>166</v>
      </c>
      <c r="D1" s="48"/>
      <c r="E1" s="48"/>
      <c r="F1" s="48"/>
      <c r="G1" s="48"/>
      <c r="H1" s="49"/>
    </row>
    <row r="2" spans="1:12" ht="13.15" customHeight="1">
      <c r="A2" s="4"/>
      <c r="B2" s="5"/>
      <c r="C2" s="136" t="s">
        <v>167</v>
      </c>
      <c r="D2" s="136"/>
      <c r="E2" s="136"/>
      <c r="F2" s="136"/>
      <c r="G2" s="136"/>
      <c r="H2" s="137"/>
    </row>
    <row r="3" spans="1:12" ht="61.5" customHeight="1">
      <c r="A3" s="52" t="s">
        <v>143</v>
      </c>
      <c r="B3" s="53"/>
      <c r="C3" s="53"/>
      <c r="D3" s="53"/>
      <c r="E3" s="53"/>
      <c r="F3" s="53"/>
      <c r="G3" s="53"/>
      <c r="H3" s="54"/>
      <c r="K3"/>
      <c r="L3"/>
    </row>
    <row r="4" spans="1:12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2" ht="13.9">
      <c r="A5" s="55" t="s">
        <v>144</v>
      </c>
      <c r="B5" s="56"/>
      <c r="C5" s="56"/>
      <c r="D5" s="56"/>
      <c r="E5" s="231" t="s">
        <v>168</v>
      </c>
      <c r="F5" s="57"/>
      <c r="G5" s="57"/>
      <c r="H5" s="58"/>
    </row>
    <row r="6" spans="1:12" ht="18" customHeight="1">
      <c r="A6" s="59" t="s">
        <v>169</v>
      </c>
      <c r="B6" s="433"/>
      <c r="C6" s="433"/>
      <c r="D6" s="433"/>
      <c r="E6" s="231" t="s">
        <v>147</v>
      </c>
      <c r="F6" s="57"/>
      <c r="G6" s="57"/>
      <c r="H6" s="58"/>
    </row>
    <row r="7" spans="1:12" ht="26.25" customHeight="1">
      <c r="A7" s="225" t="s">
        <v>170</v>
      </c>
      <c r="B7" s="433"/>
      <c r="C7" s="433"/>
      <c r="D7" s="433"/>
      <c r="E7" s="57" t="s">
        <v>149</v>
      </c>
      <c r="F7" s="57"/>
      <c r="G7" s="57"/>
      <c r="H7" s="58"/>
    </row>
    <row r="8" spans="1:12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2" ht="13.15">
      <c r="A9" s="91" t="s">
        <v>150</v>
      </c>
      <c r="B9" s="92"/>
      <c r="C9" s="92"/>
      <c r="D9" s="93"/>
      <c r="E9" s="16" t="s">
        <v>151</v>
      </c>
      <c r="F9" s="16" t="s">
        <v>152</v>
      </c>
      <c r="G9" s="69" t="s">
        <v>153</v>
      </c>
      <c r="H9" s="70"/>
    </row>
    <row r="10" spans="1:12" ht="30" customHeight="1">
      <c r="A10" s="196" t="s">
        <v>154</v>
      </c>
      <c r="B10" s="197"/>
      <c r="C10" s="197"/>
      <c r="D10" s="198"/>
      <c r="E10" s="37">
        <v>10406</v>
      </c>
      <c r="F10" s="12">
        <v>0.1515</v>
      </c>
      <c r="G10" s="272">
        <f>E10+(E10*F10)</f>
        <v>11982.509</v>
      </c>
      <c r="H10" s="273"/>
    </row>
    <row r="11" spans="1:12" ht="30" customHeight="1">
      <c r="A11" s="17"/>
      <c r="B11" s="18"/>
      <c r="C11" s="18"/>
      <c r="D11" s="19"/>
      <c r="E11" s="37"/>
      <c r="F11" s="12"/>
      <c r="G11" s="272"/>
      <c r="H11" s="273"/>
    </row>
    <row r="12" spans="1:12" ht="30" customHeight="1">
      <c r="A12" s="17"/>
      <c r="B12" s="18"/>
      <c r="C12" s="18"/>
      <c r="D12" s="19"/>
      <c r="E12" s="37"/>
      <c r="F12" s="12"/>
      <c r="G12" s="272"/>
      <c r="H12" s="273"/>
    </row>
    <row r="13" spans="1:12" ht="30" customHeight="1">
      <c r="A13" s="17"/>
      <c r="B13" s="18"/>
      <c r="C13" s="18"/>
      <c r="D13" s="19"/>
      <c r="E13" s="37"/>
      <c r="F13" s="12"/>
      <c r="G13" s="272"/>
      <c r="H13" s="273"/>
    </row>
    <row r="14" spans="1:12" ht="30" customHeight="1">
      <c r="A14" s="17"/>
      <c r="B14" s="18"/>
      <c r="C14" s="18"/>
      <c r="D14" s="19"/>
      <c r="E14" s="38"/>
      <c r="F14" s="12"/>
      <c r="G14" s="276"/>
      <c r="H14" s="277"/>
    </row>
    <row r="15" spans="1:12" ht="30" customHeight="1">
      <c r="A15" s="73" t="s">
        <v>155</v>
      </c>
      <c r="B15" s="74"/>
      <c r="C15" s="74"/>
      <c r="D15" s="74"/>
      <c r="E15" s="74"/>
      <c r="F15" s="74"/>
      <c r="G15" s="274">
        <f>SUM(G10:H10)</f>
        <v>11982.509</v>
      </c>
      <c r="H15" s="275"/>
    </row>
    <row r="16" spans="1:12" ht="17.45" customHeight="1">
      <c r="A16" s="124" t="s">
        <v>171</v>
      </c>
      <c r="B16" s="125"/>
      <c r="C16" s="126"/>
      <c r="D16" s="134" t="s">
        <v>157</v>
      </c>
      <c r="E16" s="134"/>
      <c r="F16" s="135"/>
      <c r="G16" s="268">
        <f>G15</f>
        <v>11982.509</v>
      </c>
      <c r="H16" s="269"/>
    </row>
    <row r="17" spans="1:20" ht="15.6" customHeight="1">
      <c r="A17" s="127"/>
      <c r="B17" s="128"/>
      <c r="C17" s="129"/>
      <c r="D17" s="134" t="s">
        <v>158</v>
      </c>
      <c r="E17" s="134"/>
      <c r="F17" s="135"/>
      <c r="G17" s="268">
        <f>G16</f>
        <v>11982.509</v>
      </c>
      <c r="H17" s="269"/>
    </row>
    <row r="18" spans="1:20" ht="15" customHeight="1">
      <c r="A18" s="130"/>
      <c r="B18" s="131"/>
      <c r="C18" s="132"/>
      <c r="D18" s="156" t="s">
        <v>159</v>
      </c>
      <c r="E18" s="156"/>
      <c r="F18" s="157"/>
      <c r="G18" s="270">
        <v>0</v>
      </c>
      <c r="H18" s="271"/>
    </row>
    <row r="19" spans="1:20" ht="35.450000000000003" customHeight="1">
      <c r="A19" s="97" t="s">
        <v>160</v>
      </c>
      <c r="B19" s="98"/>
      <c r="C19" s="99"/>
      <c r="D19" s="142" t="s">
        <v>161</v>
      </c>
      <c r="E19" s="142"/>
      <c r="F19" s="143"/>
      <c r="G19" s="278">
        <f>G17</f>
        <v>11982.509</v>
      </c>
      <c r="H19" s="279"/>
    </row>
    <row r="20" spans="1:20" ht="11.25" customHeight="1">
      <c r="A20" s="100"/>
      <c r="B20" s="101"/>
      <c r="C20" s="102"/>
      <c r="D20" s="144"/>
      <c r="E20" s="144"/>
      <c r="F20" s="145"/>
      <c r="G20" s="280"/>
      <c r="H20" s="281"/>
    </row>
    <row r="21" spans="1:20" ht="33" customHeight="1">
      <c r="A21" s="103"/>
      <c r="B21" s="104"/>
      <c r="C21" s="105"/>
      <c r="D21" s="146"/>
      <c r="E21" s="146"/>
      <c r="F21" s="147"/>
      <c r="G21" s="282"/>
      <c r="H21" s="283"/>
    </row>
    <row r="22" spans="1:20" ht="15.75" customHeight="1">
      <c r="A22" s="118" t="s">
        <v>162</v>
      </c>
      <c r="B22" s="78"/>
      <c r="C22" s="119"/>
      <c r="D22" s="77" t="s">
        <v>163</v>
      </c>
      <c r="E22" s="78"/>
      <c r="F22" s="78"/>
      <c r="G22" s="78"/>
      <c r="H22" s="79"/>
    </row>
    <row r="23" spans="1:20" ht="15.75" customHeight="1">
      <c r="A23" s="120"/>
      <c r="B23" s="81"/>
      <c r="C23" s="121"/>
      <c r="D23" s="80"/>
      <c r="E23" s="81"/>
      <c r="F23" s="81"/>
      <c r="G23" s="81"/>
      <c r="H23" s="82"/>
    </row>
    <row r="24" spans="1:20" ht="15.75" customHeight="1">
      <c r="A24" s="120"/>
      <c r="B24" s="81"/>
      <c r="C24" s="121"/>
      <c r="D24" s="80"/>
      <c r="E24" s="81"/>
      <c r="F24" s="81"/>
      <c r="G24" s="81"/>
      <c r="H24" s="82"/>
    </row>
    <row r="25" spans="1:20" ht="15.75" customHeight="1">
      <c r="A25" s="120"/>
      <c r="B25" s="81"/>
      <c r="C25" s="121"/>
      <c r="D25" s="80"/>
      <c r="E25" s="81"/>
      <c r="F25" s="81"/>
      <c r="G25" s="81"/>
      <c r="H25" s="82"/>
    </row>
    <row r="26" spans="1:20" ht="15.75" customHeight="1">
      <c r="A26" s="122"/>
      <c r="B26" s="84"/>
      <c r="C26" s="123"/>
      <c r="D26" s="83"/>
      <c r="E26" s="84"/>
      <c r="F26" s="84"/>
      <c r="G26" s="84"/>
      <c r="H26" s="85"/>
      <c r="M26" s="128"/>
      <c r="N26" s="128"/>
      <c r="O26" s="128"/>
      <c r="P26" s="128"/>
      <c r="Q26" s="128"/>
      <c r="R26" s="128"/>
      <c r="S26" s="128"/>
      <c r="T26" s="128"/>
    </row>
    <row r="27" spans="1:20" ht="26.25" customHeight="1">
      <c r="A27" s="257" t="s">
        <v>164</v>
      </c>
      <c r="B27" s="258"/>
      <c r="C27" s="258"/>
      <c r="D27" s="258"/>
      <c r="E27" s="258"/>
      <c r="F27" s="258"/>
      <c r="G27" s="258"/>
      <c r="H27" s="259"/>
      <c r="M27" s="128"/>
      <c r="N27" s="128"/>
      <c r="O27" s="128"/>
      <c r="P27" s="128"/>
      <c r="Q27" s="128"/>
      <c r="R27" s="128"/>
      <c r="S27" s="128"/>
      <c r="T27" s="128"/>
    </row>
    <row r="28" spans="1:20" ht="40.5" customHeight="1" thickBot="1">
      <c r="A28" s="88" t="s">
        <v>165</v>
      </c>
      <c r="B28" s="89"/>
      <c r="C28" s="89"/>
      <c r="D28" s="89"/>
      <c r="E28" s="89"/>
      <c r="F28" s="89"/>
      <c r="G28" s="89"/>
      <c r="H28" s="90"/>
    </row>
  </sheetData>
  <mergeCells count="37">
    <mergeCell ref="D22:H26"/>
    <mergeCell ref="A27:H27"/>
    <mergeCell ref="A28:H28"/>
    <mergeCell ref="M26:T27"/>
    <mergeCell ref="A9:D9"/>
    <mergeCell ref="A10:D10"/>
    <mergeCell ref="G11:H11"/>
    <mergeCell ref="G12:H12"/>
    <mergeCell ref="G13:H13"/>
    <mergeCell ref="A19:C21"/>
    <mergeCell ref="D19:F21"/>
    <mergeCell ref="G19:H21"/>
    <mergeCell ref="A22:C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G14:H14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8">
    <outlinePr summaryBelow="0" summaryRight="0"/>
  </sheetPr>
  <dimension ref="A1:L28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.7109375" style="3" customWidth="1"/>
    <col min="7" max="7" width="8.28515625" style="3" customWidth="1"/>
    <col min="8" max="8" width="7.28515625" style="3" customWidth="1"/>
    <col min="9" max="16384" width="14.42578125" style="3"/>
  </cols>
  <sheetData>
    <row r="1" spans="1:12" ht="15.6" customHeight="1">
      <c r="A1" s="21"/>
      <c r="B1" s="22"/>
      <c r="C1" s="284" t="s">
        <v>172</v>
      </c>
      <c r="D1" s="284"/>
      <c r="E1" s="284"/>
      <c r="F1" s="284"/>
      <c r="G1" s="284"/>
      <c r="H1" s="285"/>
    </row>
    <row r="2" spans="1:12" ht="13.15" customHeight="1">
      <c r="A2" s="23"/>
      <c r="B2" s="24"/>
      <c r="C2" s="286" t="s">
        <v>173</v>
      </c>
      <c r="D2" s="286"/>
      <c r="E2" s="286"/>
      <c r="F2" s="286"/>
      <c r="G2" s="286"/>
      <c r="H2" s="287"/>
      <c r="J2" s="3" t="s">
        <v>174</v>
      </c>
    </row>
    <row r="3" spans="1:12" ht="96.75" customHeight="1">
      <c r="A3" s="288" t="s">
        <v>175</v>
      </c>
      <c r="B3" s="289"/>
      <c r="C3" s="289"/>
      <c r="D3" s="289"/>
      <c r="E3" s="289"/>
      <c r="F3" s="289"/>
      <c r="G3" s="289"/>
      <c r="H3" s="290"/>
      <c r="K3"/>
      <c r="L3"/>
    </row>
    <row r="4" spans="1:12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2" ht="13.9">
      <c r="A5" s="55" t="s">
        <v>176</v>
      </c>
      <c r="B5" s="56"/>
      <c r="C5" s="56"/>
      <c r="D5" s="56"/>
      <c r="E5" s="57" t="s">
        <v>177</v>
      </c>
      <c r="F5" s="57"/>
      <c r="G5" s="57"/>
      <c r="H5" s="58"/>
    </row>
    <row r="6" spans="1:12" ht="18" customHeight="1">
      <c r="A6" s="59" t="s">
        <v>178</v>
      </c>
      <c r="B6" s="433"/>
      <c r="C6" s="433"/>
      <c r="D6" s="433"/>
      <c r="E6" s="57" t="s">
        <v>179</v>
      </c>
      <c r="F6" s="57"/>
      <c r="G6" s="57"/>
      <c r="H6" s="58"/>
    </row>
    <row r="7" spans="1:12" ht="26.25" customHeight="1">
      <c r="A7" s="225" t="s">
        <v>180</v>
      </c>
      <c r="B7" s="433"/>
      <c r="C7" s="433"/>
      <c r="D7" s="433"/>
      <c r="E7" s="57" t="s">
        <v>181</v>
      </c>
      <c r="F7" s="57"/>
      <c r="G7" s="57"/>
      <c r="H7" s="58"/>
    </row>
    <row r="8" spans="1:12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2" ht="13.15">
      <c r="A9" s="314" t="s">
        <v>182</v>
      </c>
      <c r="B9" s="315"/>
      <c r="C9" s="315"/>
      <c r="D9" s="316"/>
      <c r="E9" s="39" t="s">
        <v>183</v>
      </c>
      <c r="F9" s="39" t="s">
        <v>152</v>
      </c>
      <c r="G9" s="295" t="s">
        <v>184</v>
      </c>
      <c r="H9" s="296"/>
    </row>
    <row r="10" spans="1:12" ht="30" customHeight="1">
      <c r="A10" s="94" t="s">
        <v>185</v>
      </c>
      <c r="B10" s="95"/>
      <c r="C10" s="95"/>
      <c r="D10" s="96"/>
      <c r="E10" s="40">
        <v>12321</v>
      </c>
      <c r="F10" s="12">
        <v>0.1515</v>
      </c>
      <c r="G10" s="297">
        <f>E10+(E10*F10)</f>
        <v>14187.6315</v>
      </c>
      <c r="H10" s="298"/>
    </row>
    <row r="11" spans="1:12" ht="30" customHeight="1">
      <c r="A11" s="8"/>
      <c r="B11" s="9"/>
      <c r="C11" s="9"/>
      <c r="D11" s="10"/>
      <c r="E11" s="40"/>
      <c r="F11" s="12"/>
      <c r="G11" s="297"/>
      <c r="H11" s="298"/>
    </row>
    <row r="12" spans="1:12" ht="30" customHeight="1">
      <c r="A12" s="8"/>
      <c r="B12" s="9"/>
      <c r="C12" s="9"/>
      <c r="D12" s="10"/>
      <c r="E12" s="40"/>
      <c r="F12" s="12"/>
      <c r="G12" s="41"/>
      <c r="H12" s="42"/>
    </row>
    <row r="13" spans="1:12" ht="30" customHeight="1">
      <c r="A13" s="8"/>
      <c r="B13" s="9"/>
      <c r="C13" s="9"/>
      <c r="D13" s="10"/>
      <c r="E13" s="40"/>
      <c r="F13" s="12"/>
      <c r="G13" s="297"/>
      <c r="H13" s="298"/>
    </row>
    <row r="14" spans="1:12" ht="30" customHeight="1">
      <c r="A14" s="8"/>
      <c r="B14" s="9"/>
      <c r="C14" s="9"/>
      <c r="D14" s="10"/>
      <c r="E14" s="25"/>
      <c r="F14" s="12"/>
      <c r="G14" s="317"/>
      <c r="H14" s="318"/>
    </row>
    <row r="15" spans="1:12" ht="30" customHeight="1">
      <c r="A15" s="299" t="s">
        <v>186</v>
      </c>
      <c r="B15" s="300"/>
      <c r="C15" s="300"/>
      <c r="D15" s="300"/>
      <c r="E15" s="300"/>
      <c r="F15" s="300"/>
      <c r="G15" s="301">
        <f>SUM(G10:H10)</f>
        <v>14187.6315</v>
      </c>
      <c r="H15" s="302"/>
    </row>
    <row r="16" spans="1:12" ht="17.45" customHeight="1">
      <c r="A16" s="124" t="s">
        <v>187</v>
      </c>
      <c r="B16" s="125"/>
      <c r="C16" s="126"/>
      <c r="D16" s="134" t="s">
        <v>188</v>
      </c>
      <c r="E16" s="134"/>
      <c r="F16" s="135"/>
      <c r="G16" s="335">
        <f>G15</f>
        <v>14187.6315</v>
      </c>
      <c r="H16" s="336"/>
    </row>
    <row r="17" spans="1:8" ht="15.6" customHeight="1">
      <c r="A17" s="127"/>
      <c r="B17" s="128"/>
      <c r="C17" s="129"/>
      <c r="D17" s="134" t="s">
        <v>189</v>
      </c>
      <c r="E17" s="134"/>
      <c r="F17" s="135"/>
      <c r="G17" s="291" t="s">
        <v>190</v>
      </c>
      <c r="H17" s="292"/>
    </row>
    <row r="18" spans="1:8" ht="15" customHeight="1">
      <c r="A18" s="130"/>
      <c r="B18" s="131"/>
      <c r="C18" s="132"/>
      <c r="D18" s="156" t="s">
        <v>191</v>
      </c>
      <c r="E18" s="156"/>
      <c r="F18" s="157"/>
      <c r="G18" s="293">
        <f>G16</f>
        <v>14187.6315</v>
      </c>
      <c r="H18" s="294"/>
    </row>
    <row r="19" spans="1:8" ht="35.450000000000003" customHeight="1">
      <c r="A19" s="319" t="s">
        <v>192</v>
      </c>
      <c r="B19" s="320"/>
      <c r="C19" s="320"/>
      <c r="D19" s="323" t="s">
        <v>193</v>
      </c>
      <c r="E19" s="323"/>
      <c r="F19" s="324"/>
      <c r="G19" s="329">
        <f>G18</f>
        <v>14187.6315</v>
      </c>
      <c r="H19" s="330"/>
    </row>
    <row r="20" spans="1:8" ht="11.25" customHeight="1">
      <c r="A20" s="319"/>
      <c r="B20" s="320"/>
      <c r="C20" s="320"/>
      <c r="D20" s="325"/>
      <c r="E20" s="325"/>
      <c r="F20" s="326"/>
      <c r="G20" s="331"/>
      <c r="H20" s="332"/>
    </row>
    <row r="21" spans="1:8" ht="33" customHeight="1">
      <c r="A21" s="321"/>
      <c r="B21" s="322"/>
      <c r="C21" s="322"/>
      <c r="D21" s="327"/>
      <c r="E21" s="327"/>
      <c r="F21" s="328"/>
      <c r="G21" s="333"/>
      <c r="H21" s="334"/>
    </row>
    <row r="22" spans="1:8" ht="15.75" customHeight="1">
      <c r="A22" s="436"/>
      <c r="B22" s="437"/>
      <c r="C22" s="437"/>
      <c r="D22" s="437"/>
      <c r="E22" s="437"/>
      <c r="F22" s="437"/>
      <c r="G22" s="437"/>
      <c r="H22" s="438"/>
    </row>
    <row r="23" spans="1:8" ht="22.5" customHeight="1">
      <c r="A23" s="311" t="s">
        <v>194</v>
      </c>
      <c r="B23" s="312"/>
      <c r="C23" s="312"/>
      <c r="D23" s="312"/>
      <c r="E23" s="312"/>
      <c r="F23" s="312"/>
      <c r="G23" s="312"/>
      <c r="H23" s="313"/>
    </row>
    <row r="24" spans="1:8" ht="25.5" customHeight="1">
      <c r="A24" s="306" t="s">
        <v>195</v>
      </c>
      <c r="B24" s="57"/>
      <c r="C24" s="57"/>
      <c r="D24" s="57"/>
      <c r="E24" s="57"/>
      <c r="F24" s="57"/>
      <c r="G24" s="57"/>
      <c r="H24" s="58"/>
    </row>
    <row r="25" spans="1:8" ht="28.5" customHeight="1">
      <c r="A25" s="307"/>
      <c r="B25" s="57"/>
      <c r="C25" s="57"/>
      <c r="D25" s="57"/>
      <c r="E25" s="57"/>
      <c r="F25" s="57"/>
      <c r="G25" s="57"/>
      <c r="H25" s="58"/>
    </row>
    <row r="26" spans="1:8" ht="23.25" customHeight="1">
      <c r="A26" s="307"/>
      <c r="B26" s="57"/>
      <c r="C26" s="57"/>
      <c r="D26" s="57"/>
      <c r="E26" s="57"/>
      <c r="F26" s="57"/>
      <c r="G26" s="57"/>
      <c r="H26" s="58"/>
    </row>
    <row r="27" spans="1:8" ht="2.25" customHeight="1">
      <c r="A27" s="308"/>
      <c r="B27" s="309"/>
      <c r="C27" s="309"/>
      <c r="D27" s="309"/>
      <c r="E27" s="309"/>
      <c r="F27" s="309"/>
      <c r="G27" s="309"/>
      <c r="H27" s="310"/>
    </row>
    <row r="28" spans="1:8" ht="44.25" customHeight="1" thickBot="1">
      <c r="A28" s="303" t="s">
        <v>196</v>
      </c>
      <c r="B28" s="304"/>
      <c r="C28" s="304"/>
      <c r="D28" s="304"/>
      <c r="E28" s="304"/>
      <c r="F28" s="304"/>
      <c r="G28" s="304"/>
      <c r="H28" s="305"/>
    </row>
  </sheetData>
  <mergeCells count="35">
    <mergeCell ref="A28:H28"/>
    <mergeCell ref="A24:H27"/>
    <mergeCell ref="A23:H23"/>
    <mergeCell ref="A9:D9"/>
    <mergeCell ref="A10:D10"/>
    <mergeCell ref="G11:H11"/>
    <mergeCell ref="G13:H13"/>
    <mergeCell ref="G14:H14"/>
    <mergeCell ref="A19:C21"/>
    <mergeCell ref="D19:F21"/>
    <mergeCell ref="G19:H21"/>
    <mergeCell ref="A22:H22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9">
    <outlinePr summaryBelow="0" summaryRight="0"/>
  </sheetPr>
  <dimension ref="A1:K27"/>
  <sheetViews>
    <sheetView showGridLines="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3.42578125" style="3" customWidth="1"/>
    <col min="4" max="4" width="8.28515625" style="3" customWidth="1"/>
    <col min="5" max="5" width="14.140625" style="3" bestFit="1" customWidth="1"/>
    <col min="6" max="6" width="8" style="3" customWidth="1"/>
    <col min="7" max="7" width="8.28515625" style="3" customWidth="1"/>
    <col min="8" max="8" width="8.140625" style="3" customWidth="1"/>
    <col min="9" max="16384" width="14.42578125" style="3"/>
  </cols>
  <sheetData>
    <row r="1" spans="1:11" ht="15" customHeight="1">
      <c r="A1" s="26"/>
      <c r="B1" s="27"/>
      <c r="C1" s="284" t="s">
        <v>197</v>
      </c>
      <c r="D1" s="284"/>
      <c r="E1" s="284"/>
      <c r="F1" s="284"/>
      <c r="G1" s="284"/>
      <c r="H1" s="285"/>
    </row>
    <row r="2" spans="1:11" ht="28.5" customHeight="1">
      <c r="A2" s="28"/>
      <c r="B2" s="29"/>
      <c r="C2" s="337" t="s">
        <v>198</v>
      </c>
      <c r="D2" s="286"/>
      <c r="E2" s="286"/>
      <c r="F2" s="286"/>
      <c r="G2" s="286"/>
      <c r="H2" s="287"/>
    </row>
    <row r="3" spans="1:11" ht="93.75" customHeight="1">
      <c r="A3" s="288" t="s">
        <v>199</v>
      </c>
      <c r="B3" s="289"/>
      <c r="C3" s="289"/>
      <c r="D3" s="289"/>
      <c r="E3" s="289"/>
      <c r="F3" s="289"/>
      <c r="G3" s="289"/>
      <c r="H3" s="290"/>
      <c r="K3"/>
    </row>
    <row r="4" spans="1:11" ht="15.75" customHeight="1">
      <c r="A4" s="430"/>
      <c r="B4" s="431"/>
      <c r="C4" s="431"/>
      <c r="D4" s="431"/>
      <c r="E4" s="431"/>
      <c r="F4" s="431"/>
      <c r="G4" s="431"/>
      <c r="H4" s="432"/>
      <c r="K4"/>
    </row>
    <row r="5" spans="1:11" ht="13.15">
      <c r="A5" s="338" t="s">
        <v>200</v>
      </c>
      <c r="B5" s="339"/>
      <c r="C5" s="339"/>
      <c r="D5" s="339"/>
      <c r="E5" s="340" t="s">
        <v>201</v>
      </c>
      <c r="F5" s="340"/>
      <c r="G5" s="340"/>
      <c r="H5" s="341"/>
    </row>
    <row r="6" spans="1:11" ht="18" customHeight="1">
      <c r="A6" s="342" t="s">
        <v>202</v>
      </c>
      <c r="B6" s="431"/>
      <c r="C6" s="431"/>
      <c r="D6" s="431"/>
      <c r="E6" s="340" t="s">
        <v>203</v>
      </c>
      <c r="F6" s="340"/>
      <c r="G6" s="340"/>
      <c r="H6" s="341"/>
    </row>
    <row r="7" spans="1:11" ht="26.25" customHeight="1">
      <c r="A7" s="343" t="s">
        <v>204</v>
      </c>
      <c r="B7" s="431"/>
      <c r="C7" s="431"/>
      <c r="D7" s="431"/>
      <c r="E7" s="344" t="s">
        <v>205</v>
      </c>
      <c r="F7" s="344"/>
      <c r="G7" s="344"/>
      <c r="H7" s="345"/>
    </row>
    <row r="8" spans="1:11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1" ht="13.15">
      <c r="A9" s="361" t="s">
        <v>206</v>
      </c>
      <c r="B9" s="362"/>
      <c r="C9" s="362"/>
      <c r="D9" s="363"/>
      <c r="E9" s="43" t="s">
        <v>207</v>
      </c>
      <c r="F9" s="43" t="s">
        <v>208</v>
      </c>
      <c r="G9" s="350" t="s">
        <v>209</v>
      </c>
      <c r="H9" s="351"/>
    </row>
    <row r="10" spans="1:11" ht="30" customHeight="1">
      <c r="A10" s="196" t="s">
        <v>210</v>
      </c>
      <c r="B10" s="197"/>
      <c r="C10" s="197"/>
      <c r="D10" s="198"/>
      <c r="E10" s="44">
        <v>12737</v>
      </c>
      <c r="F10" s="12">
        <v>0.1515</v>
      </c>
      <c r="G10" s="352">
        <f>E10+(E10*F10)</f>
        <v>14666.655500000001</v>
      </c>
      <c r="H10" s="353"/>
    </row>
    <row r="11" spans="1:11" ht="30" customHeight="1">
      <c r="A11" s="17"/>
      <c r="B11" s="18"/>
      <c r="C11" s="18"/>
      <c r="D11" s="19"/>
      <c r="E11" s="44"/>
      <c r="F11" s="12"/>
      <c r="G11" s="352"/>
      <c r="H11" s="353"/>
    </row>
    <row r="12" spans="1:11" ht="30" customHeight="1">
      <c r="A12" s="17"/>
      <c r="B12" s="18"/>
      <c r="C12" s="18"/>
      <c r="D12" s="19"/>
      <c r="E12" s="44"/>
      <c r="F12" s="12"/>
      <c r="G12" s="352"/>
      <c r="H12" s="353"/>
    </row>
    <row r="13" spans="1:11" ht="30" customHeight="1">
      <c r="A13" s="17"/>
      <c r="B13" s="18"/>
      <c r="C13" s="18"/>
      <c r="D13" s="19"/>
      <c r="E13" s="44"/>
      <c r="F13" s="12"/>
      <c r="G13" s="352"/>
      <c r="H13" s="353"/>
    </row>
    <row r="14" spans="1:11" ht="30" customHeight="1">
      <c r="A14" s="17"/>
      <c r="B14" s="18"/>
      <c r="C14" s="18"/>
      <c r="D14" s="19"/>
      <c r="E14" s="30"/>
      <c r="F14" s="12"/>
      <c r="G14" s="364"/>
      <c r="H14" s="365"/>
    </row>
    <row r="15" spans="1:11" ht="30" customHeight="1">
      <c r="A15" s="354" t="s">
        <v>14</v>
      </c>
      <c r="B15" s="355"/>
      <c r="C15" s="355"/>
      <c r="D15" s="355"/>
      <c r="E15" s="355"/>
      <c r="F15" s="355"/>
      <c r="G15" s="356">
        <f>SUM(G10:H10)</f>
        <v>14666.655500000001</v>
      </c>
      <c r="H15" s="357"/>
    </row>
    <row r="16" spans="1:11" ht="17.45" customHeight="1">
      <c r="A16" s="124" t="s">
        <v>211</v>
      </c>
      <c r="B16" s="125"/>
      <c r="C16" s="126"/>
      <c r="D16" s="134" t="s">
        <v>212</v>
      </c>
      <c r="E16" s="134"/>
      <c r="F16" s="135"/>
      <c r="G16" s="346">
        <f>G15</f>
        <v>14666.655500000001</v>
      </c>
      <c r="H16" s="347"/>
    </row>
    <row r="17" spans="1:8" ht="15.6" customHeight="1">
      <c r="A17" s="127"/>
      <c r="B17" s="128"/>
      <c r="C17" s="129"/>
      <c r="D17" s="134" t="s">
        <v>213</v>
      </c>
      <c r="E17" s="134"/>
      <c r="F17" s="135"/>
      <c r="G17" s="346">
        <f>G16</f>
        <v>14666.655500000001</v>
      </c>
      <c r="H17" s="347"/>
    </row>
    <row r="18" spans="1:8" ht="15" customHeight="1">
      <c r="A18" s="130"/>
      <c r="B18" s="131"/>
      <c r="C18" s="132"/>
      <c r="D18" s="156" t="s">
        <v>214</v>
      </c>
      <c r="E18" s="156"/>
      <c r="F18" s="157"/>
      <c r="G18" s="348">
        <v>0</v>
      </c>
      <c r="H18" s="349"/>
    </row>
    <row r="19" spans="1:8" ht="35.450000000000003" customHeight="1">
      <c r="A19" s="366" t="s">
        <v>215</v>
      </c>
      <c r="B19" s="367"/>
      <c r="C19" s="367"/>
      <c r="D19" s="370" t="s">
        <v>216</v>
      </c>
      <c r="E19" s="370"/>
      <c r="F19" s="371"/>
      <c r="G19" s="376">
        <f>G17</f>
        <v>14666.655500000001</v>
      </c>
      <c r="H19" s="377"/>
    </row>
    <row r="20" spans="1:8" ht="11.25" customHeight="1">
      <c r="A20" s="366"/>
      <c r="B20" s="367"/>
      <c r="C20" s="367"/>
      <c r="D20" s="372"/>
      <c r="E20" s="372"/>
      <c r="F20" s="373"/>
      <c r="G20" s="378"/>
      <c r="H20" s="379"/>
    </row>
    <row r="21" spans="1:8" ht="33" customHeight="1">
      <c r="A21" s="368"/>
      <c r="B21" s="369"/>
      <c r="C21" s="369"/>
      <c r="D21" s="374"/>
      <c r="E21" s="374"/>
      <c r="F21" s="375"/>
      <c r="G21" s="380"/>
      <c r="H21" s="381"/>
    </row>
    <row r="22" spans="1:8" ht="15.75" customHeight="1">
      <c r="A22" s="118" t="s">
        <v>217</v>
      </c>
      <c r="B22" s="78"/>
      <c r="C22" s="119"/>
      <c r="D22" s="77" t="s">
        <v>218</v>
      </c>
      <c r="E22" s="78"/>
      <c r="F22" s="78"/>
      <c r="G22" s="78"/>
      <c r="H22" s="79"/>
    </row>
    <row r="23" spans="1:8" ht="15.75" customHeight="1">
      <c r="A23" s="120"/>
      <c r="B23" s="81"/>
      <c r="C23" s="121"/>
      <c r="D23" s="80"/>
      <c r="E23" s="81"/>
      <c r="F23" s="81"/>
      <c r="G23" s="81"/>
      <c r="H23" s="82"/>
    </row>
    <row r="24" spans="1:8" ht="15.75" customHeight="1">
      <c r="A24" s="120"/>
      <c r="B24" s="81"/>
      <c r="C24" s="121"/>
      <c r="D24" s="80"/>
      <c r="E24" s="81"/>
      <c r="F24" s="81"/>
      <c r="G24" s="81"/>
      <c r="H24" s="82"/>
    </row>
    <row r="25" spans="1:8" ht="15.75" customHeight="1">
      <c r="A25" s="120"/>
      <c r="B25" s="81"/>
      <c r="C25" s="121"/>
      <c r="D25" s="80"/>
      <c r="E25" s="81"/>
      <c r="F25" s="81"/>
      <c r="G25" s="81"/>
      <c r="H25" s="82"/>
    </row>
    <row r="26" spans="1:8" ht="15.75" customHeight="1">
      <c r="A26" s="122"/>
      <c r="B26" s="84"/>
      <c r="C26" s="123"/>
      <c r="D26" s="83"/>
      <c r="E26" s="84"/>
      <c r="F26" s="84"/>
      <c r="G26" s="84"/>
      <c r="H26" s="85"/>
    </row>
    <row r="27" spans="1:8" ht="44.25" customHeight="1" thickBot="1">
      <c r="A27" s="358" t="s">
        <v>219</v>
      </c>
      <c r="B27" s="359"/>
      <c r="C27" s="359"/>
      <c r="D27" s="359"/>
      <c r="E27" s="359"/>
      <c r="F27" s="359"/>
      <c r="G27" s="359"/>
      <c r="H27" s="360"/>
    </row>
  </sheetData>
  <mergeCells count="35">
    <mergeCell ref="A27:H27"/>
    <mergeCell ref="A9:D9"/>
    <mergeCell ref="A10:D10"/>
    <mergeCell ref="G11:H11"/>
    <mergeCell ref="G12:H12"/>
    <mergeCell ref="G13:H13"/>
    <mergeCell ref="G14:H14"/>
    <mergeCell ref="A22:C26"/>
    <mergeCell ref="A19:C21"/>
    <mergeCell ref="D19:F21"/>
    <mergeCell ref="G19:H21"/>
    <mergeCell ref="D22:H26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15:F15"/>
    <mergeCell ref="G15:H15"/>
    <mergeCell ref="A6:D6"/>
    <mergeCell ref="E6:H6"/>
    <mergeCell ref="A7:D7"/>
    <mergeCell ref="E7:H7"/>
    <mergeCell ref="A8:D8"/>
    <mergeCell ref="E8:H8"/>
    <mergeCell ref="C1:H1"/>
    <mergeCell ref="C2:H2"/>
    <mergeCell ref="A3:H3"/>
    <mergeCell ref="A4:H4"/>
    <mergeCell ref="A5:D5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L27"/>
  <sheetViews>
    <sheetView showGridLines="0" tabSelected="1" zoomScaleNormal="100" workbookViewId="0">
      <selection activeCell="C1" sqref="C1:H1"/>
    </sheetView>
  </sheetViews>
  <sheetFormatPr defaultColWidth="14.42578125" defaultRowHeight="15.75" customHeight="1"/>
  <cols>
    <col min="1" max="2" width="14.42578125" style="3"/>
    <col min="3" max="3" width="15" style="3" customWidth="1"/>
    <col min="4" max="4" width="8.28515625" style="3" customWidth="1"/>
    <col min="5" max="5" width="11.140625" style="3" customWidth="1"/>
    <col min="6" max="6" width="8.7109375" style="3" customWidth="1"/>
    <col min="7" max="7" width="8.28515625" style="3" customWidth="1"/>
    <col min="8" max="8" width="9.7109375" style="3" customWidth="1"/>
    <col min="9" max="16384" width="14.42578125" style="3"/>
  </cols>
  <sheetData>
    <row r="1" spans="1:12" ht="15.6" customHeight="1">
      <c r="A1" s="439"/>
      <c r="B1" s="440"/>
      <c r="C1" s="386" t="s">
        <v>220</v>
      </c>
      <c r="D1" s="386"/>
      <c r="E1" s="386"/>
      <c r="F1" s="386"/>
      <c r="G1" s="386"/>
      <c r="H1" s="387"/>
    </row>
    <row r="2" spans="1:12" ht="12.75" customHeight="1">
      <c r="A2" s="441"/>
      <c r="B2" s="442"/>
      <c r="C2" s="388" t="s">
        <v>221</v>
      </c>
      <c r="D2" s="388"/>
      <c r="E2" s="388"/>
      <c r="F2" s="388"/>
      <c r="G2" s="388"/>
      <c r="H2" s="389"/>
    </row>
    <row r="3" spans="1:12" ht="92.25" customHeight="1">
      <c r="A3" s="52" t="s">
        <v>222</v>
      </c>
      <c r="B3" s="53"/>
      <c r="C3" s="53"/>
      <c r="D3" s="53"/>
      <c r="E3" s="53"/>
      <c r="F3" s="53"/>
      <c r="G3" s="53"/>
      <c r="H3" s="54"/>
      <c r="L3"/>
    </row>
    <row r="4" spans="1:12" ht="15.75" customHeight="1">
      <c r="A4" s="430"/>
      <c r="B4" s="431"/>
      <c r="C4" s="431"/>
      <c r="D4" s="431"/>
      <c r="E4" s="431"/>
      <c r="F4" s="431"/>
      <c r="G4" s="431"/>
      <c r="H4" s="432"/>
    </row>
    <row r="5" spans="1:12" ht="13.9">
      <c r="A5" s="382" t="s">
        <v>223</v>
      </c>
      <c r="B5" s="231"/>
      <c r="C5" s="231"/>
      <c r="D5" s="231"/>
      <c r="E5" s="383" t="s">
        <v>224</v>
      </c>
      <c r="F5" s="384"/>
      <c r="G5" s="384"/>
      <c r="H5" s="385"/>
    </row>
    <row r="6" spans="1:12" ht="18" customHeight="1">
      <c r="A6" s="307" t="s">
        <v>225</v>
      </c>
      <c r="B6" s="392"/>
      <c r="C6" s="392"/>
      <c r="D6" s="392"/>
      <c r="E6" s="383" t="s">
        <v>226</v>
      </c>
      <c r="F6" s="384"/>
      <c r="G6" s="384"/>
      <c r="H6" s="385"/>
    </row>
    <row r="7" spans="1:12" ht="22.5" customHeight="1">
      <c r="A7" s="307" t="s">
        <v>227</v>
      </c>
      <c r="B7" s="392"/>
      <c r="C7" s="392"/>
      <c r="D7" s="392"/>
      <c r="E7" s="383" t="s">
        <v>228</v>
      </c>
      <c r="F7" s="384"/>
      <c r="G7" s="384"/>
      <c r="H7" s="385"/>
    </row>
    <row r="8" spans="1:12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2" ht="13.15">
      <c r="A9" s="396" t="s">
        <v>229</v>
      </c>
      <c r="B9" s="69"/>
      <c r="C9" s="69"/>
      <c r="D9" s="69"/>
      <c r="E9" s="16" t="s">
        <v>230</v>
      </c>
      <c r="F9" s="16" t="s">
        <v>231</v>
      </c>
      <c r="G9" s="69" t="s">
        <v>232</v>
      </c>
      <c r="H9" s="70"/>
    </row>
    <row r="10" spans="1:12" ht="30" customHeight="1">
      <c r="A10" s="397" t="s">
        <v>233</v>
      </c>
      <c r="B10" s="398"/>
      <c r="C10" s="398"/>
      <c r="D10" s="398"/>
      <c r="E10" s="45">
        <v>9932</v>
      </c>
      <c r="F10" s="12">
        <v>0.1515</v>
      </c>
      <c r="G10" s="390">
        <f>E10+(E10*F10)</f>
        <v>11436.698</v>
      </c>
      <c r="H10" s="391"/>
    </row>
    <row r="11" spans="1:12" ht="30" customHeight="1">
      <c r="A11" s="397"/>
      <c r="B11" s="398"/>
      <c r="C11" s="398"/>
      <c r="D11" s="398"/>
      <c r="E11" s="45"/>
      <c r="F11" s="46"/>
      <c r="G11" s="390"/>
      <c r="H11" s="391"/>
    </row>
    <row r="12" spans="1:12" ht="30" customHeight="1">
      <c r="A12" s="397"/>
      <c r="B12" s="398"/>
      <c r="C12" s="398"/>
      <c r="D12" s="398"/>
      <c r="E12" s="45"/>
      <c r="F12" s="46"/>
      <c r="G12" s="390"/>
      <c r="H12" s="391"/>
    </row>
    <row r="13" spans="1:12" ht="30" customHeight="1">
      <c r="A13" s="397"/>
      <c r="B13" s="398"/>
      <c r="C13" s="398"/>
      <c r="D13" s="398"/>
      <c r="E13" s="45"/>
      <c r="F13" s="46"/>
      <c r="G13" s="390"/>
      <c r="H13" s="391"/>
    </row>
    <row r="14" spans="1:12" ht="30" customHeight="1">
      <c r="A14" s="397"/>
      <c r="B14" s="398"/>
      <c r="C14" s="398"/>
      <c r="D14" s="398"/>
      <c r="E14" s="45"/>
      <c r="F14" s="46"/>
      <c r="G14" s="390"/>
      <c r="H14" s="391"/>
    </row>
    <row r="15" spans="1:12" ht="30" customHeight="1">
      <c r="A15" s="405" t="s">
        <v>234</v>
      </c>
      <c r="B15" s="406"/>
      <c r="C15" s="406"/>
      <c r="D15" s="406"/>
      <c r="E15" s="406"/>
      <c r="F15" s="407"/>
      <c r="G15" s="408">
        <f>G10</f>
        <v>11436.698</v>
      </c>
      <c r="H15" s="409"/>
    </row>
    <row r="16" spans="1:12" ht="17.45" customHeight="1">
      <c r="A16" s="124" t="s">
        <v>235</v>
      </c>
      <c r="B16" s="125"/>
      <c r="C16" s="126"/>
      <c r="D16" s="410" t="s">
        <v>236</v>
      </c>
      <c r="E16" s="410"/>
      <c r="F16" s="411"/>
      <c r="G16" s="412">
        <f>G15</f>
        <v>11436.698</v>
      </c>
      <c r="H16" s="413"/>
    </row>
    <row r="17" spans="1:8" ht="15.6" customHeight="1">
      <c r="A17" s="127"/>
      <c r="B17" s="128"/>
      <c r="C17" s="129"/>
      <c r="D17" s="414" t="s">
        <v>237</v>
      </c>
      <c r="E17" s="414"/>
      <c r="F17" s="415"/>
      <c r="G17" s="412">
        <f>G16</f>
        <v>11436.698</v>
      </c>
      <c r="H17" s="413"/>
    </row>
    <row r="18" spans="1:8" ht="15" customHeight="1">
      <c r="A18" s="130"/>
      <c r="B18" s="131"/>
      <c r="C18" s="132"/>
      <c r="D18" s="414" t="s">
        <v>238</v>
      </c>
      <c r="E18" s="414"/>
      <c r="F18" s="415"/>
      <c r="G18" s="412">
        <f>G16-G17</f>
        <v>0</v>
      </c>
      <c r="H18" s="413"/>
    </row>
    <row r="19" spans="1:8" ht="35.450000000000003" customHeight="1">
      <c r="A19" s="97" t="s">
        <v>239</v>
      </c>
      <c r="B19" s="98"/>
      <c r="C19" s="99"/>
      <c r="D19" s="142" t="s">
        <v>240</v>
      </c>
      <c r="E19" s="142"/>
      <c r="F19" s="143"/>
      <c r="G19" s="399">
        <f>G16</f>
        <v>11436.698</v>
      </c>
      <c r="H19" s="400"/>
    </row>
    <row r="20" spans="1:8" ht="11.25" customHeight="1">
      <c r="A20" s="100"/>
      <c r="B20" s="101"/>
      <c r="C20" s="102"/>
      <c r="D20" s="144" t="s">
        <v>241</v>
      </c>
      <c r="E20" s="144"/>
      <c r="F20" s="145"/>
      <c r="G20" s="401"/>
      <c r="H20" s="402"/>
    </row>
    <row r="21" spans="1:8" ht="33" customHeight="1">
      <c r="A21" s="103"/>
      <c r="B21" s="104"/>
      <c r="C21" s="105"/>
      <c r="D21" s="146"/>
      <c r="E21" s="146"/>
      <c r="F21" s="147"/>
      <c r="G21" s="403"/>
      <c r="H21" s="404"/>
    </row>
    <row r="22" spans="1:8" ht="15.75" customHeight="1">
      <c r="A22" s="124" t="s">
        <v>242</v>
      </c>
      <c r="B22" s="125"/>
      <c r="C22" s="126"/>
      <c r="D22" s="77" t="s">
        <v>243</v>
      </c>
      <c r="E22" s="78"/>
      <c r="F22" s="78"/>
      <c r="G22" s="78"/>
      <c r="H22" s="79"/>
    </row>
    <row r="23" spans="1:8" ht="15.75" customHeight="1">
      <c r="A23" s="127"/>
      <c r="B23" s="128"/>
      <c r="C23" s="129"/>
      <c r="D23" s="80"/>
      <c r="E23" s="81"/>
      <c r="F23" s="81"/>
      <c r="G23" s="81"/>
      <c r="H23" s="82"/>
    </row>
    <row r="24" spans="1:8" ht="15.75" customHeight="1">
      <c r="A24" s="127"/>
      <c r="B24" s="128"/>
      <c r="C24" s="129"/>
      <c r="D24" s="80"/>
      <c r="E24" s="81"/>
      <c r="F24" s="81"/>
      <c r="G24" s="81"/>
      <c r="H24" s="82"/>
    </row>
    <row r="25" spans="1:8" ht="15.75" customHeight="1">
      <c r="A25" s="127"/>
      <c r="B25" s="128"/>
      <c r="C25" s="129"/>
      <c r="D25" s="80"/>
      <c r="E25" s="81"/>
      <c r="F25" s="81"/>
      <c r="G25" s="81"/>
      <c r="H25" s="82"/>
    </row>
    <row r="26" spans="1:8" ht="15.75" customHeight="1">
      <c r="A26" s="130"/>
      <c r="B26" s="131"/>
      <c r="C26" s="132"/>
      <c r="D26" s="83"/>
      <c r="E26" s="84"/>
      <c r="F26" s="84"/>
      <c r="G26" s="84"/>
      <c r="H26" s="85"/>
    </row>
    <row r="27" spans="1:8" ht="24.75" customHeight="1" thickBot="1">
      <c r="A27" s="393" t="s">
        <v>244</v>
      </c>
      <c r="B27" s="394"/>
      <c r="C27" s="394"/>
      <c r="D27" s="394"/>
      <c r="E27" s="394"/>
      <c r="F27" s="394"/>
      <c r="G27" s="394"/>
      <c r="H27" s="395"/>
    </row>
  </sheetData>
  <mergeCells count="40">
    <mergeCell ref="G14:H14"/>
    <mergeCell ref="D22:H26"/>
    <mergeCell ref="A22:C26"/>
    <mergeCell ref="A11:D11"/>
    <mergeCell ref="A12:D12"/>
    <mergeCell ref="A13:D13"/>
    <mergeCell ref="A14:D14"/>
    <mergeCell ref="G11:H11"/>
    <mergeCell ref="G12:H12"/>
    <mergeCell ref="G13:H13"/>
    <mergeCell ref="A27:H27"/>
    <mergeCell ref="A9:D9"/>
    <mergeCell ref="A10:D10"/>
    <mergeCell ref="D19:F21"/>
    <mergeCell ref="G19:H21"/>
    <mergeCell ref="A19:C21"/>
    <mergeCell ref="A15:F15"/>
    <mergeCell ref="G15:H15"/>
    <mergeCell ref="A16:C18"/>
    <mergeCell ref="D16:F16"/>
    <mergeCell ref="G16:H16"/>
    <mergeCell ref="D17:F17"/>
    <mergeCell ref="G17:H17"/>
    <mergeCell ref="D18:F18"/>
    <mergeCell ref="G18:H18"/>
    <mergeCell ref="G9:H9"/>
    <mergeCell ref="G10:H10"/>
    <mergeCell ref="A6:D6"/>
    <mergeCell ref="E6:H6"/>
    <mergeCell ref="A7:D7"/>
    <mergeCell ref="E7:H7"/>
    <mergeCell ref="A8:D8"/>
    <mergeCell ref="E8:H8"/>
    <mergeCell ref="A5:D5"/>
    <mergeCell ref="E5:H5"/>
    <mergeCell ref="A1:B2"/>
    <mergeCell ref="C1:H1"/>
    <mergeCell ref="C2:H2"/>
    <mergeCell ref="A3:H3"/>
    <mergeCell ref="A4:H4"/>
  </mergeCells>
  <pageMargins left="0.7" right="0.7" top="0.75" bottom="0.75" header="0.3" footer="0.3"/>
  <pageSetup paperSize="9" scale="9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27"/>
  <sheetViews>
    <sheetView showGridLines="0" topLeftCell="A5" zoomScaleNormal="100" workbookViewId="0">
      <selection activeCell="D19" sqref="D19:F21"/>
    </sheetView>
  </sheetViews>
  <sheetFormatPr defaultColWidth="14.42578125" defaultRowHeight="15.75" customHeight="1"/>
  <cols>
    <col min="1" max="2" width="14.42578125" style="3"/>
    <col min="3" max="3" width="15" style="3" customWidth="1"/>
    <col min="4" max="4" width="8.28515625" style="3" customWidth="1"/>
    <col min="5" max="5" width="11.140625" style="3" customWidth="1"/>
    <col min="6" max="6" width="8.7109375" style="3" customWidth="1"/>
    <col min="7" max="8" width="8.28515625" style="3" customWidth="1"/>
    <col min="9" max="16384" width="14.42578125" style="3"/>
  </cols>
  <sheetData>
    <row r="1" spans="1:12" ht="15.6" customHeight="1">
      <c r="A1" s="439"/>
      <c r="B1" s="440"/>
      <c r="C1" s="48" t="s">
        <v>245</v>
      </c>
      <c r="D1" s="48"/>
      <c r="E1" s="48"/>
      <c r="F1" s="48"/>
      <c r="G1" s="48"/>
      <c r="H1" s="49"/>
    </row>
    <row r="2" spans="1:12" ht="12.75" customHeight="1">
      <c r="A2" s="441"/>
      <c r="B2" s="442"/>
      <c r="C2" s="388" t="s">
        <v>246</v>
      </c>
      <c r="D2" s="388"/>
      <c r="E2" s="388"/>
      <c r="F2" s="388"/>
      <c r="G2" s="388"/>
      <c r="H2" s="389"/>
    </row>
    <row r="3" spans="1:12" ht="92.25" customHeight="1">
      <c r="A3" s="52" t="s">
        <v>222</v>
      </c>
      <c r="B3" s="53"/>
      <c r="C3" s="53"/>
      <c r="D3" s="53"/>
      <c r="E3" s="53"/>
      <c r="F3" s="53"/>
      <c r="G3" s="53"/>
      <c r="H3" s="54"/>
      <c r="K3"/>
      <c r="L3"/>
    </row>
    <row r="4" spans="1:12" ht="15.75" customHeight="1">
      <c r="A4" s="430"/>
      <c r="B4" s="431"/>
      <c r="C4" s="431"/>
      <c r="D4" s="431"/>
      <c r="E4" s="431"/>
      <c r="F4" s="431"/>
      <c r="G4" s="431"/>
      <c r="H4" s="432"/>
    </row>
    <row r="5" spans="1:12" ht="13.9">
      <c r="A5" s="382" t="s">
        <v>223</v>
      </c>
      <c r="B5" s="231"/>
      <c r="C5" s="231"/>
      <c r="D5" s="231"/>
      <c r="E5" s="383" t="s">
        <v>247</v>
      </c>
      <c r="F5" s="384"/>
      <c r="G5" s="384"/>
      <c r="H5" s="385"/>
    </row>
    <row r="6" spans="1:12" ht="18" customHeight="1">
      <c r="A6" s="307" t="s">
        <v>225</v>
      </c>
      <c r="B6" s="392"/>
      <c r="C6" s="392"/>
      <c r="D6" s="392"/>
      <c r="E6" s="383" t="s">
        <v>248</v>
      </c>
      <c r="F6" s="384"/>
      <c r="G6" s="384"/>
      <c r="H6" s="385"/>
    </row>
    <row r="7" spans="1:12" ht="22.5" customHeight="1">
      <c r="A7" s="307" t="s">
        <v>227</v>
      </c>
      <c r="B7" s="392"/>
      <c r="C7" s="392"/>
      <c r="D7" s="392"/>
      <c r="E7" s="383" t="s">
        <v>249</v>
      </c>
      <c r="F7" s="384"/>
      <c r="G7" s="384"/>
      <c r="H7" s="385"/>
    </row>
    <row r="8" spans="1:12" ht="16.899999999999999" customHeight="1">
      <c r="A8" s="59"/>
      <c r="B8" s="433"/>
      <c r="C8" s="433"/>
      <c r="D8" s="433"/>
      <c r="E8" s="60"/>
      <c r="F8" s="60"/>
      <c r="G8" s="60"/>
      <c r="H8" s="61"/>
    </row>
    <row r="9" spans="1:12" ht="13.15">
      <c r="A9" s="396" t="s">
        <v>229</v>
      </c>
      <c r="B9" s="69"/>
      <c r="C9" s="69"/>
      <c r="D9" s="69"/>
      <c r="E9" s="16" t="s">
        <v>230</v>
      </c>
      <c r="F9" s="16" t="s">
        <v>231</v>
      </c>
      <c r="G9" s="69" t="s">
        <v>232</v>
      </c>
      <c r="H9" s="70"/>
    </row>
    <row r="10" spans="1:12" ht="30" customHeight="1">
      <c r="A10" s="397" t="s">
        <v>233</v>
      </c>
      <c r="B10" s="398"/>
      <c r="C10" s="398"/>
      <c r="D10" s="398"/>
      <c r="E10" s="47">
        <v>10975</v>
      </c>
      <c r="F10" s="12">
        <v>0.1515</v>
      </c>
      <c r="G10" s="416">
        <f>E10+(E10*F10)</f>
        <v>12637.7125</v>
      </c>
      <c r="H10" s="417"/>
    </row>
    <row r="11" spans="1:12" ht="30" customHeight="1">
      <c r="A11" s="397"/>
      <c r="B11" s="398"/>
      <c r="C11" s="398"/>
      <c r="D11" s="398"/>
      <c r="E11" s="45"/>
      <c r="F11" s="46"/>
      <c r="G11" s="390"/>
      <c r="H11" s="391"/>
    </row>
    <row r="12" spans="1:12" ht="30" customHeight="1">
      <c r="A12" s="397"/>
      <c r="B12" s="398"/>
      <c r="C12" s="398"/>
      <c r="D12" s="398"/>
      <c r="E12" s="45"/>
      <c r="F12" s="46"/>
      <c r="G12" s="390"/>
      <c r="H12" s="391"/>
    </row>
    <row r="13" spans="1:12" ht="30" customHeight="1">
      <c r="A13" s="397"/>
      <c r="B13" s="398"/>
      <c r="C13" s="398"/>
      <c r="D13" s="398"/>
      <c r="E13" s="45"/>
      <c r="F13" s="46"/>
      <c r="G13" s="390"/>
      <c r="H13" s="391"/>
    </row>
    <row r="14" spans="1:12" ht="30" customHeight="1">
      <c r="A14" s="397"/>
      <c r="B14" s="398"/>
      <c r="C14" s="398"/>
      <c r="D14" s="398"/>
      <c r="E14" s="45"/>
      <c r="F14" s="46"/>
      <c r="G14" s="390"/>
      <c r="H14" s="391"/>
    </row>
    <row r="15" spans="1:12" ht="30" customHeight="1">
      <c r="A15" s="405" t="s">
        <v>234</v>
      </c>
      <c r="B15" s="406"/>
      <c r="C15" s="406"/>
      <c r="D15" s="406"/>
      <c r="E15" s="406"/>
      <c r="F15" s="407"/>
      <c r="G15" s="418">
        <f>G10</f>
        <v>12637.7125</v>
      </c>
      <c r="H15" s="419"/>
    </row>
    <row r="16" spans="1:12" ht="17.45" customHeight="1">
      <c r="A16" s="124" t="s">
        <v>250</v>
      </c>
      <c r="B16" s="125"/>
      <c r="C16" s="126"/>
      <c r="D16" s="410" t="s">
        <v>236</v>
      </c>
      <c r="E16" s="410"/>
      <c r="F16" s="411"/>
      <c r="G16" s="420">
        <f>G15</f>
        <v>12637.7125</v>
      </c>
      <c r="H16" s="421"/>
    </row>
    <row r="17" spans="1:8" ht="15.6" customHeight="1">
      <c r="A17" s="127"/>
      <c r="B17" s="128"/>
      <c r="C17" s="129"/>
      <c r="D17" s="414" t="s">
        <v>237</v>
      </c>
      <c r="E17" s="414"/>
      <c r="F17" s="415"/>
      <c r="G17" s="420">
        <f>G16</f>
        <v>12637.7125</v>
      </c>
      <c r="H17" s="421"/>
    </row>
    <row r="18" spans="1:8" ht="15" customHeight="1">
      <c r="A18" s="130"/>
      <c r="B18" s="131"/>
      <c r="C18" s="132"/>
      <c r="D18" s="414" t="s">
        <v>238</v>
      </c>
      <c r="E18" s="414"/>
      <c r="F18" s="415"/>
      <c r="G18" s="422">
        <f>G16-G17</f>
        <v>0</v>
      </c>
      <c r="H18" s="423"/>
    </row>
    <row r="19" spans="1:8" ht="35.450000000000003" customHeight="1">
      <c r="A19" s="97" t="s">
        <v>239</v>
      </c>
      <c r="B19" s="98"/>
      <c r="C19" s="99"/>
      <c r="D19" s="142" t="s">
        <v>240</v>
      </c>
      <c r="E19" s="142"/>
      <c r="F19" s="143"/>
      <c r="G19" s="424">
        <f>G16</f>
        <v>12637.7125</v>
      </c>
      <c r="H19" s="425"/>
    </row>
    <row r="20" spans="1:8" ht="11.25" customHeight="1">
      <c r="A20" s="100"/>
      <c r="B20" s="101"/>
      <c r="C20" s="102"/>
      <c r="D20" s="144" t="s">
        <v>241</v>
      </c>
      <c r="E20" s="144"/>
      <c r="F20" s="145"/>
      <c r="G20" s="426"/>
      <c r="H20" s="427"/>
    </row>
    <row r="21" spans="1:8" ht="33" customHeight="1">
      <c r="A21" s="103"/>
      <c r="B21" s="104"/>
      <c r="C21" s="105"/>
      <c r="D21" s="146"/>
      <c r="E21" s="146"/>
      <c r="F21" s="147"/>
      <c r="G21" s="428"/>
      <c r="H21" s="429"/>
    </row>
    <row r="22" spans="1:8" ht="15.75" customHeight="1">
      <c r="A22" s="124" t="s">
        <v>242</v>
      </c>
      <c r="B22" s="125"/>
      <c r="C22" s="126"/>
      <c r="D22" s="77" t="s">
        <v>243</v>
      </c>
      <c r="E22" s="78"/>
      <c r="F22" s="78"/>
      <c r="G22" s="78"/>
      <c r="H22" s="79"/>
    </row>
    <row r="23" spans="1:8" ht="15.75" customHeight="1">
      <c r="A23" s="127"/>
      <c r="B23" s="128"/>
      <c r="C23" s="129"/>
      <c r="D23" s="80"/>
      <c r="E23" s="81"/>
      <c r="F23" s="81"/>
      <c r="G23" s="81"/>
      <c r="H23" s="82"/>
    </row>
    <row r="24" spans="1:8" ht="15.75" customHeight="1">
      <c r="A24" s="127"/>
      <c r="B24" s="128"/>
      <c r="C24" s="129"/>
      <c r="D24" s="80"/>
      <c r="E24" s="81"/>
      <c r="F24" s="81"/>
      <c r="G24" s="81"/>
      <c r="H24" s="82"/>
    </row>
    <row r="25" spans="1:8" ht="15.75" customHeight="1">
      <c r="A25" s="127"/>
      <c r="B25" s="128"/>
      <c r="C25" s="129"/>
      <c r="D25" s="80"/>
      <c r="E25" s="81"/>
      <c r="F25" s="81"/>
      <c r="G25" s="81"/>
      <c r="H25" s="82"/>
    </row>
    <row r="26" spans="1:8" ht="15.75" customHeight="1">
      <c r="A26" s="130"/>
      <c r="B26" s="131"/>
      <c r="C26" s="132"/>
      <c r="D26" s="83"/>
      <c r="E26" s="84"/>
      <c r="F26" s="84"/>
      <c r="G26" s="84"/>
      <c r="H26" s="85"/>
    </row>
    <row r="27" spans="1:8" ht="24.75" customHeight="1" thickBot="1">
      <c r="A27" s="393" t="s">
        <v>244</v>
      </c>
      <c r="B27" s="394"/>
      <c r="C27" s="394"/>
      <c r="D27" s="394"/>
      <c r="E27" s="394"/>
      <c r="F27" s="394"/>
      <c r="G27" s="394"/>
      <c r="H27" s="395"/>
    </row>
  </sheetData>
  <mergeCells count="40">
    <mergeCell ref="A27:H27"/>
    <mergeCell ref="A15:F15"/>
    <mergeCell ref="G15:H15"/>
    <mergeCell ref="A16:C18"/>
    <mergeCell ref="D16:F16"/>
    <mergeCell ref="G16:H16"/>
    <mergeCell ref="D17:F17"/>
    <mergeCell ref="G17:H17"/>
    <mergeCell ref="D18:F18"/>
    <mergeCell ref="G18:H18"/>
    <mergeCell ref="A19:C21"/>
    <mergeCell ref="D19:F21"/>
    <mergeCell ref="G19:H21"/>
    <mergeCell ref="A22:C26"/>
    <mergeCell ref="D22:H26"/>
    <mergeCell ref="A12:D12"/>
    <mergeCell ref="G12:H12"/>
    <mergeCell ref="A13:D13"/>
    <mergeCell ref="G13:H13"/>
    <mergeCell ref="A14:D14"/>
    <mergeCell ref="G14:H14"/>
    <mergeCell ref="A9:D9"/>
    <mergeCell ref="G9:H9"/>
    <mergeCell ref="A10:D10"/>
    <mergeCell ref="G10:H10"/>
    <mergeCell ref="A11:D11"/>
    <mergeCell ref="G11:H11"/>
    <mergeCell ref="A6:D6"/>
    <mergeCell ref="E6:H6"/>
    <mergeCell ref="A7:D7"/>
    <mergeCell ref="E7:H7"/>
    <mergeCell ref="A8:D8"/>
    <mergeCell ref="E8:H8"/>
    <mergeCell ref="A5:D5"/>
    <mergeCell ref="E5:H5"/>
    <mergeCell ref="A1:B2"/>
    <mergeCell ref="C1:H1"/>
    <mergeCell ref="C2:H2"/>
    <mergeCell ref="A3:H3"/>
    <mergeCell ref="A4:H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E53A9A-9253-4C9F-933E-4B4D493254E0}"/>
</file>

<file path=customXml/itemProps2.xml><?xml version="1.0" encoding="utf-8"?>
<ds:datastoreItem xmlns:ds="http://schemas.openxmlformats.org/officeDocument/2006/customXml" ds:itemID="{32776D7A-6C21-462C-A0B3-4613921EB05A}"/>
</file>

<file path=customXml/itemProps3.xml><?xml version="1.0" encoding="utf-8"?>
<ds:datastoreItem xmlns:ds="http://schemas.openxmlformats.org/officeDocument/2006/customXml" ds:itemID="{BEFA3B29-A4BA-4EBC-8084-26CA58C3FD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Mohd Abdul Azeem</cp:lastModifiedBy>
  <cp:revision/>
  <dcterms:created xsi:type="dcterms:W3CDTF">2024-10-03T12:28:54Z</dcterms:created>
  <dcterms:modified xsi:type="dcterms:W3CDTF">2024-10-09T13:18:08Z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