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C:\Users\Azeem\Downloads\Invoices after correction\"/>
    </mc:Choice>
  </mc:AlternateContent>
  <xr:revisionPtr revIDLastSave="23" documentId="11_594A0AE5265EBDA38D0F638D72FDFFDD09A8A21C" xr6:coauthVersionLast="47" xr6:coauthVersionMax="47" xr10:uidLastSave="{5ED725C2-3A6C-416C-AB79-F280F2CDD83D}"/>
  <bookViews>
    <workbookView xWindow="0" yWindow="0" windowWidth="20490" windowHeight="7020" activeTab="2" xr2:uid="{00000000-000D-0000-FFFF-FFFF00000000}"/>
  </bookViews>
  <sheets>
    <sheet name="81583-24-GLLE" sheetId="1" r:id="rId1"/>
    <sheet name="81555-24-GLLE " sheetId="2" r:id="rId2"/>
    <sheet name="81864-24-GLL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H14" i="3"/>
  <c r="G23" i="3" s="1"/>
  <c r="H14" i="2"/>
  <c r="G23" i="2" s="1"/>
  <c r="H14" i="1"/>
</calcChain>
</file>

<file path=xl/sharedStrings.xml><?xml version="1.0" encoding="utf-8"?>
<sst xmlns="http://schemas.openxmlformats.org/spreadsheetml/2006/main" count="54" uniqueCount="25">
  <si>
    <t>INVOICE</t>
  </si>
  <si>
    <t>Global Legal Services</t>
  </si>
  <si>
    <t xml:space="preserve">Address- 41032 Karen Lock Suite 389, 
</t>
  </si>
  <si>
    <t>Port Peter, Indiana, United States, 86438</t>
  </si>
  <si>
    <t>Steel Horse Motors Singapore Inc
Address- 10 Marina Boulevard, Singapore, 018983
Phone  +65-6228-8888</t>
  </si>
  <si>
    <t>Date- 08/15/2024</t>
  </si>
  <si>
    <t>Invoice No- 81583-24/GLS</t>
  </si>
  <si>
    <t>DESCRIPTION</t>
  </si>
  <si>
    <t>QUANTITY</t>
  </si>
  <si>
    <t>PRICE</t>
  </si>
  <si>
    <t>TAX</t>
  </si>
  <si>
    <t>AMOUNT</t>
  </si>
  <si>
    <t>Arbitrary fees</t>
  </si>
  <si>
    <r>
      <t xml:space="preserve">Terms &amp; Conditions:
</t>
    </r>
    <r>
      <rPr>
        <sz val="10"/>
        <color rgb="FF000000"/>
        <rFont val="Arial"/>
        <family val="2"/>
      </rPr>
      <t>1) Payment due in 30 days
2) Please include invoice no in payment</t>
    </r>
  </si>
  <si>
    <t>Amount in words- Twenty thousand only</t>
  </si>
  <si>
    <t>TOTAL</t>
  </si>
  <si>
    <r>
      <t xml:space="preserve">Payment Information:
</t>
    </r>
    <r>
      <rPr>
        <sz val="10"/>
        <rFont val="Arial"/>
        <family val="2"/>
      </rPr>
      <t>Bank Name: Emirates Bank
Account No: 0114 4567 8001
Account Name: Global Legal Services</t>
    </r>
    <r>
      <rPr>
        <b/>
        <sz val="10"/>
        <rFont val="Arial"/>
        <family val="2"/>
      </rPr>
      <t xml:space="preserve">
</t>
    </r>
  </si>
  <si>
    <r>
      <t xml:space="preserve">Contact Information:
</t>
    </r>
    <r>
      <rPr>
        <sz val="10"/>
        <rFont val="Arial"/>
        <family val="2"/>
      </rPr>
      <t xml:space="preserve">Cathy Clark
info@globallegalservices.com
+123 456 7100
</t>
    </r>
  </si>
  <si>
    <t>Steel Horse Motors Dubai Ltd
Address- 15 Sheikh Zayed Road, Dubai, UAE
Phone +974-33-04040</t>
  </si>
  <si>
    <t>Date: 08/15/2024</t>
  </si>
  <si>
    <t>Invoice No- 81555-24/GLS</t>
  </si>
  <si>
    <t>Retainers fees</t>
  </si>
  <si>
    <t>Steel Horse Motors Qatar Ltd
Address- 18 Salwa Road, Doha, Qatar, 12345
Phone +974  5678</t>
  </si>
  <si>
    <t>Invoice No- 81864-24/GLS</t>
  </si>
  <si>
    <t>Advisory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</si>
</sst>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_ ;_-[$$-409]* \-#,##0\ ;_-[$$-409]* &quot;-&quot;??_ ;_-@_ "/>
    <numFmt numFmtId="165" formatCode="_ [$₹-4009]\ * #,##0_ ;_ [$₹-4009]\ * \-#,##0_ ;_ [$₹-4009]\ * &quot;-&quot;??_ ;_ @_ "/>
  </numFmts>
  <fonts count="19">
    <font>
      <sz val="10"/>
      <name val="Arial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rgb="FF40404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36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name val="Arial"/>
      <family val="2"/>
    </font>
    <font>
      <b/>
      <sz val="24"/>
      <name val="Arial"/>
      <family val="2"/>
    </font>
    <font>
      <sz val="2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rgb="FF1F65A6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rgb="FFBBDEF1"/>
      </patternFill>
    </fill>
    <fill>
      <patternFill patternType="solid">
        <fgColor theme="4" tint="0.39997558519241921"/>
        <bgColor rgb="FF1F65A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rgb="FFBBDEF1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1" fillId="0" borderId="0" xfId="1"/>
    <xf numFmtId="0" fontId="6" fillId="2" borderId="0" xfId="1" applyFont="1" applyFill="1"/>
    <xf numFmtId="0" fontId="1" fillId="3" borderId="0" xfId="1" applyFill="1"/>
    <xf numFmtId="0" fontId="2" fillId="2" borderId="0" xfId="1" applyFont="1" applyFill="1"/>
    <xf numFmtId="164" fontId="8" fillId="0" borderId="3" xfId="1" applyNumberFormat="1" applyFont="1" applyBorder="1" applyAlignment="1">
      <alignment horizontal="left" vertical="center"/>
    </xf>
    <xf numFmtId="10" fontId="8" fillId="0" borderId="3" xfId="1" applyNumberFormat="1" applyFont="1" applyBorder="1" applyAlignment="1">
      <alignment horizontal="right" vertical="center"/>
    </xf>
    <xf numFmtId="0" fontId="8" fillId="0" borderId="3" xfId="1" applyFont="1" applyBorder="1" applyAlignment="1">
      <alignment horizontal="right" vertical="center"/>
    </xf>
    <xf numFmtId="164" fontId="8" fillId="0" borderId="3" xfId="1" applyNumberFormat="1" applyFont="1" applyBorder="1" applyAlignment="1">
      <alignment horizontal="right" vertical="center"/>
    </xf>
    <xf numFmtId="0" fontId="10" fillId="0" borderId="0" xfId="0" applyFont="1"/>
    <xf numFmtId="0" fontId="8" fillId="0" borderId="3" xfId="1" applyFont="1" applyBorder="1" applyAlignment="1">
      <alignment horizontal="center" vertical="center"/>
    </xf>
    <xf numFmtId="0" fontId="2" fillId="2" borderId="9" xfId="1" applyFont="1" applyFill="1" applyBorder="1"/>
    <xf numFmtId="0" fontId="2" fillId="2" borderId="1" xfId="1" applyFont="1" applyFill="1" applyBorder="1"/>
    <xf numFmtId="0" fontId="3" fillId="2" borderId="10" xfId="1" applyFont="1" applyFill="1" applyBorder="1" applyAlignment="1">
      <alignment horizontal="right"/>
    </xf>
    <xf numFmtId="0" fontId="1" fillId="3" borderId="12" xfId="1" applyFill="1" applyBorder="1"/>
    <xf numFmtId="0" fontId="2" fillId="2" borderId="11" xfId="1" applyFont="1" applyFill="1" applyBorder="1"/>
    <xf numFmtId="0" fontId="2" fillId="2" borderId="12" xfId="1" applyFont="1" applyFill="1" applyBorder="1"/>
    <xf numFmtId="0" fontId="1" fillId="0" borderId="11" xfId="1" applyBorder="1"/>
    <xf numFmtId="0" fontId="1" fillId="0" borderId="12" xfId="1" applyBorder="1"/>
    <xf numFmtId="164" fontId="8" fillId="0" borderId="15" xfId="1" applyNumberFormat="1" applyFont="1" applyBorder="1" applyAlignment="1">
      <alignment horizontal="left" vertical="center" indent="1"/>
    </xf>
    <xf numFmtId="164" fontId="8" fillId="0" borderId="15" xfId="1" applyNumberFormat="1" applyFont="1" applyBorder="1" applyAlignment="1">
      <alignment horizontal="right" vertical="center"/>
    </xf>
    <xf numFmtId="0" fontId="13" fillId="2" borderId="0" xfId="1" applyFont="1" applyFill="1"/>
    <xf numFmtId="0" fontId="10" fillId="3" borderId="0" xfId="1" applyFont="1" applyFill="1"/>
    <xf numFmtId="0" fontId="10" fillId="2" borderId="11" xfId="1" applyFont="1" applyFill="1" applyBorder="1"/>
    <xf numFmtId="0" fontId="15" fillId="0" borderId="3" xfId="1" applyFont="1" applyBorder="1" applyAlignment="1">
      <alignment horizontal="center"/>
    </xf>
    <xf numFmtId="0" fontId="15" fillId="0" borderId="14" xfId="1" applyFont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5" fillId="0" borderId="0" xfId="1" applyFont="1" applyAlignment="1">
      <alignment horizontal="right" vertical="center"/>
    </xf>
    <xf numFmtId="0" fontId="4" fillId="2" borderId="0" xfId="1" applyFont="1" applyFill="1" applyAlignment="1">
      <alignment horizontal="left"/>
    </xf>
    <xf numFmtId="0" fontId="1" fillId="3" borderId="0" xfId="1" applyFill="1" applyAlignment="1">
      <alignment horizontal="left"/>
    </xf>
    <xf numFmtId="0" fontId="1" fillId="3" borderId="12" xfId="1" applyFill="1" applyBorder="1" applyAlignment="1">
      <alignment horizontal="left"/>
    </xf>
    <xf numFmtId="0" fontId="10" fillId="2" borderId="11" xfId="1" applyFont="1" applyFill="1" applyBorder="1" applyAlignment="1">
      <alignment vertical="center"/>
    </xf>
    <xf numFmtId="0" fontId="10" fillId="3" borderId="0" xfId="1" applyFont="1" applyFill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11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15" fillId="0" borderId="13" xfId="1" applyFont="1" applyBorder="1" applyAlignment="1">
      <alignment horizontal="center"/>
    </xf>
    <xf numFmtId="0" fontId="15" fillId="0" borderId="8" xfId="1" applyFont="1" applyBorder="1" applyAlignment="1">
      <alignment horizontal="center"/>
    </xf>
    <xf numFmtId="0" fontId="15" fillId="0" borderId="2" xfId="1" applyFont="1" applyBorder="1" applyAlignment="1">
      <alignment horizontal="center"/>
    </xf>
    <xf numFmtId="0" fontId="8" fillId="0" borderId="13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right"/>
    </xf>
    <xf numFmtId="0" fontId="12" fillId="4" borderId="9" xfId="1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12" fillId="4" borderId="6" xfId="1" applyFont="1" applyFill="1" applyBorder="1" applyAlignment="1">
      <alignment horizontal="center" vertical="center"/>
    </xf>
    <xf numFmtId="0" fontId="12" fillId="4" borderId="16" xfId="1" applyFont="1" applyFill="1" applyBorder="1" applyAlignment="1">
      <alignment horizontal="center" vertical="center"/>
    </xf>
    <xf numFmtId="0" fontId="12" fillId="4" borderId="4" xfId="1" applyFont="1" applyFill="1" applyBorder="1" applyAlignment="1">
      <alignment horizontal="center" vertical="center"/>
    </xf>
    <xf numFmtId="0" fontId="12" fillId="4" borderId="5" xfId="1" applyFont="1" applyFill="1" applyBorder="1" applyAlignment="1">
      <alignment horizontal="center" vertical="center"/>
    </xf>
    <xf numFmtId="165" fontId="11" fillId="2" borderId="1" xfId="1" applyNumberFormat="1" applyFont="1" applyFill="1" applyBorder="1" applyAlignment="1">
      <alignment horizontal="center" vertical="center"/>
    </xf>
    <xf numFmtId="165" fontId="11" fillId="2" borderId="6" xfId="1" applyNumberFormat="1" applyFont="1" applyFill="1" applyBorder="1" applyAlignment="1">
      <alignment horizontal="center" vertical="center"/>
    </xf>
    <xf numFmtId="165" fontId="11" fillId="2" borderId="4" xfId="1" applyNumberFormat="1" applyFont="1" applyFill="1" applyBorder="1" applyAlignment="1">
      <alignment horizontal="center" vertical="center"/>
    </xf>
    <xf numFmtId="165" fontId="11" fillId="2" borderId="5" xfId="1" applyNumberFormat="1" applyFont="1" applyFill="1" applyBorder="1" applyAlignment="1">
      <alignment horizontal="center" vertical="center"/>
    </xf>
    <xf numFmtId="164" fontId="11" fillId="3" borderId="0" xfId="1" applyNumberFormat="1" applyFont="1" applyFill="1" applyAlignment="1">
      <alignment horizontal="left" vertical="center"/>
    </xf>
    <xf numFmtId="164" fontId="11" fillId="3" borderId="12" xfId="1" applyNumberFormat="1" applyFont="1" applyFill="1" applyBorder="1" applyAlignment="1">
      <alignment horizontal="left" vertical="center"/>
    </xf>
    <xf numFmtId="164" fontId="11" fillId="3" borderId="4" xfId="1" applyNumberFormat="1" applyFont="1" applyFill="1" applyBorder="1" applyAlignment="1">
      <alignment horizontal="left" vertical="center"/>
    </xf>
    <xf numFmtId="164" fontId="11" fillId="3" borderId="17" xfId="1" applyNumberFormat="1" applyFont="1" applyFill="1" applyBorder="1" applyAlignment="1">
      <alignment horizontal="left" vertical="center"/>
    </xf>
    <xf numFmtId="0" fontId="12" fillId="7" borderId="9" xfId="1" applyFont="1" applyFill="1" applyBorder="1" applyAlignment="1">
      <alignment horizontal="center" vertical="center" wrapText="1"/>
    </xf>
    <xf numFmtId="0" fontId="12" fillId="7" borderId="1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11" xfId="1" applyFont="1" applyFill="1" applyBorder="1" applyAlignment="1">
      <alignment horizontal="center" vertical="center"/>
    </xf>
    <xf numFmtId="0" fontId="12" fillId="7" borderId="0" xfId="1" applyFont="1" applyFill="1" applyAlignment="1">
      <alignment horizontal="center" vertical="center"/>
    </xf>
    <xf numFmtId="0" fontId="12" fillId="7" borderId="7" xfId="1" applyFont="1" applyFill="1" applyBorder="1" applyAlignment="1">
      <alignment horizontal="center" vertical="center"/>
    </xf>
    <xf numFmtId="0" fontId="12" fillId="7" borderId="16" xfId="1" applyFont="1" applyFill="1" applyBorder="1" applyAlignment="1">
      <alignment horizontal="center" vertical="center"/>
    </xf>
    <xf numFmtId="0" fontId="12" fillId="7" borderId="4" xfId="1" applyFont="1" applyFill="1" applyBorder="1" applyAlignment="1">
      <alignment horizontal="center" vertical="center"/>
    </xf>
    <xf numFmtId="0" fontId="12" fillId="7" borderId="5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 wrapText="1"/>
    </xf>
    <xf numFmtId="0" fontId="12" fillId="7" borderId="10" xfId="1" applyFont="1" applyFill="1" applyBorder="1" applyAlignment="1">
      <alignment horizontal="center" vertical="center"/>
    </xf>
    <xf numFmtId="0" fontId="12" fillId="7" borderId="12" xfId="1" applyFont="1" applyFill="1" applyBorder="1" applyAlignment="1">
      <alignment horizontal="center" vertical="center"/>
    </xf>
    <xf numFmtId="0" fontId="12" fillId="7" borderId="17" xfId="1" applyFont="1" applyFill="1" applyBorder="1" applyAlignment="1">
      <alignment horizontal="center" vertical="center"/>
    </xf>
    <xf numFmtId="0" fontId="17" fillId="2" borderId="11" xfId="1" applyFont="1" applyFill="1" applyBorder="1" applyAlignment="1">
      <alignment horizontal="left"/>
    </xf>
    <xf numFmtId="0" fontId="18" fillId="3" borderId="0" xfId="1" applyFont="1" applyFill="1" applyAlignment="1">
      <alignment horizontal="left"/>
    </xf>
    <xf numFmtId="0" fontId="16" fillId="2" borderId="1" xfId="1" applyFont="1" applyFill="1" applyBorder="1" applyAlignment="1">
      <alignment horizontal="right" vertical="top"/>
    </xf>
    <xf numFmtId="164" fontId="11" fillId="3" borderId="0" xfId="1" applyNumberFormat="1" applyFont="1" applyFill="1" applyAlignment="1">
      <alignment horizontal="right" vertical="center"/>
    </xf>
    <xf numFmtId="164" fontId="11" fillId="3" borderId="12" xfId="1" applyNumberFormat="1" applyFont="1" applyFill="1" applyBorder="1" applyAlignment="1">
      <alignment horizontal="right" vertical="center"/>
    </xf>
    <xf numFmtId="164" fontId="11" fillId="3" borderId="4" xfId="1" applyNumberFormat="1" applyFont="1" applyFill="1" applyBorder="1" applyAlignment="1">
      <alignment horizontal="right" vertical="center"/>
    </xf>
    <xf numFmtId="164" fontId="11" fillId="3" borderId="17" xfId="1" applyNumberFormat="1" applyFont="1" applyFill="1" applyBorder="1" applyAlignment="1">
      <alignment horizontal="right" vertical="center"/>
    </xf>
    <xf numFmtId="0" fontId="6" fillId="2" borderId="0" xfId="1" applyFont="1" applyFill="1" applyAlignment="1"/>
    <xf numFmtId="0" fontId="1" fillId="3" borderId="0" xfId="1" applyFill="1" applyAlignment="1"/>
    <xf numFmtId="0" fontId="1" fillId="3" borderId="12" xfId="1" applyFill="1" applyBorder="1" applyAlignment="1"/>
    <xf numFmtId="0" fontId="1" fillId="0" borderId="0" xfId="1" applyAlignment="1"/>
    <xf numFmtId="0" fontId="1" fillId="0" borderId="12" xfId="1" applyBorder="1" applyAlignment="1"/>
    <xf numFmtId="0" fontId="14" fillId="0" borderId="0" xfId="1" applyFont="1" applyAlignment="1"/>
    <xf numFmtId="0" fontId="14" fillId="0" borderId="12" xfId="1" applyFont="1" applyBorder="1" applyAlignment="1"/>
    <xf numFmtId="0" fontId="1" fillId="0" borderId="7" xfId="1" applyBorder="1" applyAlignment="1"/>
    <xf numFmtId="0" fontId="1" fillId="6" borderId="4" xfId="1" applyFill="1" applyBorder="1" applyAlignment="1"/>
    <xf numFmtId="0" fontId="1" fillId="6" borderId="17" xfId="1" applyFill="1" applyBorder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0</xdr:row>
      <xdr:rowOff>38100</xdr:rowOff>
    </xdr:from>
    <xdr:to>
      <xdr:col>7</xdr:col>
      <xdr:colOff>781050</xdr:colOff>
      <xdr:row>6</xdr:row>
      <xdr:rowOff>457200</xdr:rowOff>
    </xdr:to>
    <xdr:pic>
      <xdr:nvPicPr>
        <xdr:cNvPr id="2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38100"/>
          <a:ext cx="1847850" cy="19907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57151</xdr:colOff>
      <xdr:row>0</xdr:row>
      <xdr:rowOff>28575</xdr:rowOff>
    </xdr:from>
    <xdr:to>
      <xdr:col>7</xdr:col>
      <xdr:colOff>774217</xdr:colOff>
      <xdr:row>6</xdr:row>
      <xdr:rowOff>259430</xdr:rowOff>
    </xdr:to>
    <xdr:pic>
      <xdr:nvPicPr>
        <xdr:cNvPr id="3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3B3A512E-66BE-4698-A9D7-F58272308594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6" y="28575"/>
          <a:ext cx="1821966" cy="180248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9525</xdr:colOff>
      <xdr:row>0</xdr:row>
      <xdr:rowOff>0</xdr:rowOff>
    </xdr:from>
    <xdr:to>
      <xdr:col>7</xdr:col>
      <xdr:colOff>781050</xdr:colOff>
      <xdr:row>6</xdr:row>
      <xdr:rowOff>457200</xdr:rowOff>
    </xdr:to>
    <xdr:pic>
      <xdr:nvPicPr>
        <xdr:cNvPr id="4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7E1B45D1-5A06-4C20-967F-F3F96F17A33B}"/>
            </a:ext>
            <a:ext uri="{147F2762-F138-4A5C-976F-8EAC2B608ADB}">
              <a16:predDERef xmlns:a16="http://schemas.microsoft.com/office/drawing/2014/main" pred="{3B3A512E-66BE-4698-A9D7-F5827230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0"/>
          <a:ext cx="1876425" cy="20288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57151</xdr:colOff>
      <xdr:row>0</xdr:row>
      <xdr:rowOff>28575</xdr:rowOff>
    </xdr:from>
    <xdr:to>
      <xdr:col>7</xdr:col>
      <xdr:colOff>774217</xdr:colOff>
      <xdr:row>6</xdr:row>
      <xdr:rowOff>259430</xdr:rowOff>
    </xdr:to>
    <xdr:pic>
      <xdr:nvPicPr>
        <xdr:cNvPr id="2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6" y="28575"/>
          <a:ext cx="1821966" cy="180248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38100</xdr:colOff>
      <xdr:row>0</xdr:row>
      <xdr:rowOff>38100</xdr:rowOff>
    </xdr:from>
    <xdr:to>
      <xdr:col>7</xdr:col>
      <xdr:colOff>781050</xdr:colOff>
      <xdr:row>6</xdr:row>
      <xdr:rowOff>457200</xdr:rowOff>
    </xdr:to>
    <xdr:pic>
      <xdr:nvPicPr>
        <xdr:cNvPr id="3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5024A551-6858-4F6E-A341-47C5E9C571F5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1925" y="38100"/>
          <a:ext cx="1847850" cy="19907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57151</xdr:colOff>
      <xdr:row>0</xdr:row>
      <xdr:rowOff>28575</xdr:rowOff>
    </xdr:from>
    <xdr:to>
      <xdr:col>7</xdr:col>
      <xdr:colOff>774217</xdr:colOff>
      <xdr:row>6</xdr:row>
      <xdr:rowOff>259430</xdr:rowOff>
    </xdr:to>
    <xdr:pic>
      <xdr:nvPicPr>
        <xdr:cNvPr id="4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8FD41072-A3DE-4371-8BB9-B31250F42C50}"/>
            </a:ext>
            <a:ext uri="{147F2762-F138-4A5C-976F-8EAC2B608ADB}">
              <a16:predDERef xmlns:a16="http://schemas.microsoft.com/office/drawing/2014/main" pred="{5024A551-6858-4F6E-A341-47C5E9C5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6" y="28575"/>
          <a:ext cx="1821966" cy="180248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9525</xdr:colOff>
      <xdr:row>0</xdr:row>
      <xdr:rowOff>0</xdr:rowOff>
    </xdr:from>
    <xdr:to>
      <xdr:col>7</xdr:col>
      <xdr:colOff>781050</xdr:colOff>
      <xdr:row>6</xdr:row>
      <xdr:rowOff>457200</xdr:rowOff>
    </xdr:to>
    <xdr:pic>
      <xdr:nvPicPr>
        <xdr:cNvPr id="5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F9776CF1-FE71-4D78-A9DD-53BB41F95892}"/>
            </a:ext>
            <a:ext uri="{147F2762-F138-4A5C-976F-8EAC2B608ADB}">
              <a16:predDERef xmlns:a16="http://schemas.microsoft.com/office/drawing/2014/main" pred="{8FD41072-A3DE-4371-8BB9-B31250F4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0"/>
          <a:ext cx="1876425" cy="20288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57151</xdr:colOff>
      <xdr:row>0</xdr:row>
      <xdr:rowOff>28575</xdr:rowOff>
    </xdr:from>
    <xdr:to>
      <xdr:col>7</xdr:col>
      <xdr:colOff>774217</xdr:colOff>
      <xdr:row>6</xdr:row>
      <xdr:rowOff>259430</xdr:rowOff>
    </xdr:to>
    <xdr:pic>
      <xdr:nvPicPr>
        <xdr:cNvPr id="2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6" y="28575"/>
          <a:ext cx="1821966" cy="180248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9525</xdr:colOff>
      <xdr:row>0</xdr:row>
      <xdr:rowOff>0</xdr:rowOff>
    </xdr:from>
    <xdr:to>
      <xdr:col>7</xdr:col>
      <xdr:colOff>781050</xdr:colOff>
      <xdr:row>6</xdr:row>
      <xdr:rowOff>457200</xdr:rowOff>
    </xdr:to>
    <xdr:pic>
      <xdr:nvPicPr>
        <xdr:cNvPr id="3" name="Picture 1" descr="C:\Users\Azeem\Downloads\WhatsApp Image 2024-10-02 at 1.45.07 AM.jpeg">
          <a:extLst>
            <a:ext uri="{FF2B5EF4-FFF2-40B4-BE49-F238E27FC236}">
              <a16:creationId xmlns:a16="http://schemas.microsoft.com/office/drawing/2014/main" id="{0A261C23-91A1-4AF3-9AD3-31219D8E7E17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0"/>
          <a:ext cx="1876425" cy="202882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2">
    <outlinePr summaryBelow="0" summaryRight="0"/>
  </sheetPr>
  <dimension ref="A1:P27"/>
  <sheetViews>
    <sheetView showGridLines="0" topLeftCell="A201" zoomScaleNormal="100" workbookViewId="0">
      <selection activeCell="J7" sqref="J7"/>
    </sheetView>
  </sheetViews>
  <sheetFormatPr defaultColWidth="14.42578125" defaultRowHeight="15.75" customHeight="1"/>
  <cols>
    <col min="1" max="1" width="5.42578125" style="1" customWidth="1"/>
    <col min="2" max="2" width="9.85546875" style="1" customWidth="1"/>
    <col min="3" max="3" width="14.42578125" style="1"/>
    <col min="4" max="4" width="20.5703125" style="1" customWidth="1"/>
    <col min="5" max="5" width="8.7109375" style="1" customWidth="1"/>
    <col min="6" max="6" width="9.85546875" style="1" customWidth="1"/>
    <col min="7" max="7" width="6.7109375" style="1" customWidth="1"/>
    <col min="8" max="8" width="12" style="1" customWidth="1"/>
    <col min="9" max="16384" width="14.42578125" style="1"/>
  </cols>
  <sheetData>
    <row r="1" spans="1:16" ht="39" customHeight="1">
      <c r="A1" s="11"/>
      <c r="B1" s="12"/>
      <c r="C1" s="12"/>
      <c r="D1" s="78" t="s">
        <v>0</v>
      </c>
      <c r="E1" s="12"/>
      <c r="F1" s="12"/>
      <c r="G1" s="12"/>
      <c r="H1" s="13"/>
    </row>
    <row r="2" spans="1:16" ht="30">
      <c r="A2" s="76" t="s">
        <v>1</v>
      </c>
      <c r="B2" s="77"/>
      <c r="C2" s="77"/>
      <c r="D2" s="77"/>
      <c r="E2" s="28"/>
      <c r="F2" s="29"/>
      <c r="G2" s="29"/>
      <c r="H2" s="30"/>
      <c r="L2"/>
    </row>
    <row r="3" spans="1:16" ht="12.75" customHeight="1">
      <c r="A3" s="31" t="s">
        <v>2</v>
      </c>
      <c r="B3" s="32"/>
      <c r="C3" s="32"/>
      <c r="D3" s="32"/>
      <c r="E3" s="83"/>
      <c r="F3" s="84"/>
      <c r="G3" s="84"/>
      <c r="H3" s="85"/>
    </row>
    <row r="4" spans="1:16" ht="16.5" customHeight="1">
      <c r="A4" s="23" t="s">
        <v>3</v>
      </c>
      <c r="B4" s="21"/>
      <c r="C4" s="22"/>
      <c r="D4" s="22"/>
      <c r="E4" s="2"/>
      <c r="F4" s="3"/>
      <c r="G4" s="3"/>
      <c r="H4" s="14"/>
    </row>
    <row r="5" spans="1:16" ht="12.75">
      <c r="A5" s="15"/>
      <c r="B5" s="3"/>
      <c r="C5" s="3"/>
      <c r="D5" s="3"/>
      <c r="E5" s="26"/>
      <c r="F5" s="84"/>
      <c r="G5" s="84"/>
      <c r="H5" s="85"/>
    </row>
    <row r="6" spans="1:16" ht="12.75">
      <c r="A6" s="15"/>
      <c r="B6" s="3"/>
      <c r="C6" s="3"/>
      <c r="D6" s="3"/>
      <c r="E6" s="26"/>
      <c r="F6" s="84"/>
      <c r="G6" s="84"/>
      <c r="H6" s="85"/>
    </row>
    <row r="7" spans="1:16" ht="36.75" customHeight="1">
      <c r="A7" s="15"/>
      <c r="B7" s="4"/>
      <c r="C7" s="4"/>
      <c r="D7" s="4"/>
      <c r="E7" s="4"/>
      <c r="F7" s="4"/>
      <c r="G7" s="4"/>
      <c r="H7" s="16"/>
    </row>
    <row r="8" spans="1:16" ht="15.75" customHeight="1">
      <c r="A8" s="17"/>
      <c r="B8" s="86"/>
      <c r="C8" s="86"/>
      <c r="D8" s="86"/>
      <c r="E8" s="86"/>
      <c r="F8" s="86"/>
      <c r="G8" s="86"/>
      <c r="H8" s="87"/>
    </row>
    <row r="9" spans="1:16" ht="12.75">
      <c r="A9" s="33"/>
      <c r="B9" s="34"/>
      <c r="C9" s="34"/>
      <c r="D9" s="34"/>
      <c r="E9" s="34"/>
      <c r="F9" s="27"/>
      <c r="G9" s="86"/>
      <c r="H9" s="87"/>
    </row>
    <row r="10" spans="1:16" ht="22.5" customHeight="1">
      <c r="A10" s="35" t="s">
        <v>4</v>
      </c>
      <c r="B10" s="36"/>
      <c r="C10" s="36"/>
      <c r="D10" s="36"/>
      <c r="E10" s="36"/>
      <c r="F10" s="38" t="s">
        <v>5</v>
      </c>
      <c r="G10" s="88"/>
      <c r="H10" s="89"/>
      <c r="N10" s="27"/>
      <c r="O10" s="86"/>
      <c r="P10" s="90"/>
    </row>
    <row r="11" spans="1:16" ht="22.5" customHeight="1">
      <c r="A11" s="37"/>
      <c r="B11" s="36"/>
      <c r="C11" s="36"/>
      <c r="D11" s="36"/>
      <c r="E11" s="36"/>
      <c r="F11" s="38" t="s">
        <v>6</v>
      </c>
      <c r="G11" s="88"/>
      <c r="H11" s="89"/>
    </row>
    <row r="12" spans="1:16" ht="27.75" customHeight="1">
      <c r="A12" s="17"/>
      <c r="H12" s="18"/>
    </row>
    <row r="13" spans="1:16" ht="12.75">
      <c r="A13" s="39" t="s">
        <v>7</v>
      </c>
      <c r="B13" s="40"/>
      <c r="C13" s="40"/>
      <c r="D13" s="41"/>
      <c r="E13" s="24" t="s">
        <v>8</v>
      </c>
      <c r="F13" s="24" t="s">
        <v>9</v>
      </c>
      <c r="G13" s="24" t="s">
        <v>10</v>
      </c>
      <c r="H13" s="25" t="s">
        <v>11</v>
      </c>
    </row>
    <row r="14" spans="1:16" ht="30" customHeight="1">
      <c r="A14" s="42" t="s">
        <v>12</v>
      </c>
      <c r="B14" s="43"/>
      <c r="C14" s="43"/>
      <c r="D14" s="44"/>
      <c r="E14" s="10">
        <v>1</v>
      </c>
      <c r="F14" s="5">
        <v>19048</v>
      </c>
      <c r="G14" s="6">
        <v>0.05</v>
      </c>
      <c r="H14" s="19">
        <f t="shared" ref="H14" si="0">E14*F14+(E14*F14*G14)</f>
        <v>20000.400000000001</v>
      </c>
    </row>
    <row r="15" spans="1:16" ht="30" customHeight="1">
      <c r="A15" s="42"/>
      <c r="B15" s="43"/>
      <c r="C15" s="43"/>
      <c r="D15" s="44"/>
      <c r="E15" s="7"/>
      <c r="F15" s="8"/>
      <c r="G15" s="6"/>
      <c r="H15" s="20"/>
    </row>
    <row r="16" spans="1:16" ht="30" customHeight="1">
      <c r="A16" s="42"/>
      <c r="B16" s="43"/>
      <c r="C16" s="43"/>
      <c r="D16" s="44"/>
      <c r="E16" s="7"/>
      <c r="F16" s="8"/>
      <c r="G16" s="6"/>
      <c r="H16" s="20"/>
    </row>
    <row r="17" spans="1:8" ht="30" customHeight="1">
      <c r="A17" s="42"/>
      <c r="B17" s="43"/>
      <c r="C17" s="43"/>
      <c r="D17" s="44"/>
      <c r="E17" s="7"/>
      <c r="F17" s="8"/>
      <c r="G17" s="6"/>
      <c r="H17" s="20"/>
    </row>
    <row r="18" spans="1:8" ht="30" customHeight="1">
      <c r="A18" s="42"/>
      <c r="B18" s="43"/>
      <c r="C18" s="43"/>
      <c r="D18" s="44"/>
      <c r="E18" s="7"/>
      <c r="F18" s="8"/>
      <c r="G18" s="6"/>
      <c r="H18" s="20"/>
    </row>
    <row r="19" spans="1:8" ht="30" customHeight="1">
      <c r="A19" s="42"/>
      <c r="B19" s="43"/>
      <c r="C19" s="43"/>
      <c r="D19" s="44"/>
      <c r="E19" s="7"/>
      <c r="F19" s="8"/>
      <c r="G19" s="6"/>
      <c r="H19" s="20"/>
    </row>
    <row r="20" spans="1:8" ht="30" customHeight="1">
      <c r="A20" s="42"/>
      <c r="B20" s="43"/>
      <c r="C20" s="43"/>
      <c r="D20" s="44"/>
      <c r="E20" s="7"/>
      <c r="F20" s="8"/>
      <c r="G20" s="6"/>
      <c r="H20" s="20"/>
    </row>
    <row r="21" spans="1:8" ht="30" customHeight="1">
      <c r="A21" s="42"/>
      <c r="B21" s="43"/>
      <c r="C21" s="43"/>
      <c r="D21" s="44"/>
      <c r="E21" s="7"/>
      <c r="F21" s="8"/>
      <c r="G21" s="6"/>
      <c r="H21" s="20"/>
    </row>
    <row r="22" spans="1:8" ht="44.25" customHeight="1" thickBot="1">
      <c r="A22" s="45" t="s">
        <v>13</v>
      </c>
      <c r="B22" s="46"/>
      <c r="C22" s="46"/>
      <c r="D22" s="47"/>
      <c r="E22" s="48"/>
      <c r="F22" s="91"/>
      <c r="G22" s="91"/>
      <c r="H22" s="92"/>
    </row>
    <row r="23" spans="1:8" ht="12.75" customHeight="1">
      <c r="A23" s="49" t="s">
        <v>14</v>
      </c>
      <c r="B23" s="50"/>
      <c r="C23" s="50"/>
      <c r="D23" s="51"/>
      <c r="E23" s="55" t="s">
        <v>15</v>
      </c>
      <c r="F23" s="56"/>
      <c r="G23" s="59">
        <f>H14</f>
        <v>20000.400000000001</v>
      </c>
      <c r="H23" s="60"/>
    </row>
    <row r="24" spans="1:8" ht="43.5" customHeight="1" thickBot="1">
      <c r="A24" s="52"/>
      <c r="B24" s="53"/>
      <c r="C24" s="53"/>
      <c r="D24" s="54"/>
      <c r="E24" s="57"/>
      <c r="F24" s="58"/>
      <c r="G24" s="61"/>
      <c r="H24" s="62"/>
    </row>
    <row r="25" spans="1:8" ht="30" customHeight="1">
      <c r="A25" s="63" t="s">
        <v>16</v>
      </c>
      <c r="B25" s="64"/>
      <c r="C25" s="64"/>
      <c r="D25" s="65"/>
      <c r="E25" s="72" t="s">
        <v>17</v>
      </c>
      <c r="F25" s="64"/>
      <c r="G25" s="64"/>
      <c r="H25" s="73"/>
    </row>
    <row r="26" spans="1:8" ht="11.25" customHeight="1">
      <c r="A26" s="66"/>
      <c r="B26" s="67"/>
      <c r="C26" s="67"/>
      <c r="D26" s="68"/>
      <c r="E26" s="67"/>
      <c r="F26" s="67"/>
      <c r="G26" s="67"/>
      <c r="H26" s="74"/>
    </row>
    <row r="27" spans="1:8" ht="31.5" customHeight="1" thickBot="1">
      <c r="A27" s="69"/>
      <c r="B27" s="70"/>
      <c r="C27" s="70"/>
      <c r="D27" s="71"/>
      <c r="E27" s="70"/>
      <c r="F27" s="70"/>
      <c r="G27" s="70"/>
      <c r="H27" s="75"/>
    </row>
  </sheetData>
  <mergeCells count="29">
    <mergeCell ref="E22:H22"/>
    <mergeCell ref="A23:D24"/>
    <mergeCell ref="E23:F24"/>
    <mergeCell ref="G23:H24"/>
    <mergeCell ref="A25:D27"/>
    <mergeCell ref="E25:H27"/>
    <mergeCell ref="A18:D18"/>
    <mergeCell ref="A19:D19"/>
    <mergeCell ref="A20:D20"/>
    <mergeCell ref="A21:D21"/>
    <mergeCell ref="A22:D22"/>
    <mergeCell ref="A13:D13"/>
    <mergeCell ref="A14:D14"/>
    <mergeCell ref="A15:D15"/>
    <mergeCell ref="A16:D16"/>
    <mergeCell ref="A17:D17"/>
    <mergeCell ref="E6:H6"/>
    <mergeCell ref="N10:P10"/>
    <mergeCell ref="A2:D2"/>
    <mergeCell ref="E2:H2"/>
    <mergeCell ref="A3:D3"/>
    <mergeCell ref="E3:H3"/>
    <mergeCell ref="E5:H5"/>
    <mergeCell ref="B8:H8"/>
    <mergeCell ref="A9:E9"/>
    <mergeCell ref="F9:H9"/>
    <mergeCell ref="A10:E11"/>
    <mergeCell ref="F10:H10"/>
    <mergeCell ref="F11:H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3">
    <outlinePr summaryBelow="0" summaryRight="0"/>
  </sheetPr>
  <dimension ref="A1:L27"/>
  <sheetViews>
    <sheetView showGridLines="0" topLeftCell="A21" zoomScaleNormal="100" workbookViewId="0">
      <selection sqref="A1:H7"/>
    </sheetView>
  </sheetViews>
  <sheetFormatPr defaultColWidth="14.42578125" defaultRowHeight="15.75" customHeight="1"/>
  <cols>
    <col min="1" max="1" width="5.42578125" style="1" customWidth="1"/>
    <col min="2" max="2" width="9.85546875" style="1" customWidth="1"/>
    <col min="3" max="3" width="14.42578125" style="1"/>
    <col min="4" max="4" width="20.5703125" style="1" customWidth="1"/>
    <col min="5" max="5" width="8.7109375" style="1" customWidth="1"/>
    <col min="6" max="6" width="9.85546875" style="1" customWidth="1"/>
    <col min="7" max="7" width="6.7109375" style="1" customWidth="1"/>
    <col min="8" max="8" width="12" style="1" customWidth="1"/>
    <col min="9" max="16384" width="14.42578125" style="1"/>
  </cols>
  <sheetData>
    <row r="1" spans="1:12" ht="39" customHeight="1">
      <c r="A1" s="11"/>
      <c r="B1" s="12"/>
      <c r="C1" s="12"/>
      <c r="D1" s="78" t="s">
        <v>0</v>
      </c>
      <c r="E1" s="12"/>
      <c r="F1" s="12"/>
      <c r="G1" s="12"/>
      <c r="H1" s="13"/>
    </row>
    <row r="2" spans="1:12" ht="30">
      <c r="A2" s="76" t="s">
        <v>1</v>
      </c>
      <c r="B2" s="77"/>
      <c r="C2" s="77"/>
      <c r="D2" s="77"/>
      <c r="E2" s="28"/>
      <c r="F2" s="29"/>
      <c r="G2" s="29"/>
      <c r="H2" s="30"/>
      <c r="L2"/>
    </row>
    <row r="3" spans="1:12" ht="12.75" customHeight="1">
      <c r="A3" s="31" t="s">
        <v>2</v>
      </c>
      <c r="B3" s="32"/>
      <c r="C3" s="32"/>
      <c r="D3" s="32"/>
      <c r="E3" s="83"/>
      <c r="F3" s="84"/>
      <c r="G3" s="84"/>
      <c r="H3" s="85"/>
    </row>
    <row r="4" spans="1:12" ht="16.5" customHeight="1">
      <c r="A4" s="23" t="s">
        <v>3</v>
      </c>
      <c r="B4" s="21"/>
      <c r="C4" s="22"/>
      <c r="D4" s="22"/>
      <c r="E4" s="2"/>
      <c r="F4" s="3"/>
      <c r="G4" s="3"/>
      <c r="H4" s="14"/>
    </row>
    <row r="5" spans="1:12" ht="12.75">
      <c r="A5" s="15"/>
      <c r="B5" s="3"/>
      <c r="C5" s="3"/>
      <c r="D5" s="3"/>
      <c r="E5" s="26"/>
      <c r="F5" s="84"/>
      <c r="G5" s="84"/>
      <c r="H5" s="85"/>
    </row>
    <row r="6" spans="1:12" ht="12.75">
      <c r="A6" s="15"/>
      <c r="B6" s="3"/>
      <c r="C6" s="3"/>
      <c r="D6" s="3"/>
      <c r="E6" s="26"/>
      <c r="F6" s="84"/>
      <c r="G6" s="84"/>
      <c r="H6" s="85"/>
    </row>
    <row r="7" spans="1:12" ht="36.75" customHeight="1">
      <c r="A7" s="15"/>
      <c r="B7" s="4"/>
      <c r="C7" s="4"/>
      <c r="D7" s="4"/>
      <c r="E7" s="4"/>
      <c r="F7" s="4"/>
      <c r="G7" s="4"/>
      <c r="H7" s="16"/>
    </row>
    <row r="8" spans="1:12" ht="15.75" customHeight="1">
      <c r="A8" s="17"/>
      <c r="B8" s="86"/>
      <c r="C8" s="86"/>
      <c r="D8" s="86"/>
      <c r="E8" s="86"/>
      <c r="F8" s="86"/>
      <c r="G8" s="86"/>
      <c r="H8" s="87"/>
    </row>
    <row r="9" spans="1:12" ht="12.75">
      <c r="A9" s="33"/>
      <c r="B9" s="34"/>
      <c r="C9" s="34"/>
      <c r="D9" s="34"/>
      <c r="E9" s="34"/>
      <c r="F9" s="27"/>
      <c r="G9" s="86"/>
      <c r="H9" s="87"/>
    </row>
    <row r="10" spans="1:12" ht="22.5" customHeight="1">
      <c r="A10" s="35" t="s">
        <v>18</v>
      </c>
      <c r="B10" s="36"/>
      <c r="C10" s="36"/>
      <c r="D10" s="36"/>
      <c r="E10" s="36"/>
      <c r="F10" s="38" t="s">
        <v>19</v>
      </c>
      <c r="G10" s="88"/>
      <c r="H10" s="89"/>
    </row>
    <row r="11" spans="1:12" ht="22.5" customHeight="1">
      <c r="A11" s="37"/>
      <c r="B11" s="36"/>
      <c r="C11" s="36"/>
      <c r="D11" s="36"/>
      <c r="E11" s="36"/>
      <c r="F11" s="38" t="s">
        <v>20</v>
      </c>
      <c r="G11" s="88"/>
      <c r="H11" s="89"/>
    </row>
    <row r="12" spans="1:12" ht="27.75" customHeight="1">
      <c r="A12" s="17"/>
      <c r="B12" s="86"/>
      <c r="C12" s="86"/>
      <c r="D12" s="86"/>
      <c r="E12" s="86"/>
      <c r="F12" s="86"/>
      <c r="G12" s="86"/>
      <c r="H12" s="87"/>
    </row>
    <row r="13" spans="1:12" ht="12.75">
      <c r="A13" s="39" t="s">
        <v>7</v>
      </c>
      <c r="B13" s="40"/>
      <c r="C13" s="40"/>
      <c r="D13" s="41"/>
      <c r="E13" s="24" t="s">
        <v>8</v>
      </c>
      <c r="F13" s="24" t="s">
        <v>9</v>
      </c>
      <c r="G13" s="24" t="s">
        <v>10</v>
      </c>
      <c r="H13" s="25" t="s">
        <v>11</v>
      </c>
    </row>
    <row r="14" spans="1:12" ht="30" customHeight="1">
      <c r="A14" s="42" t="s">
        <v>21</v>
      </c>
      <c r="B14" s="43"/>
      <c r="C14" s="43"/>
      <c r="D14" s="44"/>
      <c r="E14" s="10">
        <v>1</v>
      </c>
      <c r="F14" s="5">
        <v>19048</v>
      </c>
      <c r="G14" s="6">
        <v>0.05</v>
      </c>
      <c r="H14" s="19">
        <f t="shared" ref="H14" si="0">E14*F14+(E14*F14*G14)</f>
        <v>20000.400000000001</v>
      </c>
    </row>
    <row r="15" spans="1:12" ht="30" customHeight="1">
      <c r="A15" s="42"/>
      <c r="B15" s="43"/>
      <c r="C15" s="43"/>
      <c r="D15" s="44"/>
      <c r="E15" s="7"/>
      <c r="F15" s="8"/>
      <c r="G15" s="6"/>
      <c r="H15" s="20"/>
    </row>
    <row r="16" spans="1:12" ht="30" customHeight="1">
      <c r="A16" s="42"/>
      <c r="B16" s="43"/>
      <c r="C16" s="43"/>
      <c r="D16" s="44"/>
      <c r="E16" s="7"/>
      <c r="F16" s="8"/>
      <c r="G16" s="6"/>
      <c r="H16" s="20"/>
    </row>
    <row r="17" spans="1:8" ht="30" customHeight="1">
      <c r="A17" s="42"/>
      <c r="B17" s="43"/>
      <c r="C17" s="43"/>
      <c r="D17" s="44"/>
      <c r="E17" s="7"/>
      <c r="F17" s="8"/>
      <c r="G17" s="6"/>
      <c r="H17" s="20"/>
    </row>
    <row r="18" spans="1:8" ht="30" customHeight="1">
      <c r="A18" s="42"/>
      <c r="B18" s="43"/>
      <c r="C18" s="43"/>
      <c r="D18" s="44"/>
      <c r="E18" s="7"/>
      <c r="F18" s="8"/>
      <c r="G18" s="6"/>
      <c r="H18" s="20"/>
    </row>
    <row r="19" spans="1:8" ht="30" customHeight="1">
      <c r="A19" s="42"/>
      <c r="B19" s="43"/>
      <c r="C19" s="43"/>
      <c r="D19" s="44"/>
      <c r="E19" s="7"/>
      <c r="F19" s="8"/>
      <c r="G19" s="6"/>
      <c r="H19" s="20"/>
    </row>
    <row r="20" spans="1:8" ht="30" customHeight="1">
      <c r="A20" s="42"/>
      <c r="B20" s="43"/>
      <c r="C20" s="43"/>
      <c r="D20" s="44"/>
      <c r="E20" s="7"/>
      <c r="F20" s="8"/>
      <c r="G20" s="6"/>
      <c r="H20" s="20"/>
    </row>
    <row r="21" spans="1:8" ht="30" customHeight="1">
      <c r="A21" s="42"/>
      <c r="B21" s="43"/>
      <c r="C21" s="43"/>
      <c r="D21" s="44"/>
      <c r="E21" s="7"/>
      <c r="F21" s="8"/>
      <c r="G21" s="6"/>
      <c r="H21" s="20"/>
    </row>
    <row r="22" spans="1:8" ht="45.75" customHeight="1" thickBot="1">
      <c r="A22" s="45" t="s">
        <v>13</v>
      </c>
      <c r="B22" s="46"/>
      <c r="C22" s="46"/>
      <c r="D22" s="47"/>
      <c r="E22" s="48"/>
      <c r="F22" s="91"/>
      <c r="G22" s="91"/>
      <c r="H22" s="92"/>
    </row>
    <row r="23" spans="1:8" ht="12.75" customHeight="1">
      <c r="A23" s="49" t="s">
        <v>14</v>
      </c>
      <c r="B23" s="50"/>
      <c r="C23" s="50"/>
      <c r="D23" s="51"/>
      <c r="E23" s="55" t="s">
        <v>15</v>
      </c>
      <c r="F23" s="56"/>
      <c r="G23" s="59">
        <f>H14</f>
        <v>20000.400000000001</v>
      </c>
      <c r="H23" s="60"/>
    </row>
    <row r="24" spans="1:8" ht="43.5" customHeight="1" thickBot="1">
      <c r="A24" s="52"/>
      <c r="B24" s="53"/>
      <c r="C24" s="53"/>
      <c r="D24" s="54"/>
      <c r="E24" s="57"/>
      <c r="F24" s="58"/>
      <c r="G24" s="61"/>
      <c r="H24" s="62"/>
    </row>
    <row r="25" spans="1:8" ht="30" customHeight="1">
      <c r="A25" s="63" t="s">
        <v>16</v>
      </c>
      <c r="B25" s="64"/>
      <c r="C25" s="64"/>
      <c r="D25" s="65"/>
      <c r="E25" s="72" t="s">
        <v>17</v>
      </c>
      <c r="F25" s="64"/>
      <c r="G25" s="64"/>
      <c r="H25" s="73"/>
    </row>
    <row r="26" spans="1:8" ht="11.25" customHeight="1">
      <c r="A26" s="66"/>
      <c r="B26" s="67"/>
      <c r="C26" s="67"/>
      <c r="D26" s="68"/>
      <c r="E26" s="67"/>
      <c r="F26" s="67"/>
      <c r="G26" s="67"/>
      <c r="H26" s="74"/>
    </row>
    <row r="27" spans="1:8" ht="35.25" customHeight="1" thickBot="1">
      <c r="A27" s="69"/>
      <c r="B27" s="70"/>
      <c r="C27" s="70"/>
      <c r="D27" s="71"/>
      <c r="E27" s="70"/>
      <c r="F27" s="70"/>
      <c r="G27" s="70"/>
      <c r="H27" s="75"/>
    </row>
  </sheetData>
  <mergeCells count="29">
    <mergeCell ref="A25:D27"/>
    <mergeCell ref="E25:H27"/>
    <mergeCell ref="A22:D22"/>
    <mergeCell ref="E22:H22"/>
    <mergeCell ref="A23:D24"/>
    <mergeCell ref="E23:F24"/>
    <mergeCell ref="G23:H24"/>
    <mergeCell ref="A17:D17"/>
    <mergeCell ref="A18:D18"/>
    <mergeCell ref="A19:D19"/>
    <mergeCell ref="A20:D20"/>
    <mergeCell ref="A21:D21"/>
    <mergeCell ref="B12:H12"/>
    <mergeCell ref="A13:D13"/>
    <mergeCell ref="A14:D14"/>
    <mergeCell ref="A15:D15"/>
    <mergeCell ref="A16:D16"/>
    <mergeCell ref="B8:H8"/>
    <mergeCell ref="A9:E9"/>
    <mergeCell ref="F9:H9"/>
    <mergeCell ref="A10:E11"/>
    <mergeCell ref="F10:H10"/>
    <mergeCell ref="F11:H11"/>
    <mergeCell ref="E6:H6"/>
    <mergeCell ref="A2:D2"/>
    <mergeCell ref="E2:H2"/>
    <mergeCell ref="A3:D3"/>
    <mergeCell ref="E3:H3"/>
    <mergeCell ref="E5:H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4">
    <outlinePr summaryBelow="0" summaryRight="0"/>
  </sheetPr>
  <dimension ref="A1:L27"/>
  <sheetViews>
    <sheetView showGridLines="0" tabSelected="1" topLeftCell="A21" zoomScaleNormal="100" workbookViewId="0">
      <selection activeCell="J24" sqref="J24"/>
    </sheetView>
  </sheetViews>
  <sheetFormatPr defaultColWidth="14.42578125" defaultRowHeight="15.75" customHeight="1"/>
  <cols>
    <col min="1" max="1" width="5.42578125" style="1" customWidth="1"/>
    <col min="2" max="2" width="9.85546875" style="1" customWidth="1"/>
    <col min="3" max="3" width="14.42578125" style="1"/>
    <col min="4" max="4" width="20.5703125" style="1" customWidth="1"/>
    <col min="5" max="5" width="8.7109375" style="1" customWidth="1"/>
    <col min="6" max="6" width="9.85546875" style="1" customWidth="1"/>
    <col min="7" max="7" width="6.7109375" style="1" customWidth="1"/>
    <col min="8" max="8" width="12" style="1" customWidth="1"/>
    <col min="9" max="16384" width="14.42578125" style="1"/>
  </cols>
  <sheetData>
    <row r="1" spans="1:12" ht="39" customHeight="1">
      <c r="A1" s="11"/>
      <c r="B1" s="12"/>
      <c r="C1" s="12"/>
      <c r="D1" s="78" t="s">
        <v>0</v>
      </c>
      <c r="E1" s="12"/>
      <c r="F1" s="12"/>
      <c r="G1" s="12"/>
      <c r="H1" s="13"/>
    </row>
    <row r="2" spans="1:12" ht="30">
      <c r="A2" s="76" t="s">
        <v>1</v>
      </c>
      <c r="B2" s="77"/>
      <c r="C2" s="77"/>
      <c r="D2" s="77"/>
      <c r="E2" s="28"/>
      <c r="F2" s="29"/>
      <c r="G2" s="29"/>
      <c r="H2" s="30"/>
      <c r="L2"/>
    </row>
    <row r="3" spans="1:12" ht="12.75" customHeight="1">
      <c r="A3" s="31" t="s">
        <v>2</v>
      </c>
      <c r="B3" s="32"/>
      <c r="C3" s="32"/>
      <c r="D3" s="32"/>
      <c r="E3" s="83"/>
      <c r="F3" s="84"/>
      <c r="G3" s="84"/>
      <c r="H3" s="85"/>
    </row>
    <row r="4" spans="1:12" ht="16.5" customHeight="1">
      <c r="A4" s="23" t="s">
        <v>3</v>
      </c>
      <c r="B4" s="21"/>
      <c r="C4" s="22"/>
      <c r="D4" s="22"/>
      <c r="E4" s="2"/>
      <c r="F4" s="3"/>
      <c r="G4" s="3"/>
      <c r="H4" s="14"/>
    </row>
    <row r="5" spans="1:12" ht="12.75">
      <c r="A5" s="15"/>
      <c r="B5" s="3"/>
      <c r="C5" s="3"/>
      <c r="D5" s="3"/>
      <c r="E5" s="26"/>
      <c r="F5" s="84"/>
      <c r="G5" s="84"/>
      <c r="H5" s="85"/>
      <c r="J5" s="9"/>
    </row>
    <row r="6" spans="1:12" ht="12.75">
      <c r="A6" s="15"/>
      <c r="B6" s="3"/>
      <c r="C6" s="3"/>
      <c r="D6" s="3"/>
      <c r="E6" s="26"/>
      <c r="F6" s="84"/>
      <c r="G6" s="84"/>
      <c r="H6" s="85"/>
    </row>
    <row r="7" spans="1:12" ht="36.75" customHeight="1">
      <c r="A7" s="15"/>
      <c r="B7" s="4"/>
      <c r="C7" s="4"/>
      <c r="D7" s="4"/>
      <c r="E7" s="4"/>
      <c r="F7" s="4"/>
      <c r="G7" s="4"/>
      <c r="H7" s="16"/>
    </row>
    <row r="8" spans="1:12" ht="15.75" customHeight="1">
      <c r="A8" s="17"/>
      <c r="B8" s="86"/>
      <c r="C8" s="86"/>
      <c r="D8" s="86"/>
      <c r="E8" s="86"/>
      <c r="F8" s="86"/>
      <c r="G8" s="86"/>
      <c r="H8" s="87"/>
    </row>
    <row r="9" spans="1:12" ht="15">
      <c r="A9" s="37"/>
      <c r="B9" s="36"/>
      <c r="C9" s="36"/>
      <c r="D9" s="36"/>
      <c r="E9" s="36"/>
      <c r="F9" s="27"/>
      <c r="G9" s="86"/>
      <c r="H9" s="87"/>
    </row>
    <row r="10" spans="1:12" ht="22.5" customHeight="1">
      <c r="A10" s="35" t="s">
        <v>22</v>
      </c>
      <c r="B10" s="36"/>
      <c r="C10" s="36"/>
      <c r="D10" s="36"/>
      <c r="E10" s="36"/>
      <c r="F10" s="38" t="s">
        <v>19</v>
      </c>
      <c r="G10" s="88"/>
      <c r="H10" s="89"/>
    </row>
    <row r="11" spans="1:12" ht="22.5" customHeight="1">
      <c r="A11" s="37"/>
      <c r="B11" s="36"/>
      <c r="C11" s="36"/>
      <c r="D11" s="36"/>
      <c r="E11" s="36"/>
      <c r="F11" s="38" t="s">
        <v>23</v>
      </c>
      <c r="G11" s="88"/>
      <c r="H11" s="89"/>
    </row>
    <row r="12" spans="1:12" ht="27.75" customHeight="1">
      <c r="A12" s="17"/>
      <c r="B12" s="86"/>
      <c r="C12" s="86"/>
      <c r="D12" s="86"/>
      <c r="E12" s="86"/>
      <c r="F12" s="86"/>
      <c r="G12" s="86"/>
      <c r="H12" s="87"/>
    </row>
    <row r="13" spans="1:12" ht="12.75">
      <c r="A13" s="39" t="s">
        <v>7</v>
      </c>
      <c r="B13" s="40"/>
      <c r="C13" s="40"/>
      <c r="D13" s="41"/>
      <c r="E13" s="24" t="s">
        <v>8</v>
      </c>
      <c r="F13" s="24" t="s">
        <v>9</v>
      </c>
      <c r="G13" s="24" t="s">
        <v>10</v>
      </c>
      <c r="H13" s="25" t="s">
        <v>11</v>
      </c>
    </row>
    <row r="14" spans="1:12" ht="30" customHeight="1">
      <c r="A14" s="42" t="s">
        <v>24</v>
      </c>
      <c r="B14" s="43"/>
      <c r="C14" s="43"/>
      <c r="D14" s="44"/>
      <c r="E14" s="10">
        <v>1</v>
      </c>
      <c r="F14" s="5">
        <v>19048</v>
      </c>
      <c r="G14" s="6">
        <v>0.05</v>
      </c>
      <c r="H14" s="19">
        <f t="shared" ref="H14" si="0">E14*F14+(E14*F14*G14)</f>
        <v>20000.400000000001</v>
      </c>
    </row>
    <row r="15" spans="1:12" ht="30" customHeight="1">
      <c r="A15" s="42"/>
      <c r="B15" s="43"/>
      <c r="C15" s="43"/>
      <c r="D15" s="44"/>
      <c r="E15" s="7"/>
      <c r="F15" s="8"/>
      <c r="G15" s="6"/>
      <c r="H15" s="20"/>
    </row>
    <row r="16" spans="1:12" ht="30" customHeight="1">
      <c r="A16" s="42"/>
      <c r="B16" s="43"/>
      <c r="C16" s="43"/>
      <c r="D16" s="44"/>
      <c r="E16" s="7"/>
      <c r="F16" s="8"/>
      <c r="G16" s="6"/>
      <c r="H16" s="20"/>
    </row>
    <row r="17" spans="1:8" ht="30" customHeight="1">
      <c r="A17" s="42"/>
      <c r="B17" s="43"/>
      <c r="C17" s="43"/>
      <c r="D17" s="44"/>
      <c r="E17" s="7"/>
      <c r="F17" s="8"/>
      <c r="G17" s="6"/>
      <c r="H17" s="20"/>
    </row>
    <row r="18" spans="1:8" ht="30" customHeight="1">
      <c r="A18" s="42"/>
      <c r="B18" s="43"/>
      <c r="C18" s="43"/>
      <c r="D18" s="44"/>
      <c r="E18" s="7"/>
      <c r="F18" s="8"/>
      <c r="G18" s="6"/>
      <c r="H18" s="20"/>
    </row>
    <row r="19" spans="1:8" ht="30" customHeight="1">
      <c r="A19" s="42"/>
      <c r="B19" s="43"/>
      <c r="C19" s="43"/>
      <c r="D19" s="44"/>
      <c r="E19" s="7"/>
      <c r="F19" s="8"/>
      <c r="G19" s="6"/>
      <c r="H19" s="20"/>
    </row>
    <row r="20" spans="1:8" ht="30" customHeight="1">
      <c r="A20" s="42"/>
      <c r="B20" s="43"/>
      <c r="C20" s="43"/>
      <c r="D20" s="44"/>
      <c r="E20" s="7"/>
      <c r="F20" s="8"/>
      <c r="G20" s="6"/>
      <c r="H20" s="20"/>
    </row>
    <row r="21" spans="1:8" ht="30" customHeight="1">
      <c r="A21" s="42"/>
      <c r="B21" s="43"/>
      <c r="C21" s="43"/>
      <c r="D21" s="44"/>
      <c r="E21" s="7"/>
      <c r="F21" s="8"/>
      <c r="G21" s="6"/>
      <c r="H21" s="20"/>
    </row>
    <row r="22" spans="1:8" ht="45" customHeight="1" thickBot="1">
      <c r="A22" s="45" t="s">
        <v>13</v>
      </c>
      <c r="B22" s="46"/>
      <c r="C22" s="46"/>
      <c r="D22" s="47"/>
      <c r="E22" s="48"/>
      <c r="F22" s="91"/>
      <c r="G22" s="91"/>
      <c r="H22" s="92"/>
    </row>
    <row r="23" spans="1:8" ht="12.75" customHeight="1">
      <c r="A23" s="49" t="s">
        <v>14</v>
      </c>
      <c r="B23" s="50"/>
      <c r="C23" s="50"/>
      <c r="D23" s="51"/>
      <c r="E23" s="55" t="s">
        <v>15</v>
      </c>
      <c r="F23" s="56"/>
      <c r="G23" s="79">
        <f>H14</f>
        <v>20000.400000000001</v>
      </c>
      <c r="H23" s="80"/>
    </row>
    <row r="24" spans="1:8" ht="43.5" customHeight="1">
      <c r="A24" s="52"/>
      <c r="B24" s="53"/>
      <c r="C24" s="53"/>
      <c r="D24" s="54"/>
      <c r="E24" s="57"/>
      <c r="F24" s="58"/>
      <c r="G24" s="81"/>
      <c r="H24" s="82"/>
    </row>
    <row r="25" spans="1:8" ht="30" customHeight="1">
      <c r="A25" s="63" t="s">
        <v>16</v>
      </c>
      <c r="B25" s="64"/>
      <c r="C25" s="64"/>
      <c r="D25" s="65"/>
      <c r="E25" s="72" t="s">
        <v>17</v>
      </c>
      <c r="F25" s="64"/>
      <c r="G25" s="64"/>
      <c r="H25" s="73"/>
    </row>
    <row r="26" spans="1:8" ht="11.25" customHeight="1">
      <c r="A26" s="66"/>
      <c r="B26" s="67"/>
      <c r="C26" s="67"/>
      <c r="D26" s="68"/>
      <c r="E26" s="67"/>
      <c r="F26" s="67"/>
      <c r="G26" s="67"/>
      <c r="H26" s="74"/>
    </row>
    <row r="27" spans="1:8" ht="37.5" customHeight="1" thickBot="1">
      <c r="A27" s="69"/>
      <c r="B27" s="70"/>
      <c r="C27" s="70"/>
      <c r="D27" s="71"/>
      <c r="E27" s="70"/>
      <c r="F27" s="70"/>
      <c r="G27" s="70"/>
      <c r="H27" s="75"/>
    </row>
  </sheetData>
  <mergeCells count="29">
    <mergeCell ref="A25:D27"/>
    <mergeCell ref="E25:H27"/>
    <mergeCell ref="A22:D22"/>
    <mergeCell ref="E22:H22"/>
    <mergeCell ref="A23:D24"/>
    <mergeCell ref="E23:F24"/>
    <mergeCell ref="G23:H24"/>
    <mergeCell ref="A17:D17"/>
    <mergeCell ref="A18:D18"/>
    <mergeCell ref="A19:D19"/>
    <mergeCell ref="A20:D20"/>
    <mergeCell ref="A21:D21"/>
    <mergeCell ref="B12:H12"/>
    <mergeCell ref="A13:D13"/>
    <mergeCell ref="A14:D14"/>
    <mergeCell ref="A15:D15"/>
    <mergeCell ref="A16:D16"/>
    <mergeCell ref="B8:H8"/>
    <mergeCell ref="A9:E9"/>
    <mergeCell ref="F9:H9"/>
    <mergeCell ref="A10:E11"/>
    <mergeCell ref="F10:H10"/>
    <mergeCell ref="F11:H11"/>
    <mergeCell ref="E6:H6"/>
    <mergeCell ref="A2:D2"/>
    <mergeCell ref="E2:H2"/>
    <mergeCell ref="A3:D3"/>
    <mergeCell ref="E3:H3"/>
    <mergeCell ref="E5:H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A16FC0-455A-45BF-A329-A334A5CED563}"/>
</file>

<file path=customXml/itemProps2.xml><?xml version="1.0" encoding="utf-8"?>
<ds:datastoreItem xmlns:ds="http://schemas.openxmlformats.org/officeDocument/2006/customXml" ds:itemID="{ADCC6890-A038-406D-A14E-E397EAA2C2C8}"/>
</file>

<file path=customXml/itemProps3.xml><?xml version="1.0" encoding="utf-8"?>
<ds:datastoreItem xmlns:ds="http://schemas.openxmlformats.org/officeDocument/2006/customXml" ds:itemID="{18379A9D-3F12-412B-B78E-29D3EFB6BB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Abdul Irfan Yerraballi</cp:lastModifiedBy>
  <cp:revision/>
  <dcterms:created xsi:type="dcterms:W3CDTF">2024-10-03T10:55:51Z</dcterms:created>
  <dcterms:modified xsi:type="dcterms:W3CDTF">2024-10-07T10:07:18Z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</Properties>
</file>