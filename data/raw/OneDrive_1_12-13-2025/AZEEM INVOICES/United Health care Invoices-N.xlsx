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40" documentId="11_D26BF140113367D255BEC27BF0431102B7506BDF" xr6:coauthVersionLast="47" xr6:coauthVersionMax="47" xr10:uidLastSave="{553C5543-EF30-4A33-B14B-837F28CADFCE}"/>
  <bookViews>
    <workbookView xWindow="-108" yWindow="-108" windowWidth="23256" windowHeight="12456" xr2:uid="{00000000-000D-0000-FFFF-FFFF00000000}"/>
  </bookViews>
  <sheets>
    <sheet name="81529-24-UNC" sheetId="1" r:id="rId1"/>
    <sheet name="81652-24-UNC" sheetId="2" r:id="rId2"/>
    <sheet name="81757-24-UNC" sheetId="3" r:id="rId3"/>
  </sheets>
  <definedNames>
    <definedName name="_xlnm.Print_Area" localSheetId="0">'81529-24-UNC'!$A$1:$F$30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20" i="3" s="1"/>
  <c r="F22" i="3" s="1"/>
  <c r="F13" i="2"/>
  <c r="F20" i="2" s="1"/>
  <c r="F22" i="2" s="1"/>
  <c r="F12" i="1"/>
  <c r="F20" i="1" s="1"/>
  <c r="F22" i="1" s="1"/>
  <c r="F23" i="1" l="1"/>
  <c r="F25" i="1" s="1"/>
  <c r="F26" i="1" s="1"/>
  <c r="F23" i="2"/>
  <c r="F25" i="2" s="1"/>
  <c r="F26" i="2" s="1"/>
  <c r="F23" i="3"/>
  <c r="F25" i="3" s="1"/>
  <c r="F26" i="3" s="1"/>
</calcChain>
</file>

<file path=xl/sharedStrings.xml><?xml version="1.0" encoding="utf-8"?>
<sst xmlns="http://schemas.openxmlformats.org/spreadsheetml/2006/main" count="81" uniqueCount="34">
  <si>
    <t>RECEIPT</t>
  </si>
  <si>
    <t>United Health Care</t>
  </si>
  <si>
    <t>9599 Bay Street, Ottawa, AB,Canada, A1L5W5. 
Phone (608) 145-0412</t>
  </si>
  <si>
    <r>
      <t xml:space="preserve">Invoice No- </t>
    </r>
    <r>
      <rPr>
        <sz val="10"/>
        <color rgb="FF000000"/>
        <rFont val="Roboto"/>
      </rPr>
      <t>81529-24/UNC</t>
    </r>
  </si>
  <si>
    <r>
      <t xml:space="preserve">Invoice Date- </t>
    </r>
    <r>
      <rPr>
        <sz val="10"/>
        <color rgb="FF000000"/>
        <rFont val="Roboto"/>
      </rPr>
      <t>2024/08/15</t>
    </r>
  </si>
  <si>
    <t>BILL TO</t>
  </si>
  <si>
    <t>SHIP TO</t>
  </si>
  <si>
    <t>Steel Horse Auto Assembly NJ Inc</t>
  </si>
  <si>
    <t>0015 Angela Mission, Kathyborough, New Jersey,</t>
  </si>
  <si>
    <t>United States. Phone (632) 363 4650</t>
  </si>
  <si>
    <t>DESCRIPTION</t>
  </si>
  <si>
    <t xml:space="preserve">AMOUNT </t>
  </si>
  <si>
    <t>TOTAL</t>
  </si>
  <si>
    <t>Group Health Insurance (100 employees)</t>
  </si>
  <si>
    <t>Terms &amp; Instructions</t>
  </si>
  <si>
    <t>SUBTOTAL</t>
  </si>
  <si>
    <r>
      <t xml:space="preserve">Please make the cheque payable to </t>
    </r>
    <r>
      <rPr>
        <b/>
        <sz val="10"/>
        <color rgb="FF000000"/>
        <rFont val="Roboto"/>
      </rPr>
      <t xml:space="preserve">(United Health Care). </t>
    </r>
    <r>
      <rPr>
        <sz val="10"/>
        <color rgb="FF000000"/>
        <rFont val="Roboto"/>
      </rPr>
      <t xml:space="preserve">Payment is due in 30 days
</t>
    </r>
  </si>
  <si>
    <t>DISCOUNT</t>
  </si>
  <si>
    <t>SUBTOTAL LESS DISCOUNT</t>
  </si>
  <si>
    <t>TAX AMOUNT</t>
  </si>
  <si>
    <t>AMOUNT RECEIVED</t>
  </si>
  <si>
    <t>BALANCE DUE</t>
  </si>
  <si>
    <t>Thank you for your business</t>
  </si>
  <si>
    <t>GRAND TOTAL</t>
  </si>
  <si>
    <r>
      <t>Invoice No</t>
    </r>
    <r>
      <rPr>
        <b/>
        <sz val="11"/>
        <color rgb="FF000000"/>
        <rFont val="Roboto"/>
      </rPr>
      <t>-</t>
    </r>
    <r>
      <rPr>
        <b/>
        <sz val="10"/>
        <color rgb="FF000000"/>
        <rFont val="Roboto"/>
      </rPr>
      <t xml:space="preserve"> </t>
    </r>
    <r>
      <rPr>
        <sz val="10"/>
        <color rgb="FF000000"/>
        <rFont val="Roboto"/>
      </rPr>
      <t>81652-24/UNC</t>
    </r>
  </si>
  <si>
    <t>Steel Horse Auto Assembly Lincoln Inc</t>
  </si>
  <si>
    <t>21857 Clayton Forges Suite 897, Sherrybury, Lincoln,</t>
  </si>
  <si>
    <t xml:space="preserve">21857 Clayton Forges Suite 897, Sherrybury, Lincoln, </t>
  </si>
  <si>
    <t>United States, 17355. Phone (186) 556 7297</t>
  </si>
  <si>
    <r>
      <t xml:space="preserve">Invoice No- </t>
    </r>
    <r>
      <rPr>
        <sz val="10"/>
        <color rgb="FF000000"/>
        <rFont val="Roboto"/>
      </rPr>
      <t>81757-24/UNC</t>
    </r>
  </si>
  <si>
    <t>Steel Horse Auto Inc</t>
  </si>
  <si>
    <t>265 Lopez Orchard, East John, Michigan, United States,</t>
  </si>
  <si>
    <t>265 Lopez Orchard, East John Michigan, United States,</t>
  </si>
  <si>
    <t>43306. Phone (778) 287 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</si>
</sst>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CAD]\ * #,##0.00_-;\-[$CAD]\ * #,##0.00_-;_-[$CAD]\ * &quot;-&quot;??_-;_-@_-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-&quot;$&quot;* #,##0.00_-;\-&quot;$&quot;* #,##0.00_-;_-&quot;$&quot;* &quot;-&quot;??_-;_-@"/>
    <numFmt numFmtId="168" formatCode="_-[$CAD]\ * #,##0_-;\-[$CAD]\ * #,##0_-;_-[$CAD]\ * &quot;-&quot;??_-;_-@_-"/>
  </numFmts>
  <fonts count="31" x14ac:knownFonts="1">
    <font>
      <sz val="10"/>
      <name val="Arial"/>
      <family val="2"/>
    </font>
    <font>
      <sz val="10"/>
      <color rgb="FF000000"/>
      <name val="Arial"/>
      <family val="2"/>
    </font>
    <font>
      <b/>
      <sz val="22"/>
      <color rgb="FF4472C4"/>
      <name val="Roboto"/>
    </font>
    <font>
      <b/>
      <sz val="21"/>
      <color rgb="FF666666"/>
      <name val="Roboto"/>
    </font>
    <font>
      <sz val="10"/>
      <name val="Arial"/>
      <family val="2"/>
    </font>
    <font>
      <sz val="18"/>
      <color rgb="FF7F7F7F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9"/>
      <color rgb="FF1F3864"/>
      <name val="Roboto"/>
    </font>
    <font>
      <i/>
      <sz val="9"/>
      <color rgb="FF333F4F"/>
      <name val="Roboto"/>
    </font>
    <font>
      <sz val="11"/>
      <color rgb="FF1F3864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9"/>
      <color rgb="FF000000"/>
      <name val="Roboto"/>
    </font>
    <font>
      <b/>
      <sz val="9"/>
      <color theme="1"/>
      <name val="Roboto"/>
    </font>
    <font>
      <b/>
      <sz val="11"/>
      <color theme="1"/>
      <name val="Roboto"/>
    </font>
    <font>
      <sz val="12"/>
      <color rgb="FF000000"/>
      <name val="Roboto"/>
    </font>
    <font>
      <sz val="9"/>
      <color rgb="FF333F4F"/>
      <name val="Roboto"/>
    </font>
    <font>
      <sz val="10"/>
      <color rgb="FF333F4F"/>
      <name val="Roboto"/>
    </font>
    <font>
      <sz val="10"/>
      <color theme="1"/>
      <name val="Roboto"/>
    </font>
    <font>
      <i/>
      <sz val="10"/>
      <color theme="1"/>
      <name val="Arial"/>
      <family val="2"/>
    </font>
    <font>
      <b/>
      <sz val="11"/>
      <color rgb="FF000000"/>
      <name val="Roboto"/>
    </font>
    <font>
      <b/>
      <sz val="28"/>
      <color theme="1"/>
      <name val="Roboto"/>
    </font>
    <font>
      <b/>
      <sz val="20"/>
      <color theme="1"/>
      <name val="Roboto"/>
    </font>
    <font>
      <b/>
      <sz val="20"/>
      <color theme="1"/>
      <name val="Roboto"/>
    </font>
    <font>
      <b/>
      <sz val="11"/>
      <color theme="1"/>
      <name val="Roboto"/>
    </font>
    <font>
      <b/>
      <sz val="10"/>
      <color theme="1"/>
      <name val="Roboto"/>
    </font>
    <font>
      <b/>
      <sz val="12"/>
      <color theme="1"/>
      <name val="Arial"/>
      <family val="2"/>
    </font>
    <font>
      <b/>
      <sz val="8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rgb="FFC00000"/>
      </patternFill>
    </fill>
    <fill>
      <patternFill patternType="solid">
        <fgColor theme="4" tint="-0.249977111117893"/>
        <bgColor rgb="FFFF7D7D"/>
      </patternFill>
    </fill>
    <fill>
      <patternFill patternType="solid">
        <fgColor theme="4" tint="0.39997558519241921"/>
        <bgColor rgb="FFFF7D7D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999999"/>
      </top>
      <bottom style="thin">
        <color indexed="64"/>
      </bottom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0" borderId="0" xfId="1" applyFont="1" applyAlignment="1">
      <alignment horizontal="right" vertical="center"/>
    </xf>
    <xf numFmtId="0" fontId="1" fillId="0" borderId="0" xfId="1"/>
    <xf numFmtId="0" fontId="5" fillId="0" borderId="0" xfId="1" applyFont="1" applyAlignment="1">
      <alignment horizontal="right" vertical="center" wrapText="1"/>
    </xf>
    <xf numFmtId="14" fontId="9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top"/>
    </xf>
    <xf numFmtId="0" fontId="12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164" fontId="14" fillId="0" borderId="28" xfId="1" applyNumberFormat="1" applyFont="1" applyBorder="1" applyAlignment="1">
      <alignment horizontal="center" vertical="center"/>
    </xf>
    <xf numFmtId="2" fontId="14" fillId="0" borderId="0" xfId="1" applyNumberFormat="1" applyFont="1" applyAlignment="1">
      <alignment horizontal="right" vertical="center"/>
    </xf>
    <xf numFmtId="166" fontId="14" fillId="0" borderId="28" xfId="1" applyNumberFormat="1" applyFont="1" applyBorder="1" applyAlignment="1">
      <alignment horizontal="center" vertical="center"/>
    </xf>
    <xf numFmtId="2" fontId="14" fillId="0" borderId="28" xfId="1" applyNumberFormat="1" applyFont="1" applyBorder="1" applyAlignment="1">
      <alignment horizontal="center" vertical="center"/>
    </xf>
    <xf numFmtId="2" fontId="14" fillId="0" borderId="0" xfId="1" applyNumberFormat="1" applyFont="1" applyAlignment="1">
      <alignment vertical="center"/>
    </xf>
    <xf numFmtId="167" fontId="16" fillId="0" borderId="0" xfId="1" applyNumberFormat="1" applyFont="1" applyAlignment="1">
      <alignment vertical="center"/>
    </xf>
    <xf numFmtId="0" fontId="18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center"/>
    </xf>
    <xf numFmtId="0" fontId="21" fillId="0" borderId="0" xfId="1" applyFont="1"/>
    <xf numFmtId="0" fontId="22" fillId="0" borderId="4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13" fillId="5" borderId="22" xfId="1" applyFont="1" applyFill="1" applyBorder="1" applyAlignment="1">
      <alignment horizontal="center" vertical="center"/>
    </xf>
    <xf numFmtId="168" fontId="14" fillId="0" borderId="28" xfId="1" applyNumberFormat="1" applyFont="1" applyBorder="1" applyAlignment="1">
      <alignment horizontal="left" vertical="center" indent="2"/>
    </xf>
    <xf numFmtId="168" fontId="15" fillId="0" borderId="31" xfId="1" applyNumberFormat="1" applyFont="1" applyBorder="1" applyAlignment="1">
      <alignment horizontal="left" vertical="center" indent="2"/>
    </xf>
    <xf numFmtId="164" fontId="15" fillId="0" borderId="31" xfId="1" applyNumberFormat="1" applyFont="1" applyBorder="1" applyAlignment="1">
      <alignment horizontal="left" vertical="center" indent="2"/>
    </xf>
    <xf numFmtId="168" fontId="16" fillId="7" borderId="31" xfId="1" applyNumberFormat="1" applyFont="1" applyFill="1" applyBorder="1" applyAlignment="1">
      <alignment horizontal="left" vertical="center" indent="2"/>
    </xf>
    <xf numFmtId="168" fontId="14" fillId="0" borderId="28" xfId="1" applyNumberFormat="1" applyFont="1" applyBorder="1" applyAlignment="1">
      <alignment horizontal="left" vertical="center" indent="3"/>
    </xf>
    <xf numFmtId="168" fontId="15" fillId="0" borderId="31" xfId="1" applyNumberFormat="1" applyFont="1" applyBorder="1" applyAlignment="1">
      <alignment horizontal="left" vertical="center" indent="3"/>
    </xf>
    <xf numFmtId="164" fontId="15" fillId="0" borderId="31" xfId="1" applyNumberFormat="1" applyFont="1" applyBorder="1" applyAlignment="1">
      <alignment horizontal="left" vertical="center" indent="3"/>
    </xf>
    <xf numFmtId="168" fontId="16" fillId="7" borderId="31" xfId="1" applyNumberFormat="1" applyFont="1" applyFill="1" applyBorder="1" applyAlignment="1">
      <alignment horizontal="left" vertical="center" indent="3"/>
    </xf>
    <xf numFmtId="0" fontId="24" fillId="4" borderId="1" xfId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25" fillId="4" borderId="3" xfId="1" applyFont="1" applyFill="1" applyBorder="1" applyAlignment="1">
      <alignment horizontal="center" vertical="center"/>
    </xf>
    <xf numFmtId="0" fontId="26" fillId="0" borderId="4" xfId="1" applyFont="1" applyBorder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3" fillId="0" borderId="5" xfId="1" applyFont="1" applyBorder="1" applyAlignment="1">
      <alignment horizontal="right" vertical="center"/>
    </xf>
    <xf numFmtId="0" fontId="27" fillId="0" borderId="4" xfId="1" applyFont="1" applyBorder="1" applyAlignment="1">
      <alignment horizontal="left" vertical="top" wrapText="1"/>
    </xf>
    <xf numFmtId="0" fontId="27" fillId="0" borderId="0" xfId="1" applyFont="1" applyAlignment="1">
      <alignment horizontal="left" vertical="top" wrapText="1"/>
    </xf>
    <xf numFmtId="0" fontId="6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28" fillId="3" borderId="6" xfId="1" applyFont="1" applyFill="1" applyBorder="1" applyAlignment="1">
      <alignment horizontal="left" vertical="center"/>
    </xf>
    <xf numFmtId="0" fontId="28" fillId="3" borderId="7" xfId="1" applyFont="1" applyFill="1" applyBorder="1" applyAlignment="1">
      <alignment horizontal="left" vertical="center"/>
    </xf>
    <xf numFmtId="0" fontId="28" fillId="3" borderId="8" xfId="1" applyFont="1" applyFill="1" applyBorder="1" applyAlignment="1">
      <alignment horizontal="left" vertical="center"/>
    </xf>
    <xf numFmtId="0" fontId="28" fillId="3" borderId="9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4" xfId="1" applyFont="1" applyFill="1" applyBorder="1" applyAlignment="1">
      <alignment horizontal="left" vertical="center"/>
    </xf>
    <xf numFmtId="0" fontId="9" fillId="3" borderId="5" xfId="1" applyFont="1" applyFill="1" applyBorder="1" applyAlignment="1">
      <alignment horizontal="left" vertical="center"/>
    </xf>
    <xf numFmtId="0" fontId="1" fillId="3" borderId="4" xfId="1" applyFill="1" applyBorder="1" applyAlignment="1">
      <alignment vertical="top"/>
    </xf>
    <xf numFmtId="0" fontId="1" fillId="3" borderId="0" xfId="1" applyFill="1" applyAlignment="1">
      <alignment vertical="top"/>
    </xf>
    <xf numFmtId="0" fontId="1" fillId="3" borderId="14" xfId="1" applyFill="1" applyBorder="1" applyAlignment="1">
      <alignment vertical="top"/>
    </xf>
    <xf numFmtId="0" fontId="9" fillId="3" borderId="15" xfId="1" applyFont="1" applyFill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17" xfId="1" applyFont="1" applyFill="1" applyBorder="1" applyAlignment="1">
      <alignment horizontal="left" vertical="center"/>
    </xf>
    <xf numFmtId="0" fontId="13" fillId="5" borderId="18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4" fillId="2" borderId="20" xfId="1" applyFont="1" applyFill="1" applyBorder="1"/>
    <xf numFmtId="0" fontId="14" fillId="0" borderId="2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168" fontId="14" fillId="0" borderId="26" xfId="1" applyNumberFormat="1" applyFont="1" applyBorder="1" applyAlignment="1">
      <alignment horizontal="left" vertical="center" indent="6"/>
    </xf>
    <xf numFmtId="168" fontId="4" fillId="0" borderId="27" xfId="1" applyNumberFormat="1" applyFont="1" applyBorder="1" applyAlignment="1">
      <alignment horizontal="left" indent="6"/>
    </xf>
    <xf numFmtId="165" fontId="14" fillId="0" borderId="26" xfId="1" applyNumberFormat="1" applyFont="1" applyBorder="1" applyAlignment="1">
      <alignment horizontal="center" vertical="center"/>
    </xf>
    <xf numFmtId="165" fontId="4" fillId="0" borderId="27" xfId="1" applyNumberFormat="1" applyFont="1" applyBorder="1"/>
    <xf numFmtId="0" fontId="28" fillId="0" borderId="29" xfId="1" applyFont="1" applyBorder="1" applyAlignment="1">
      <alignment horizontal="center" vertical="center"/>
    </xf>
    <xf numFmtId="0" fontId="28" fillId="0" borderId="30" xfId="1" applyFont="1" applyBorder="1" applyAlignment="1">
      <alignment horizontal="center" vertical="center"/>
    </xf>
    <xf numFmtId="0" fontId="30" fillId="0" borderId="41" xfId="1" applyFont="1" applyBorder="1" applyAlignment="1">
      <alignment horizontal="right" vertical="center"/>
    </xf>
    <xf numFmtId="0" fontId="30" fillId="0" borderId="33" xfId="1" applyFont="1" applyBorder="1" applyAlignment="1">
      <alignment horizontal="right" vertical="center"/>
    </xf>
    <xf numFmtId="0" fontId="9" fillId="0" borderId="0" xfId="1" applyFont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 wrapText="1"/>
    </xf>
    <xf numFmtId="0" fontId="19" fillId="0" borderId="0" xfId="1" applyFont="1" applyAlignment="1">
      <alignment horizontal="left" vertical="center"/>
    </xf>
    <xf numFmtId="0" fontId="1" fillId="0" borderId="0" xfId="1"/>
    <xf numFmtId="0" fontId="20" fillId="0" borderId="0" xfId="1" applyFont="1" applyAlignment="1">
      <alignment horizontal="center"/>
    </xf>
    <xf numFmtId="0" fontId="29" fillId="2" borderId="32" xfId="1" applyFont="1" applyFill="1" applyBorder="1" applyAlignment="1">
      <alignment horizontal="right" vertical="center"/>
    </xf>
    <xf numFmtId="0" fontId="29" fillId="2" borderId="0" xfId="1" applyFont="1" applyFill="1" applyAlignment="1">
      <alignment horizontal="right" vertical="center"/>
    </xf>
    <xf numFmtId="0" fontId="29" fillId="2" borderId="36" xfId="1" applyFont="1" applyFill="1" applyBorder="1" applyAlignment="1">
      <alignment horizontal="right" vertical="center"/>
    </xf>
    <xf numFmtId="0" fontId="29" fillId="2" borderId="35" xfId="1" applyFont="1" applyFill="1" applyBorder="1" applyAlignment="1">
      <alignment horizontal="right" vertical="center"/>
    </xf>
    <xf numFmtId="168" fontId="17" fillId="6" borderId="31" xfId="1" applyNumberFormat="1" applyFont="1" applyFill="1" applyBorder="1" applyAlignment="1">
      <alignment horizontal="left" vertical="center" indent="3"/>
    </xf>
    <xf numFmtId="168" fontId="17" fillId="6" borderId="37" xfId="1" applyNumberFormat="1" applyFont="1" applyFill="1" applyBorder="1" applyAlignment="1">
      <alignment horizontal="left" vertical="center" indent="3"/>
    </xf>
    <xf numFmtId="0" fontId="24" fillId="3" borderId="1" xfId="1" applyFont="1" applyFill="1" applyBorder="1" applyAlignment="1">
      <alignment horizontal="center" vertical="center"/>
    </xf>
    <xf numFmtId="0" fontId="25" fillId="3" borderId="2" xfId="1" applyFont="1" applyFill="1" applyBorder="1" applyAlignment="1">
      <alignment horizontal="center" vertical="center"/>
    </xf>
    <xf numFmtId="0" fontId="25" fillId="3" borderId="3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right" vertical="center"/>
    </xf>
    <xf numFmtId="0" fontId="3" fillId="0" borderId="13" xfId="1" applyFont="1" applyBorder="1" applyAlignment="1">
      <alignment horizontal="right" vertical="center"/>
    </xf>
    <xf numFmtId="164" fontId="14" fillId="0" borderId="26" xfId="1" applyNumberFormat="1" applyFont="1" applyBorder="1" applyAlignment="1">
      <alignment horizontal="center" vertical="center"/>
    </xf>
    <xf numFmtId="164" fontId="4" fillId="0" borderId="27" xfId="1" applyNumberFormat="1" applyFont="1" applyBorder="1"/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168" fontId="17" fillId="6" borderId="31" xfId="1" applyNumberFormat="1" applyFont="1" applyFill="1" applyBorder="1" applyAlignment="1">
      <alignment horizontal="left" vertical="center" indent="2"/>
    </xf>
    <xf numFmtId="168" fontId="17" fillId="6" borderId="37" xfId="1" applyNumberFormat="1" applyFont="1" applyFill="1" applyBorder="1" applyAlignment="1">
      <alignment horizontal="left" vertical="center" indent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0000"/>
      <color rgb="FFA50021"/>
      <color rgb="FFA70905"/>
      <color rgb="FF811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172460</xdr:colOff>
      <xdr:row>1</xdr:row>
      <xdr:rowOff>38100</xdr:rowOff>
    </xdr:from>
    <xdr:to>
      <xdr:col>5</xdr:col>
      <xdr:colOff>1352550</xdr:colOff>
      <xdr:row>2</xdr:row>
      <xdr:rowOff>866775</xdr:rowOff>
    </xdr:to>
    <xdr:pic>
      <xdr:nvPicPr>
        <xdr:cNvPr id="2" name="Picture 1" descr="C:\Users\Azeem\Downloads\WhatsApp Image 2024-10-02 at 2.14.38 A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5960" y="495300"/>
          <a:ext cx="118009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1</xdr:row>
      <xdr:rowOff>38100</xdr:rowOff>
    </xdr:from>
    <xdr:to>
      <xdr:col>5</xdr:col>
      <xdr:colOff>1294390</xdr:colOff>
      <xdr:row>3</xdr:row>
      <xdr:rowOff>514350</xdr:rowOff>
    </xdr:to>
    <xdr:pic>
      <xdr:nvPicPr>
        <xdr:cNvPr id="2" name="Picture 1" descr="C:\Users\Azeem\Downloads\WhatsApp Image 2024-10-02 at 2.14.38 A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95300"/>
          <a:ext cx="118009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57150</xdr:rowOff>
    </xdr:from>
    <xdr:to>
      <xdr:col>5</xdr:col>
      <xdr:colOff>1218190</xdr:colOff>
      <xdr:row>3</xdr:row>
      <xdr:rowOff>533400</xdr:rowOff>
    </xdr:to>
    <xdr:pic>
      <xdr:nvPicPr>
        <xdr:cNvPr id="2" name="Picture 1" descr="C:\Users\Azeem\Downloads\WhatsApp Image 2024-10-02 at 2.14.38 A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514350"/>
          <a:ext cx="118009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8">
    <tabColor rgb="FF8496B0"/>
    <outlinePr summaryBelow="0" summaryRight="0"/>
    <pageSetUpPr fitToPage="1"/>
  </sheetPr>
  <dimension ref="A1:M992"/>
  <sheetViews>
    <sheetView showGridLines="0" tabSelected="1" topLeftCell="A13" zoomScaleNormal="100" workbookViewId="0">
      <selection activeCell="D20" sqref="D20:E20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8.6640625" style="2" customWidth="1"/>
    <col min="4" max="4" width="12.109375" style="2" customWidth="1"/>
    <col min="5" max="5" width="15.33203125" style="2" customWidth="1"/>
    <col min="6" max="6" width="24.554687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10" ht="36.6" customHeight="1" thickBot="1" x14ac:dyDescent="0.3">
      <c r="A1" s="32" t="s">
        <v>0</v>
      </c>
      <c r="B1" s="33"/>
      <c r="C1" s="33"/>
      <c r="D1" s="33"/>
      <c r="E1" s="33"/>
      <c r="F1" s="34"/>
      <c r="G1" s="1"/>
    </row>
    <row r="2" spans="1:10" ht="30" customHeight="1" x14ac:dyDescent="0.25">
      <c r="A2" s="35" t="s">
        <v>1</v>
      </c>
      <c r="B2" s="36"/>
      <c r="C2" s="36"/>
      <c r="D2" s="36"/>
      <c r="E2" s="37"/>
      <c r="F2" s="38"/>
      <c r="G2" s="1"/>
      <c r="J2"/>
    </row>
    <row r="3" spans="1:10" ht="70.5" customHeight="1" x14ac:dyDescent="0.25">
      <c r="A3" s="39" t="s">
        <v>2</v>
      </c>
      <c r="B3" s="40"/>
      <c r="C3" s="40"/>
      <c r="D3" s="40"/>
      <c r="E3" s="37"/>
      <c r="F3" s="38"/>
      <c r="G3" s="3"/>
      <c r="J3"/>
    </row>
    <row r="4" spans="1:10" ht="17.399999999999999" customHeight="1" x14ac:dyDescent="0.25">
      <c r="A4" s="41" t="s">
        <v>3</v>
      </c>
      <c r="B4" s="42"/>
      <c r="C4" s="43"/>
      <c r="D4" s="42" t="s">
        <v>4</v>
      </c>
      <c r="E4" s="42"/>
      <c r="F4" s="47"/>
      <c r="G4" s="4"/>
    </row>
    <row r="5" spans="1:10" ht="16.95" customHeight="1" x14ac:dyDescent="0.25">
      <c r="A5" s="44"/>
      <c r="B5" s="45"/>
      <c r="C5" s="46"/>
      <c r="D5" s="45"/>
      <c r="E5" s="45"/>
      <c r="F5" s="48"/>
      <c r="G5" s="5"/>
    </row>
    <row r="6" spans="1:10" ht="22.2" customHeight="1" x14ac:dyDescent="0.25">
      <c r="A6" s="49" t="s">
        <v>5</v>
      </c>
      <c r="B6" s="50"/>
      <c r="C6" s="51"/>
      <c r="D6" s="50" t="s">
        <v>6</v>
      </c>
      <c r="E6" s="50"/>
      <c r="F6" s="52"/>
      <c r="G6" s="6"/>
    </row>
    <row r="7" spans="1:10" ht="18" customHeight="1" x14ac:dyDescent="0.25">
      <c r="A7" s="53" t="s">
        <v>7</v>
      </c>
      <c r="B7" s="54"/>
      <c r="C7" s="55"/>
      <c r="D7" s="54" t="s">
        <v>7</v>
      </c>
      <c r="E7" s="54"/>
      <c r="F7" s="56"/>
      <c r="G7" s="7"/>
    </row>
    <row r="8" spans="1:10" ht="15.75" customHeight="1" x14ac:dyDescent="0.25">
      <c r="A8" s="53" t="s">
        <v>8</v>
      </c>
      <c r="B8" s="54"/>
      <c r="C8" s="55"/>
      <c r="D8" s="54" t="s">
        <v>8</v>
      </c>
      <c r="E8" s="54"/>
      <c r="F8" s="56"/>
      <c r="G8" s="8"/>
    </row>
    <row r="9" spans="1:10" ht="18" customHeight="1" x14ac:dyDescent="0.25">
      <c r="A9" s="57" t="s">
        <v>9</v>
      </c>
      <c r="B9" s="58"/>
      <c r="C9" s="59"/>
      <c r="D9" s="54" t="s">
        <v>9</v>
      </c>
      <c r="E9" s="54"/>
      <c r="F9" s="56"/>
      <c r="G9" s="9"/>
    </row>
    <row r="10" spans="1:10" ht="18" customHeight="1" x14ac:dyDescent="0.25">
      <c r="A10" s="60"/>
      <c r="B10" s="61"/>
      <c r="C10" s="62"/>
      <c r="D10" s="54"/>
      <c r="E10" s="54"/>
      <c r="F10" s="56"/>
      <c r="G10" s="9"/>
    </row>
    <row r="11" spans="1:10" ht="18" customHeight="1" x14ac:dyDescent="0.25">
      <c r="A11" s="63" t="s">
        <v>10</v>
      </c>
      <c r="B11" s="64"/>
      <c r="C11" s="65"/>
      <c r="D11" s="66" t="s">
        <v>11</v>
      </c>
      <c r="E11" s="67"/>
      <c r="F11" s="23" t="s">
        <v>12</v>
      </c>
      <c r="G11" s="5"/>
    </row>
    <row r="12" spans="1:10" ht="18" customHeight="1" x14ac:dyDescent="0.25">
      <c r="A12" s="68" t="s">
        <v>13</v>
      </c>
      <c r="B12" s="69"/>
      <c r="C12" s="70"/>
      <c r="D12" s="71">
        <v>237142.85709999999</v>
      </c>
      <c r="E12" s="72"/>
      <c r="F12" s="28">
        <f>D12</f>
        <v>237142.85709999999</v>
      </c>
      <c r="G12" s="11"/>
    </row>
    <row r="13" spans="1:10" ht="18" customHeight="1" x14ac:dyDescent="0.25">
      <c r="A13" s="68"/>
      <c r="B13" s="69"/>
      <c r="C13" s="70"/>
      <c r="D13" s="73"/>
      <c r="E13" s="74"/>
      <c r="F13" s="12"/>
      <c r="G13" s="11"/>
    </row>
    <row r="14" spans="1:10" ht="18" customHeight="1" x14ac:dyDescent="0.25">
      <c r="A14" s="68"/>
      <c r="B14" s="69"/>
      <c r="C14" s="70"/>
      <c r="D14" s="73"/>
      <c r="E14" s="74"/>
      <c r="F14" s="12"/>
      <c r="G14" s="11"/>
    </row>
    <row r="15" spans="1:10" ht="18" customHeight="1" x14ac:dyDescent="0.25">
      <c r="A15" s="68"/>
      <c r="B15" s="69"/>
      <c r="C15" s="70"/>
      <c r="D15" s="73"/>
      <c r="E15" s="74"/>
      <c r="F15" s="12"/>
      <c r="G15" s="11"/>
    </row>
    <row r="16" spans="1:10" ht="18" customHeight="1" x14ac:dyDescent="0.25">
      <c r="A16" s="68"/>
      <c r="B16" s="69"/>
      <c r="C16" s="70"/>
      <c r="D16" s="73"/>
      <c r="E16" s="74"/>
      <c r="F16" s="12"/>
      <c r="G16" s="11"/>
    </row>
    <row r="17" spans="1:13" ht="18" customHeight="1" x14ac:dyDescent="0.25">
      <c r="A17" s="68"/>
      <c r="B17" s="69"/>
      <c r="C17" s="70"/>
      <c r="D17" s="73"/>
      <c r="E17" s="74"/>
      <c r="F17" s="12"/>
      <c r="G17" s="11"/>
    </row>
    <row r="18" spans="1:13" ht="18" customHeight="1" x14ac:dyDescent="0.25">
      <c r="A18" s="68"/>
      <c r="B18" s="69"/>
      <c r="C18" s="70"/>
      <c r="D18" s="73"/>
      <c r="E18" s="74"/>
      <c r="F18" s="12"/>
      <c r="G18" s="11"/>
    </row>
    <row r="19" spans="1:13" ht="18" customHeight="1" x14ac:dyDescent="0.25">
      <c r="A19" s="68"/>
      <c r="B19" s="69"/>
      <c r="C19" s="70"/>
      <c r="D19" s="73"/>
      <c r="E19" s="74"/>
      <c r="F19" s="13"/>
      <c r="G19" s="11"/>
    </row>
    <row r="20" spans="1:13" ht="19.5" customHeight="1" x14ac:dyDescent="0.25">
      <c r="A20" s="75" t="s">
        <v>14</v>
      </c>
      <c r="B20" s="76"/>
      <c r="C20" s="76"/>
      <c r="D20" s="77" t="s">
        <v>15</v>
      </c>
      <c r="E20" s="78"/>
      <c r="F20" s="29">
        <f>F12</f>
        <v>237142.85709999999</v>
      </c>
      <c r="G20" s="14"/>
      <c r="K20" s="79"/>
      <c r="L20" s="79"/>
      <c r="M20" s="79"/>
    </row>
    <row r="21" spans="1:13" ht="19.5" customHeight="1" x14ac:dyDescent="0.25">
      <c r="A21" s="80" t="s">
        <v>16</v>
      </c>
      <c r="B21" s="81"/>
      <c r="C21" s="82"/>
      <c r="D21" s="77" t="s">
        <v>17</v>
      </c>
      <c r="E21" s="78"/>
      <c r="F21" s="30">
        <v>0</v>
      </c>
      <c r="G21" s="14"/>
      <c r="K21" s="79"/>
      <c r="L21" s="79"/>
      <c r="M21" s="79"/>
    </row>
    <row r="22" spans="1:13" ht="19.5" customHeight="1" x14ac:dyDescent="0.25">
      <c r="A22" s="83"/>
      <c r="B22" s="79"/>
      <c r="C22" s="84"/>
      <c r="D22" s="77" t="s">
        <v>18</v>
      </c>
      <c r="E22" s="78"/>
      <c r="F22" s="29">
        <f>F20-F21</f>
        <v>237142.85709999999</v>
      </c>
      <c r="G22" s="14"/>
      <c r="K22" s="79"/>
      <c r="L22" s="79"/>
      <c r="M22" s="79"/>
    </row>
    <row r="23" spans="1:13" ht="19.5" customHeight="1" x14ac:dyDescent="0.25">
      <c r="A23" s="83"/>
      <c r="B23" s="79"/>
      <c r="C23" s="84"/>
      <c r="D23" s="77" t="s">
        <v>19</v>
      </c>
      <c r="E23" s="78"/>
      <c r="F23" s="29">
        <f>F22*5%</f>
        <v>11857.142855</v>
      </c>
      <c r="G23" s="14"/>
      <c r="K23" s="79"/>
      <c r="L23" s="79"/>
      <c r="M23" s="79"/>
    </row>
    <row r="24" spans="1:13" ht="19.5" customHeight="1" x14ac:dyDescent="0.25">
      <c r="A24" s="83"/>
      <c r="B24" s="79"/>
      <c r="C24" s="84"/>
      <c r="D24" s="77" t="s">
        <v>20</v>
      </c>
      <c r="E24" s="78"/>
      <c r="F24" s="30">
        <v>0</v>
      </c>
      <c r="G24" s="14"/>
      <c r="K24" s="79"/>
      <c r="L24" s="79"/>
      <c r="M24" s="79"/>
    </row>
    <row r="25" spans="1:13" ht="18" customHeight="1" x14ac:dyDescent="0.25">
      <c r="A25" s="85"/>
      <c r="B25" s="86"/>
      <c r="C25" s="87"/>
      <c r="D25" s="77" t="s">
        <v>21</v>
      </c>
      <c r="E25" s="78"/>
      <c r="F25" s="31">
        <f>SUM(F22:F23)</f>
        <v>248999.99995500001</v>
      </c>
      <c r="G25" s="15"/>
      <c r="K25" s="79"/>
      <c r="L25" s="79"/>
      <c r="M25" s="79"/>
    </row>
    <row r="26" spans="1:13" ht="22.95" customHeight="1" x14ac:dyDescent="0.25">
      <c r="A26" s="88" t="s">
        <v>22</v>
      </c>
      <c r="B26" s="89"/>
      <c r="C26" s="90"/>
      <c r="D26" s="97" t="s">
        <v>23</v>
      </c>
      <c r="E26" s="98"/>
      <c r="F26" s="101">
        <f>F25</f>
        <v>248999.99995500001</v>
      </c>
      <c r="G26" s="16"/>
      <c r="K26" s="79"/>
      <c r="L26" s="79"/>
      <c r="M26" s="79"/>
    </row>
    <row r="27" spans="1:13" ht="22.95" customHeight="1" thickBot="1" x14ac:dyDescent="0.3">
      <c r="A27" s="91"/>
      <c r="B27" s="92"/>
      <c r="C27" s="93"/>
      <c r="D27" s="99"/>
      <c r="E27" s="100"/>
      <c r="F27" s="102"/>
      <c r="G27" s="16"/>
    </row>
    <row r="28" spans="1:13" ht="15.75" customHeight="1" x14ac:dyDescent="0.25">
      <c r="A28" s="94"/>
      <c r="B28" s="95"/>
      <c r="C28" s="95"/>
      <c r="D28" s="95"/>
      <c r="E28" s="95"/>
      <c r="F28" s="95"/>
      <c r="G28" s="17"/>
    </row>
    <row r="29" spans="1:13" ht="15.75" customHeight="1" x14ac:dyDescent="0.25">
      <c r="A29" s="94"/>
      <c r="B29" s="95"/>
      <c r="C29" s="95"/>
      <c r="D29" s="95"/>
      <c r="E29" s="95"/>
      <c r="F29" s="95"/>
      <c r="G29" s="18"/>
    </row>
    <row r="30" spans="1:13" ht="21" customHeight="1" x14ac:dyDescent="0.25">
      <c r="A30" s="96"/>
      <c r="B30" s="95"/>
      <c r="C30" s="95"/>
      <c r="D30" s="95"/>
      <c r="E30" s="95"/>
      <c r="F30" s="95"/>
      <c r="G30" s="19"/>
    </row>
    <row r="31" spans="1:13" ht="15.75" customHeight="1" x14ac:dyDescent="0.25">
      <c r="A31" s="20"/>
      <c r="B31" s="20"/>
      <c r="C31" s="20"/>
      <c r="D31" s="20"/>
      <c r="E31" s="20"/>
      <c r="F31" s="20"/>
      <c r="G31" s="20"/>
    </row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9">
    <mergeCell ref="K20:M26"/>
    <mergeCell ref="A21:C25"/>
    <mergeCell ref="A26:C27"/>
    <mergeCell ref="A29:F29"/>
    <mergeCell ref="A30:F30"/>
    <mergeCell ref="D24:E24"/>
    <mergeCell ref="D25:E25"/>
    <mergeCell ref="D26:E27"/>
    <mergeCell ref="F26:F27"/>
    <mergeCell ref="A28:F28"/>
    <mergeCell ref="D21:E21"/>
    <mergeCell ref="D22:E22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F9"/>
    <mergeCell ref="A10:C10"/>
    <mergeCell ref="D10:F10"/>
    <mergeCell ref="A11:C11"/>
    <mergeCell ref="D11:E11"/>
    <mergeCell ref="A6:C6"/>
    <mergeCell ref="D6:F6"/>
    <mergeCell ref="A7:C7"/>
    <mergeCell ref="D7:F7"/>
    <mergeCell ref="A8:C8"/>
    <mergeCell ref="D8:F8"/>
    <mergeCell ref="A1:F1"/>
    <mergeCell ref="A2:D2"/>
    <mergeCell ref="E2:F3"/>
    <mergeCell ref="A3:D3"/>
    <mergeCell ref="A4:C5"/>
    <mergeCell ref="D4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9">
    <tabColor rgb="FF8496B0"/>
    <outlinePr summaryBelow="0" summaryRight="0"/>
    <pageSetUpPr fitToPage="1"/>
  </sheetPr>
  <dimension ref="A1:G992"/>
  <sheetViews>
    <sheetView showGridLines="0" view="pageBreakPreview" topLeftCell="A8" zoomScale="60" zoomScaleNormal="100" workbookViewId="0">
      <selection activeCell="D12" sqref="D12:E12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8.6640625" style="2" customWidth="1"/>
    <col min="4" max="4" width="12.109375" style="2" customWidth="1"/>
    <col min="5" max="5" width="15.33203125" style="2" customWidth="1"/>
    <col min="6" max="6" width="22.8867187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thickBot="1" x14ac:dyDescent="0.3">
      <c r="A1" s="103" t="s">
        <v>0</v>
      </c>
      <c r="B1" s="104"/>
      <c r="C1" s="104"/>
      <c r="D1" s="104"/>
      <c r="E1" s="104"/>
      <c r="F1" s="105"/>
      <c r="G1" s="1"/>
    </row>
    <row r="2" spans="1:7" ht="24.75" customHeight="1" x14ac:dyDescent="0.25">
      <c r="A2" s="35" t="s">
        <v>1</v>
      </c>
      <c r="B2" s="36"/>
      <c r="C2" s="36"/>
      <c r="D2" s="36"/>
      <c r="E2" s="37"/>
      <c r="F2" s="38"/>
      <c r="G2" s="1"/>
    </row>
    <row r="3" spans="1:7" ht="33" customHeight="1" x14ac:dyDescent="0.25">
      <c r="A3" s="39" t="s">
        <v>2</v>
      </c>
      <c r="B3" s="40"/>
      <c r="C3" s="40"/>
      <c r="D3" s="40"/>
      <c r="E3" s="37"/>
      <c r="F3" s="38"/>
      <c r="G3" s="3"/>
    </row>
    <row r="4" spans="1:7" ht="45" customHeight="1" x14ac:dyDescent="0.25">
      <c r="A4" s="21"/>
      <c r="B4" s="22"/>
      <c r="C4" s="22"/>
      <c r="D4" s="22"/>
      <c r="E4" s="106"/>
      <c r="F4" s="107"/>
      <c r="G4" s="3"/>
    </row>
    <row r="5" spans="1:7" ht="17.399999999999999" customHeight="1" x14ac:dyDescent="0.25">
      <c r="A5" s="41" t="s">
        <v>24</v>
      </c>
      <c r="B5" s="42"/>
      <c r="C5" s="43"/>
      <c r="D5" s="42" t="s">
        <v>4</v>
      </c>
      <c r="E5" s="42"/>
      <c r="F5" s="47"/>
      <c r="G5" s="4"/>
    </row>
    <row r="6" spans="1:7" ht="16.95" customHeight="1" x14ac:dyDescent="0.25">
      <c r="A6" s="44"/>
      <c r="B6" s="45"/>
      <c r="C6" s="46"/>
      <c r="D6" s="45"/>
      <c r="E6" s="45"/>
      <c r="F6" s="48"/>
      <c r="G6" s="5"/>
    </row>
    <row r="7" spans="1:7" ht="22.2" customHeight="1" x14ac:dyDescent="0.25">
      <c r="A7" s="49" t="s">
        <v>5</v>
      </c>
      <c r="B7" s="50"/>
      <c r="C7" s="51"/>
      <c r="D7" s="50" t="s">
        <v>6</v>
      </c>
      <c r="E7" s="50"/>
      <c r="F7" s="52"/>
      <c r="G7" s="6"/>
    </row>
    <row r="8" spans="1:7" ht="18" customHeight="1" x14ac:dyDescent="0.25">
      <c r="A8" s="53" t="s">
        <v>25</v>
      </c>
      <c r="B8" s="54"/>
      <c r="C8" s="55"/>
      <c r="D8" s="54" t="s">
        <v>25</v>
      </c>
      <c r="E8" s="54"/>
      <c r="F8" s="56"/>
      <c r="G8" s="7"/>
    </row>
    <row r="9" spans="1:7" ht="15.75" customHeight="1" x14ac:dyDescent="0.25">
      <c r="A9" s="53" t="s">
        <v>26</v>
      </c>
      <c r="B9" s="54"/>
      <c r="C9" s="55"/>
      <c r="D9" s="54" t="s">
        <v>27</v>
      </c>
      <c r="E9" s="54"/>
      <c r="F9" s="56"/>
      <c r="G9" s="8"/>
    </row>
    <row r="10" spans="1:7" ht="18" customHeight="1" x14ac:dyDescent="0.25">
      <c r="A10" s="57" t="s">
        <v>28</v>
      </c>
      <c r="B10" s="58"/>
      <c r="C10" s="59"/>
      <c r="D10" s="54" t="s">
        <v>28</v>
      </c>
      <c r="E10" s="54"/>
      <c r="F10" s="56"/>
      <c r="G10" s="9"/>
    </row>
    <row r="11" spans="1:7" ht="18" customHeight="1" x14ac:dyDescent="0.25">
      <c r="A11" s="60"/>
      <c r="B11" s="61"/>
      <c r="C11" s="62"/>
      <c r="D11" s="54"/>
      <c r="E11" s="54"/>
      <c r="F11" s="56"/>
      <c r="G11" s="9"/>
    </row>
    <row r="12" spans="1:7" ht="18" customHeight="1" x14ac:dyDescent="0.25">
      <c r="A12" s="63" t="s">
        <v>10</v>
      </c>
      <c r="B12" s="64"/>
      <c r="C12" s="65"/>
      <c r="D12" s="66" t="s">
        <v>11</v>
      </c>
      <c r="E12" s="67"/>
      <c r="F12" s="23" t="s">
        <v>12</v>
      </c>
      <c r="G12" s="5"/>
    </row>
    <row r="13" spans="1:7" ht="18" customHeight="1" x14ac:dyDescent="0.25">
      <c r="A13" s="68" t="s">
        <v>13</v>
      </c>
      <c r="B13" s="69"/>
      <c r="C13" s="70"/>
      <c r="D13" s="71">
        <v>237142.85709999999</v>
      </c>
      <c r="E13" s="72"/>
      <c r="F13" s="28">
        <f>D13</f>
        <v>237142.85709999999</v>
      </c>
      <c r="G13" s="11"/>
    </row>
    <row r="14" spans="1:7" ht="18" customHeight="1" x14ac:dyDescent="0.25">
      <c r="A14" s="68"/>
      <c r="B14" s="69"/>
      <c r="C14" s="70"/>
      <c r="D14" s="108"/>
      <c r="E14" s="109"/>
      <c r="F14" s="10"/>
      <c r="G14" s="11"/>
    </row>
    <row r="15" spans="1:7" ht="18" customHeight="1" x14ac:dyDescent="0.25">
      <c r="A15" s="68"/>
      <c r="B15" s="69"/>
      <c r="C15" s="70"/>
      <c r="D15" s="108"/>
      <c r="E15" s="109"/>
      <c r="F15" s="10"/>
      <c r="G15" s="11"/>
    </row>
    <row r="16" spans="1:7" ht="18" customHeight="1" x14ac:dyDescent="0.25">
      <c r="A16" s="68"/>
      <c r="B16" s="69"/>
      <c r="C16" s="70"/>
      <c r="D16" s="108"/>
      <c r="E16" s="109"/>
      <c r="F16" s="10"/>
      <c r="G16" s="11"/>
    </row>
    <row r="17" spans="1:7" ht="18" customHeight="1" x14ac:dyDescent="0.25">
      <c r="A17" s="68"/>
      <c r="B17" s="69"/>
      <c r="C17" s="70"/>
      <c r="D17" s="108"/>
      <c r="E17" s="109"/>
      <c r="F17" s="10"/>
      <c r="G17" s="11"/>
    </row>
    <row r="18" spans="1:7" ht="18" customHeight="1" x14ac:dyDescent="0.25">
      <c r="A18" s="68"/>
      <c r="B18" s="69"/>
      <c r="C18" s="70"/>
      <c r="D18" s="108"/>
      <c r="E18" s="109"/>
      <c r="F18" s="10"/>
      <c r="G18" s="11"/>
    </row>
    <row r="19" spans="1:7" ht="18" customHeight="1" x14ac:dyDescent="0.25">
      <c r="A19" s="68"/>
      <c r="B19" s="69"/>
      <c r="C19" s="70"/>
      <c r="D19" s="108"/>
      <c r="E19" s="109"/>
      <c r="F19" s="10"/>
      <c r="G19" s="11"/>
    </row>
    <row r="20" spans="1:7" ht="19.5" customHeight="1" x14ac:dyDescent="0.25">
      <c r="A20" s="75" t="s">
        <v>14</v>
      </c>
      <c r="B20" s="76"/>
      <c r="C20" s="76"/>
      <c r="D20" s="77" t="s">
        <v>15</v>
      </c>
      <c r="E20" s="78"/>
      <c r="F20" s="29">
        <f>F13</f>
        <v>237142.85709999999</v>
      </c>
      <c r="G20" s="14"/>
    </row>
    <row r="21" spans="1:7" ht="19.5" customHeight="1" x14ac:dyDescent="0.25">
      <c r="A21" s="80" t="s">
        <v>16</v>
      </c>
      <c r="B21" s="81"/>
      <c r="C21" s="82"/>
      <c r="D21" s="77" t="s">
        <v>17</v>
      </c>
      <c r="E21" s="78"/>
      <c r="F21" s="30">
        <v>0</v>
      </c>
      <c r="G21" s="14"/>
    </row>
    <row r="22" spans="1:7" ht="19.5" customHeight="1" x14ac:dyDescent="0.25">
      <c r="A22" s="83"/>
      <c r="B22" s="79"/>
      <c r="C22" s="84"/>
      <c r="D22" s="77" t="s">
        <v>18</v>
      </c>
      <c r="E22" s="78"/>
      <c r="F22" s="29">
        <f>F20-F21</f>
        <v>237142.85709999999</v>
      </c>
      <c r="G22" s="14"/>
    </row>
    <row r="23" spans="1:7" ht="19.5" customHeight="1" x14ac:dyDescent="0.25">
      <c r="A23" s="83"/>
      <c r="B23" s="79"/>
      <c r="C23" s="84"/>
      <c r="D23" s="77" t="s">
        <v>19</v>
      </c>
      <c r="E23" s="78"/>
      <c r="F23" s="29">
        <f>F22*5%</f>
        <v>11857.142855</v>
      </c>
      <c r="G23" s="14"/>
    </row>
    <row r="24" spans="1:7" ht="19.5" customHeight="1" x14ac:dyDescent="0.25">
      <c r="A24" s="83"/>
      <c r="B24" s="79"/>
      <c r="C24" s="84"/>
      <c r="D24" s="77" t="s">
        <v>20</v>
      </c>
      <c r="E24" s="78"/>
      <c r="F24" s="30">
        <v>0</v>
      </c>
      <c r="G24" s="14"/>
    </row>
    <row r="25" spans="1:7" ht="18" customHeight="1" x14ac:dyDescent="0.25">
      <c r="A25" s="85"/>
      <c r="B25" s="86"/>
      <c r="C25" s="87"/>
      <c r="D25" s="77" t="s">
        <v>21</v>
      </c>
      <c r="E25" s="78"/>
      <c r="F25" s="31">
        <f>SUM(F22:F23)</f>
        <v>248999.99995500001</v>
      </c>
      <c r="G25" s="15"/>
    </row>
    <row r="26" spans="1:7" ht="22.95" customHeight="1" x14ac:dyDescent="0.25">
      <c r="A26" s="88" t="s">
        <v>22</v>
      </c>
      <c r="B26" s="89"/>
      <c r="C26" s="90"/>
      <c r="D26" s="97" t="s">
        <v>23</v>
      </c>
      <c r="E26" s="98"/>
      <c r="F26" s="101">
        <f>F25</f>
        <v>248999.99995500001</v>
      </c>
      <c r="G26" s="16"/>
    </row>
    <row r="27" spans="1:7" ht="22.95" customHeight="1" thickBot="1" x14ac:dyDescent="0.3">
      <c r="A27" s="91"/>
      <c r="B27" s="92"/>
      <c r="C27" s="93"/>
      <c r="D27" s="99"/>
      <c r="E27" s="100"/>
      <c r="F27" s="102"/>
      <c r="G27" s="16"/>
    </row>
    <row r="28" spans="1:7" ht="15.75" customHeight="1" x14ac:dyDescent="0.25">
      <c r="A28" s="94"/>
      <c r="B28" s="95"/>
      <c r="C28" s="95"/>
      <c r="D28" s="95"/>
      <c r="E28" s="95"/>
      <c r="F28" s="95"/>
      <c r="G28" s="17"/>
    </row>
    <row r="29" spans="1:7" ht="15.75" customHeight="1" x14ac:dyDescent="0.25">
      <c r="A29" s="94"/>
      <c r="B29" s="95"/>
      <c r="C29" s="95"/>
      <c r="D29" s="95"/>
      <c r="E29" s="95"/>
      <c r="F29" s="95"/>
      <c r="G29" s="18"/>
    </row>
    <row r="30" spans="1:7" ht="21" customHeight="1" x14ac:dyDescent="0.25">
      <c r="A30" s="96"/>
      <c r="B30" s="95"/>
      <c r="C30" s="95"/>
      <c r="D30" s="95"/>
      <c r="E30" s="95"/>
      <c r="F30" s="95"/>
      <c r="G30" s="19"/>
    </row>
    <row r="31" spans="1:7" ht="15.75" customHeight="1" x14ac:dyDescent="0.25">
      <c r="A31" s="20"/>
      <c r="B31" s="20"/>
      <c r="C31" s="20"/>
      <c r="D31" s="20"/>
      <c r="E31" s="20"/>
      <c r="F31" s="20"/>
      <c r="G31" s="20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6">
    <mergeCell ref="F26:F27"/>
    <mergeCell ref="A28:F28"/>
    <mergeCell ref="A29:F29"/>
    <mergeCell ref="A30:F30"/>
    <mergeCell ref="D22:E22"/>
    <mergeCell ref="D23:E23"/>
    <mergeCell ref="D24:E24"/>
    <mergeCell ref="D25:E25"/>
    <mergeCell ref="D26:E27"/>
    <mergeCell ref="A21:C25"/>
    <mergeCell ref="A26:C27"/>
    <mergeCell ref="A19:C19"/>
    <mergeCell ref="D19:E19"/>
    <mergeCell ref="A20:C20"/>
    <mergeCell ref="D20:E20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F10"/>
    <mergeCell ref="A11:C11"/>
    <mergeCell ref="D11:F11"/>
    <mergeCell ref="A12:C12"/>
    <mergeCell ref="D12:E12"/>
    <mergeCell ref="A7:C7"/>
    <mergeCell ref="D7:F7"/>
    <mergeCell ref="A8:C8"/>
    <mergeCell ref="D8:F8"/>
    <mergeCell ref="A9:C9"/>
    <mergeCell ref="D9:F9"/>
    <mergeCell ref="A1:F1"/>
    <mergeCell ref="A2:D2"/>
    <mergeCell ref="E2:F4"/>
    <mergeCell ref="A3:D3"/>
    <mergeCell ref="A5:C6"/>
    <mergeCell ref="D5:F6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0">
    <tabColor rgb="FF8496B0"/>
    <outlinePr summaryBelow="0" summaryRight="0"/>
    <pageSetUpPr fitToPage="1"/>
  </sheetPr>
  <dimension ref="A1:G992"/>
  <sheetViews>
    <sheetView showGridLines="0" view="pageBreakPreview" topLeftCell="A4" zoomScale="60" zoomScaleNormal="100" workbookViewId="0">
      <selection activeCell="H4" sqref="H4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8.6640625" style="2" customWidth="1"/>
    <col min="4" max="4" width="12.109375" style="2" customWidth="1"/>
    <col min="5" max="5" width="15.33203125" style="2" customWidth="1"/>
    <col min="6" max="6" width="21.441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7" ht="36.6" customHeight="1" thickBot="1" x14ac:dyDescent="0.3">
      <c r="A1" s="103" t="s">
        <v>0</v>
      </c>
      <c r="B1" s="104"/>
      <c r="C1" s="104"/>
      <c r="D1" s="104"/>
      <c r="E1" s="104"/>
      <c r="F1" s="105"/>
      <c r="G1" s="1"/>
    </row>
    <row r="2" spans="1:7" ht="24.75" customHeight="1" x14ac:dyDescent="0.25">
      <c r="A2" s="35" t="s">
        <v>1</v>
      </c>
      <c r="B2" s="36"/>
      <c r="C2" s="36"/>
      <c r="D2" s="36"/>
      <c r="E2" s="37"/>
      <c r="F2" s="38"/>
      <c r="G2" s="1"/>
    </row>
    <row r="3" spans="1:7" ht="33" customHeight="1" x14ac:dyDescent="0.25">
      <c r="A3" s="39" t="s">
        <v>2</v>
      </c>
      <c r="B3" s="40"/>
      <c r="C3" s="40"/>
      <c r="D3" s="40"/>
      <c r="E3" s="37"/>
      <c r="F3" s="38"/>
      <c r="G3" s="3"/>
    </row>
    <row r="4" spans="1:7" ht="44.25" customHeight="1" x14ac:dyDescent="0.25">
      <c r="A4" s="21"/>
      <c r="B4" s="22"/>
      <c r="C4" s="22"/>
      <c r="D4" s="22"/>
      <c r="E4" s="106"/>
      <c r="F4" s="107"/>
      <c r="G4" s="3"/>
    </row>
    <row r="5" spans="1:7" ht="17.399999999999999" customHeight="1" x14ac:dyDescent="0.25">
      <c r="A5" s="41" t="s">
        <v>29</v>
      </c>
      <c r="B5" s="110"/>
      <c r="C5" s="111"/>
      <c r="D5" s="42" t="s">
        <v>4</v>
      </c>
      <c r="E5" s="42"/>
      <c r="F5" s="47"/>
      <c r="G5" s="4"/>
    </row>
    <row r="6" spans="1:7" ht="16.95" customHeight="1" x14ac:dyDescent="0.25">
      <c r="A6" s="112"/>
      <c r="B6" s="113"/>
      <c r="C6" s="114"/>
      <c r="D6" s="45"/>
      <c r="E6" s="45"/>
      <c r="F6" s="48"/>
      <c r="G6" s="5"/>
    </row>
    <row r="7" spans="1:7" ht="22.2" customHeight="1" x14ac:dyDescent="0.25">
      <c r="A7" s="49" t="s">
        <v>5</v>
      </c>
      <c r="B7" s="50"/>
      <c r="C7" s="51"/>
      <c r="D7" s="50" t="s">
        <v>6</v>
      </c>
      <c r="E7" s="50"/>
      <c r="F7" s="52"/>
      <c r="G7" s="6"/>
    </row>
    <row r="8" spans="1:7" ht="18" customHeight="1" x14ac:dyDescent="0.25">
      <c r="A8" s="53" t="s">
        <v>30</v>
      </c>
      <c r="B8" s="54"/>
      <c r="C8" s="55"/>
      <c r="D8" s="54" t="s">
        <v>30</v>
      </c>
      <c r="E8" s="54"/>
      <c r="F8" s="56"/>
      <c r="G8" s="7"/>
    </row>
    <row r="9" spans="1:7" ht="15.75" customHeight="1" x14ac:dyDescent="0.25">
      <c r="A9" s="53" t="s">
        <v>31</v>
      </c>
      <c r="B9" s="54"/>
      <c r="C9" s="55"/>
      <c r="D9" s="54" t="s">
        <v>32</v>
      </c>
      <c r="E9" s="54"/>
      <c r="F9" s="56"/>
      <c r="G9" s="8"/>
    </row>
    <row r="10" spans="1:7" ht="18" customHeight="1" x14ac:dyDescent="0.25">
      <c r="A10" s="57" t="s">
        <v>33</v>
      </c>
      <c r="B10" s="58"/>
      <c r="C10" s="59"/>
      <c r="D10" s="54" t="s">
        <v>33</v>
      </c>
      <c r="E10" s="54"/>
      <c r="F10" s="56"/>
      <c r="G10" s="9"/>
    </row>
    <row r="11" spans="1:7" ht="18" customHeight="1" x14ac:dyDescent="0.25">
      <c r="A11" s="60"/>
      <c r="B11" s="61"/>
      <c r="C11" s="62"/>
      <c r="D11" s="54"/>
      <c r="E11" s="54"/>
      <c r="F11" s="56"/>
      <c r="G11" s="9"/>
    </row>
    <row r="12" spans="1:7" ht="18" customHeight="1" x14ac:dyDescent="0.25">
      <c r="A12" s="63" t="s">
        <v>10</v>
      </c>
      <c r="B12" s="64"/>
      <c r="C12" s="65"/>
      <c r="D12" s="66" t="s">
        <v>11</v>
      </c>
      <c r="E12" s="67"/>
      <c r="F12" s="23" t="s">
        <v>12</v>
      </c>
      <c r="G12" s="5"/>
    </row>
    <row r="13" spans="1:7" ht="18" customHeight="1" x14ac:dyDescent="0.25">
      <c r="A13" s="68" t="s">
        <v>13</v>
      </c>
      <c r="B13" s="69"/>
      <c r="C13" s="70"/>
      <c r="D13" s="71">
        <v>237142.85709999999</v>
      </c>
      <c r="E13" s="72"/>
      <c r="F13" s="24">
        <f>D13</f>
        <v>237142.85709999999</v>
      </c>
      <c r="G13" s="11"/>
    </row>
    <row r="14" spans="1:7" ht="18" customHeight="1" x14ac:dyDescent="0.25">
      <c r="A14" s="68"/>
      <c r="B14" s="69"/>
      <c r="C14" s="70"/>
      <c r="D14" s="108"/>
      <c r="E14" s="109"/>
      <c r="F14" s="10"/>
      <c r="G14" s="11"/>
    </row>
    <row r="15" spans="1:7" ht="18" customHeight="1" x14ac:dyDescent="0.25">
      <c r="A15" s="68"/>
      <c r="B15" s="69"/>
      <c r="C15" s="70"/>
      <c r="D15" s="108"/>
      <c r="E15" s="109"/>
      <c r="F15" s="10"/>
      <c r="G15" s="11"/>
    </row>
    <row r="16" spans="1:7" ht="18" customHeight="1" x14ac:dyDescent="0.25">
      <c r="A16" s="68"/>
      <c r="B16" s="69"/>
      <c r="C16" s="70"/>
      <c r="D16" s="108"/>
      <c r="E16" s="109"/>
      <c r="F16" s="10"/>
      <c r="G16" s="11"/>
    </row>
    <row r="17" spans="1:7" ht="18" customHeight="1" x14ac:dyDescent="0.25">
      <c r="A17" s="68"/>
      <c r="B17" s="69"/>
      <c r="C17" s="70"/>
      <c r="D17" s="108"/>
      <c r="E17" s="109"/>
      <c r="F17" s="10"/>
      <c r="G17" s="11"/>
    </row>
    <row r="18" spans="1:7" ht="18" customHeight="1" x14ac:dyDescent="0.25">
      <c r="A18" s="68"/>
      <c r="B18" s="69"/>
      <c r="C18" s="70"/>
      <c r="D18" s="108"/>
      <c r="E18" s="109"/>
      <c r="F18" s="10"/>
      <c r="G18" s="11"/>
    </row>
    <row r="19" spans="1:7" ht="18" customHeight="1" x14ac:dyDescent="0.25">
      <c r="A19" s="115"/>
      <c r="B19" s="116"/>
      <c r="C19" s="117"/>
      <c r="D19" s="108"/>
      <c r="E19" s="109"/>
      <c r="F19" s="10"/>
      <c r="G19" s="11"/>
    </row>
    <row r="20" spans="1:7" ht="19.5" customHeight="1" x14ac:dyDescent="0.25">
      <c r="A20" s="75" t="s">
        <v>14</v>
      </c>
      <c r="B20" s="76"/>
      <c r="C20" s="76"/>
      <c r="D20" s="77" t="s">
        <v>15</v>
      </c>
      <c r="E20" s="78"/>
      <c r="F20" s="25">
        <f>F13</f>
        <v>237142.85709999999</v>
      </c>
      <c r="G20" s="14"/>
    </row>
    <row r="21" spans="1:7" ht="19.5" customHeight="1" x14ac:dyDescent="0.25">
      <c r="A21" s="80" t="s">
        <v>16</v>
      </c>
      <c r="B21" s="81"/>
      <c r="C21" s="82"/>
      <c r="D21" s="77" t="s">
        <v>17</v>
      </c>
      <c r="E21" s="78"/>
      <c r="F21" s="26">
        <v>0</v>
      </c>
      <c r="G21" s="14"/>
    </row>
    <row r="22" spans="1:7" ht="19.5" customHeight="1" x14ac:dyDescent="0.25">
      <c r="A22" s="83"/>
      <c r="B22" s="79"/>
      <c r="C22" s="84"/>
      <c r="D22" s="77" t="s">
        <v>18</v>
      </c>
      <c r="E22" s="78"/>
      <c r="F22" s="25">
        <f>F20-F21</f>
        <v>237142.85709999999</v>
      </c>
      <c r="G22" s="14"/>
    </row>
    <row r="23" spans="1:7" ht="19.5" customHeight="1" x14ac:dyDescent="0.25">
      <c r="A23" s="83"/>
      <c r="B23" s="79"/>
      <c r="C23" s="84"/>
      <c r="D23" s="77" t="s">
        <v>19</v>
      </c>
      <c r="E23" s="78"/>
      <c r="F23" s="25">
        <f>F22*5%</f>
        <v>11857.142855</v>
      </c>
      <c r="G23" s="14"/>
    </row>
    <row r="24" spans="1:7" ht="19.5" customHeight="1" x14ac:dyDescent="0.25">
      <c r="A24" s="83"/>
      <c r="B24" s="79"/>
      <c r="C24" s="84"/>
      <c r="D24" s="77" t="s">
        <v>20</v>
      </c>
      <c r="E24" s="78"/>
      <c r="F24" s="26">
        <v>0</v>
      </c>
      <c r="G24" s="14"/>
    </row>
    <row r="25" spans="1:7" ht="18" customHeight="1" x14ac:dyDescent="0.25">
      <c r="A25" s="85"/>
      <c r="B25" s="86"/>
      <c r="C25" s="87"/>
      <c r="D25" s="77" t="s">
        <v>21</v>
      </c>
      <c r="E25" s="78"/>
      <c r="F25" s="27">
        <f>SUM(F22:F23)</f>
        <v>248999.99995500001</v>
      </c>
      <c r="G25" s="15"/>
    </row>
    <row r="26" spans="1:7" ht="22.95" customHeight="1" x14ac:dyDescent="0.25">
      <c r="A26" s="88" t="s">
        <v>22</v>
      </c>
      <c r="B26" s="89"/>
      <c r="C26" s="90"/>
      <c r="D26" s="97" t="s">
        <v>23</v>
      </c>
      <c r="E26" s="98"/>
      <c r="F26" s="118">
        <f>F25</f>
        <v>248999.99995500001</v>
      </c>
      <c r="G26" s="16"/>
    </row>
    <row r="27" spans="1:7" ht="22.95" customHeight="1" thickBot="1" x14ac:dyDescent="0.3">
      <c r="A27" s="91"/>
      <c r="B27" s="92"/>
      <c r="C27" s="93"/>
      <c r="D27" s="99"/>
      <c r="E27" s="100"/>
      <c r="F27" s="119"/>
      <c r="G27" s="16"/>
    </row>
    <row r="28" spans="1:7" ht="15.75" customHeight="1" x14ac:dyDescent="0.25">
      <c r="A28" s="94"/>
      <c r="B28" s="95"/>
      <c r="C28" s="95"/>
      <c r="D28" s="95"/>
      <c r="E28" s="95"/>
      <c r="F28" s="95"/>
      <c r="G28" s="17"/>
    </row>
    <row r="29" spans="1:7" ht="15.75" customHeight="1" x14ac:dyDescent="0.25">
      <c r="A29" s="94"/>
      <c r="B29" s="95"/>
      <c r="C29" s="95"/>
      <c r="D29" s="95"/>
      <c r="E29" s="95"/>
      <c r="F29" s="95"/>
      <c r="G29" s="18"/>
    </row>
    <row r="30" spans="1:7" ht="21" customHeight="1" x14ac:dyDescent="0.25">
      <c r="A30" s="96"/>
      <c r="B30" s="95"/>
      <c r="C30" s="95"/>
      <c r="D30" s="95"/>
      <c r="E30" s="95"/>
      <c r="F30" s="95"/>
      <c r="G30" s="19"/>
    </row>
    <row r="31" spans="1:7" ht="15.75" customHeight="1" x14ac:dyDescent="0.25">
      <c r="A31" s="20"/>
      <c r="B31" s="20"/>
      <c r="C31" s="20"/>
      <c r="D31" s="20"/>
      <c r="E31" s="20"/>
      <c r="F31" s="20"/>
      <c r="G31" s="20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6">
    <mergeCell ref="F26:F27"/>
    <mergeCell ref="A28:F28"/>
    <mergeCell ref="A29:F29"/>
    <mergeCell ref="A30:F30"/>
    <mergeCell ref="D22:E22"/>
    <mergeCell ref="D23:E23"/>
    <mergeCell ref="D24:E24"/>
    <mergeCell ref="D25:E25"/>
    <mergeCell ref="D26:E27"/>
    <mergeCell ref="A21:C25"/>
    <mergeCell ref="A26:C27"/>
    <mergeCell ref="A19:C19"/>
    <mergeCell ref="D19:E19"/>
    <mergeCell ref="A20:C20"/>
    <mergeCell ref="D20:E20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F10"/>
    <mergeCell ref="A11:C11"/>
    <mergeCell ref="D11:F11"/>
    <mergeCell ref="A12:C12"/>
    <mergeCell ref="D12:E12"/>
    <mergeCell ref="A7:C7"/>
    <mergeCell ref="D7:F7"/>
    <mergeCell ref="A8:C8"/>
    <mergeCell ref="D8:F8"/>
    <mergeCell ref="A9:C9"/>
    <mergeCell ref="D9:F9"/>
    <mergeCell ref="A1:F1"/>
    <mergeCell ref="A2:D2"/>
    <mergeCell ref="E2:F4"/>
    <mergeCell ref="A3:D3"/>
    <mergeCell ref="A5:C6"/>
    <mergeCell ref="D5:F6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C0038-E258-428D-A625-F27F0552A6B1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a3ee3419-f813-43ff-8070-dce059c64b7d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e3a9498-45e1-4121-9cf9-83f762cff58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9228C4-C351-4E96-9C8B-B9E42F804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43CFD-623D-4E27-9981-F84AB2227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81529-24-UNC</vt:lpstr>
      <vt:lpstr>81652-24-UNC</vt:lpstr>
      <vt:lpstr>81757-24-UNC</vt:lpstr>
      <vt:lpstr>'81529-24-UNC'!Print_Area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Narender Goud Burri</cp:lastModifiedBy>
  <cp:revision/>
  <cp:lastPrinted>2024-10-08T04:59:16Z</cp:lastPrinted>
  <dcterms:created xsi:type="dcterms:W3CDTF">2024-10-03T06:05:14Z</dcterms:created>
  <dcterms:modified xsi:type="dcterms:W3CDTF">2024-10-08T05:34:21Z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