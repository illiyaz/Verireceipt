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C:\Users\Azeem\Downloads\Invoices after correction\"/>
    </mc:Choice>
  </mc:AlternateContent>
  <xr:revisionPtr revIDLastSave="14" documentId="11_B53D79CDDA89E91643AC0E5A276CE63291F2776F" xr6:coauthVersionLast="47" xr6:coauthVersionMax="47" xr10:uidLastSave="{DFB1D394-4248-49E9-9ECB-74C385F38CE6}"/>
  <bookViews>
    <workbookView xWindow="0" yWindow="0" windowWidth="20490" windowHeight="7020" xr2:uid="{00000000-000D-0000-FFFF-FFFF00000000}"/>
  </bookViews>
  <sheets>
    <sheet name="37321-23-ERIN" sheetId="1" r:id="rId1"/>
    <sheet name="89804-23-ERIN" sheetId="2" r:id="rId2"/>
    <sheet name="89805-23-ERIN" sheetId="3" r:id="rId3"/>
    <sheet name="89806-23-ERIN" sheetId="4" r:id="rId4"/>
    <sheet name="89807-23-ERIN" sheetId="5" r:id="rId5"/>
    <sheet name="89808-23-ERI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F21" i="5"/>
  <c r="F21" i="4"/>
  <c r="F21" i="3"/>
  <c r="F21" i="2"/>
  <c r="F21" i="1"/>
  <c r="F22" i="4" l="1"/>
  <c r="F23" i="4" s="1"/>
  <c r="F22" i="1"/>
  <c r="F23" i="1" s="1"/>
  <c r="F22" i="5"/>
  <c r="F23" i="5" s="1"/>
  <c r="F22" i="3"/>
  <c r="F23" i="3" s="1"/>
  <c r="F22" i="2"/>
  <c r="F23" i="2" s="1"/>
  <c r="F23" i="6"/>
  <c r="F24" i="6" s="1"/>
</calcChain>
</file>

<file path=xl/sharedStrings.xml><?xml version="1.0" encoding="utf-8"?>
<sst xmlns="http://schemas.openxmlformats.org/spreadsheetml/2006/main" count="98" uniqueCount="35">
  <si>
    <t xml:space="preserve">INVOICE </t>
  </si>
  <si>
    <t>ERP INFOTECH</t>
  </si>
  <si>
    <t>70148 Williams Ways Apt. 336, Robleschester, Maine, 24100</t>
  </si>
  <si>
    <t>Inv No- 37231-23/ERIN</t>
  </si>
  <si>
    <t>Inv Date- 06/30/2023</t>
  </si>
  <si>
    <t>Pay Term- 30 days</t>
  </si>
  <si>
    <r>
      <rPr>
        <b/>
        <u/>
        <sz val="13"/>
        <color rgb="FF000000"/>
        <rFont val="Roboto"/>
      </rPr>
      <t xml:space="preserve">INVOICE TO:
</t>
    </r>
    <r>
      <rPr>
        <b/>
        <sz val="13"/>
        <color rgb="FF000000"/>
        <rFont val="Roboto"/>
      </rPr>
      <t>Steel Horse Auto Assembly Chennai Ltd
House No 249,Road No 11,Rajiv Gandhi Nagar,Chennai,Tamil Nadu,India</t>
    </r>
  </si>
  <si>
    <t>DESCRIPTION</t>
  </si>
  <si>
    <t>AMOUNT</t>
  </si>
  <si>
    <t>Annual ERP subscription and system Installation for 200 users with training</t>
  </si>
  <si>
    <r>
      <rPr>
        <b/>
        <u/>
        <sz val="12"/>
        <rFont val="Roboto"/>
        <charset val="1"/>
      </rPr>
      <t>Payment Method:</t>
    </r>
    <r>
      <rPr>
        <b/>
        <sz val="12"/>
        <rFont val="Roboto"/>
        <charset val="1"/>
      </rPr>
      <t xml:space="preserve">
</t>
    </r>
    <r>
      <rPr>
        <sz val="11"/>
        <rFont val="Roboto"/>
        <charset val="1"/>
      </rPr>
      <t>Bank Name: ERP Infotech
Account no: 12908760900</t>
    </r>
  </si>
  <si>
    <t>SUBTOTAL</t>
  </si>
  <si>
    <t>TAX AMOUNT</t>
  </si>
  <si>
    <t>TOTAL</t>
  </si>
  <si>
    <r>
      <rPr>
        <b/>
        <u/>
        <sz val="12"/>
        <rFont val="Roboto"/>
        <charset val="1"/>
      </rPr>
      <t>Terms and Conditions:</t>
    </r>
    <r>
      <rPr>
        <sz val="9"/>
        <rFont val="Roboto"/>
        <charset val="1"/>
      </rPr>
      <t xml:space="preserve">
</t>
    </r>
    <r>
      <rPr>
        <sz val="11"/>
        <rFont val="Roboto"/>
        <charset val="1"/>
      </rPr>
      <t>Please send payment within 30 days of receiving this invoice. There will be 10% intrest charge per month on late invoice.</t>
    </r>
  </si>
  <si>
    <t>This is computer generated document and does not require signature.</t>
  </si>
  <si>
    <t>Inv No- 89804-23/ERIN</t>
  </si>
  <si>
    <t>Inv Date- 12/31/2023</t>
  </si>
  <si>
    <r>
      <t>INVOICE TO:</t>
    </r>
    <r>
      <rPr>
        <b/>
        <sz val="13"/>
        <color theme="1"/>
        <rFont val="Roboto"/>
        <charset val="1"/>
      </rPr>
      <t xml:space="preserve">
Steel Horse Motors London Inc.
45 Kensington High Street, London, UK, SW7 5EB</t>
    </r>
  </si>
  <si>
    <t xml:space="preserve">Membership with version upgrade for 100 users </t>
  </si>
  <si>
    <t>Inv No- 89805-23/ERIN</t>
  </si>
  <si>
    <r>
      <rPr>
        <b/>
        <u/>
        <sz val="13"/>
        <color rgb="FF000000"/>
        <rFont val="Roboto"/>
      </rPr>
      <t xml:space="preserve">INVOICE TO:
</t>
    </r>
    <r>
      <rPr>
        <b/>
        <sz val="13"/>
        <color rgb="FF000000"/>
        <rFont val="Roboto"/>
      </rPr>
      <t>Steel Horse Motors Australia Inc.
23 Collins Street, Melbourne, Australia, VIC 3000</t>
    </r>
  </si>
  <si>
    <t>Corporate licensing fees with technical support for 50 users</t>
  </si>
  <si>
    <t>Inv No- 89806-23/ERIN</t>
  </si>
  <si>
    <t>Inv Date- 04/30/2024</t>
  </si>
  <si>
    <r>
      <rPr>
        <b/>
        <u/>
        <sz val="13"/>
        <color rgb="FF000000"/>
        <rFont val="Roboto"/>
      </rPr>
      <t xml:space="preserve">INVOICE TO:
</t>
    </r>
    <r>
      <rPr>
        <b/>
        <sz val="13"/>
        <color rgb="FF000000"/>
        <rFont val="Roboto"/>
      </rPr>
      <t>Steel Horse Motors Canada Inc.
50 Bay Street, Toronto, Canada, M5J 2X8</t>
    </r>
  </si>
  <si>
    <t>Annual ERP subscription and system Installation for 250 users with training</t>
  </si>
  <si>
    <t>Inv No- 89807-23/ERIN</t>
  </si>
  <si>
    <t>Inv Date- 05/31/2024</t>
  </si>
  <si>
    <r>
      <rPr>
        <b/>
        <u/>
        <sz val="13"/>
        <color rgb="FF000000"/>
        <rFont val="Roboto"/>
      </rPr>
      <t xml:space="preserve">INVOICE TO:
</t>
    </r>
    <r>
      <rPr>
        <b/>
        <sz val="13"/>
        <color rgb="FF000000"/>
        <rFont val="Roboto"/>
      </rPr>
      <t>Steel Horse Auto Assembly Lincoln Inc
21857 Clayton Forges Suite 897, Sherrybury, Lincoln, United States, 17355</t>
    </r>
  </si>
  <si>
    <t>Database server (512 GB DDR4 RAM, 2x1 TB NVMe, 10 Gbps network, 15 TB NVMe, 20 Gbps DDoS) with Installation and support for 12 months</t>
  </si>
  <si>
    <t>Cloud Server with installation and support for 12 months</t>
  </si>
  <si>
    <t>Inv No- 89808-23/ERIN</t>
  </si>
  <si>
    <t>Inv Date- 08/31/2024</t>
  </si>
  <si>
    <r>
      <rPr>
        <b/>
        <u/>
        <sz val="13"/>
        <color rgb="FF000000"/>
        <rFont val="Roboto"/>
      </rPr>
      <t xml:space="preserve">INVOICE TO:
</t>
    </r>
    <r>
      <rPr>
        <b/>
        <sz val="13"/>
        <color rgb="FF000000"/>
        <rFont val="Roboto"/>
      </rPr>
      <t>Steel Horse Auto Assembly NJ Inc
0015 Angela Mission, Kathyborough, New Jersey, United States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</si>
</sst>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37"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b/>
      <sz val="28"/>
      <color theme="1"/>
      <name val="Roboto"/>
    </font>
    <font>
      <b/>
      <sz val="20"/>
      <color theme="1"/>
      <name val="Roboto"/>
    </font>
    <font>
      <b/>
      <sz val="22"/>
      <color rgb="FF4472C4"/>
      <name val="Roboto"/>
    </font>
    <font>
      <b/>
      <sz val="21"/>
      <color rgb="FF666666"/>
      <name val="Roboto"/>
    </font>
    <font>
      <sz val="18"/>
      <color rgb="FF7F7F7F"/>
      <name val="Roboto"/>
    </font>
    <font>
      <b/>
      <sz val="9"/>
      <color rgb="FF1F3864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0"/>
      <color theme="7" tint="-0.499984740745262"/>
      <name val="Roboto"/>
    </font>
    <font>
      <sz val="11"/>
      <color rgb="FFFFFFFF"/>
      <name val="Roboto"/>
    </font>
    <font>
      <i/>
      <sz val="9"/>
      <color rgb="FF333F4F"/>
      <name val="Roboto"/>
    </font>
    <font>
      <sz val="9"/>
      <color rgb="FF000000"/>
      <name val="Roboto"/>
    </font>
    <font>
      <sz val="12"/>
      <color rgb="FF000000"/>
      <name val="Roboto"/>
    </font>
    <font>
      <sz val="10"/>
      <color rgb="FF333F4F"/>
      <name val="Roboto"/>
    </font>
    <font>
      <sz val="10"/>
      <color theme="1"/>
      <name val="Roboto"/>
    </font>
    <font>
      <i/>
      <sz val="10"/>
      <color theme="1"/>
      <name val="Arial"/>
      <family val="2"/>
    </font>
    <font>
      <sz val="11"/>
      <color rgb="FF1F3864"/>
      <name val="Roboto"/>
    </font>
    <font>
      <b/>
      <sz val="20"/>
      <color theme="1"/>
      <name val="Roboto"/>
      <charset val="1"/>
    </font>
    <font>
      <b/>
      <sz val="14"/>
      <color theme="1"/>
      <name val="Arial"/>
      <family val="2"/>
    </font>
    <font>
      <b/>
      <sz val="14"/>
      <color theme="1"/>
      <name val="Roboto"/>
    </font>
    <font>
      <b/>
      <sz val="9"/>
      <name val="Roboto"/>
    </font>
    <font>
      <sz val="9"/>
      <name val="Roboto"/>
      <charset val="1"/>
    </font>
    <font>
      <b/>
      <sz val="11"/>
      <name val="Roboto"/>
      <charset val="1"/>
    </font>
    <font>
      <b/>
      <sz val="12"/>
      <name val="Roboto"/>
      <charset val="1"/>
    </font>
    <font>
      <sz val="11"/>
      <name val="Roboto"/>
      <charset val="1"/>
    </font>
    <font>
      <b/>
      <sz val="11"/>
      <color rgb="FF000000"/>
      <name val="Roboto"/>
      <charset val="1"/>
    </font>
    <font>
      <b/>
      <sz val="11"/>
      <color rgb="FF000000"/>
      <name val="Roboto"/>
    </font>
    <font>
      <b/>
      <sz val="11"/>
      <color theme="1"/>
      <name val="Roboto"/>
    </font>
    <font>
      <sz val="11"/>
      <color rgb="FF000000"/>
      <name val="Roboto"/>
    </font>
    <font>
      <b/>
      <sz val="11"/>
      <color theme="1" tint="4.9989318521683403E-2"/>
      <name val="Roboto"/>
    </font>
    <font>
      <b/>
      <u/>
      <sz val="12"/>
      <name val="Roboto"/>
      <charset val="1"/>
    </font>
    <font>
      <b/>
      <sz val="13"/>
      <color theme="1"/>
      <name val="Roboto"/>
      <charset val="1"/>
    </font>
    <font>
      <b/>
      <u/>
      <sz val="13"/>
      <color theme="1"/>
      <name val="Roboto"/>
      <charset val="1"/>
    </font>
    <font>
      <b/>
      <u/>
      <sz val="13"/>
      <color rgb="FF000000"/>
      <name val="Roboto"/>
    </font>
    <font>
      <b/>
      <sz val="13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rgb="FFC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F7D7D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 style="medium">
        <color indexed="64"/>
      </right>
      <top style="thin">
        <color rgb="FF999999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rgb="FF999999"/>
      </bottom>
      <diagonal/>
    </border>
    <border>
      <left/>
      <right/>
      <top style="medium">
        <color indexed="64"/>
      </top>
      <bottom style="thin">
        <color rgb="FF999999"/>
      </bottom>
      <diagonal/>
    </border>
    <border>
      <left/>
      <right style="thin">
        <color indexed="64"/>
      </right>
      <top style="medium">
        <color indexed="64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4" fillId="0" borderId="0" xfId="1" applyFont="1" applyAlignment="1">
      <alignment horizontal="right" vertical="center"/>
    </xf>
    <xf numFmtId="0" fontId="1" fillId="0" borderId="0" xfId="1"/>
    <xf numFmtId="0" fontId="6" fillId="0" borderId="0" xfId="1" applyFont="1" applyAlignment="1">
      <alignment horizontal="right" vertical="center" wrapText="1"/>
    </xf>
    <xf numFmtId="0" fontId="7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right" vertical="top"/>
    </xf>
    <xf numFmtId="2" fontId="13" fillId="0" borderId="0" xfId="1" applyNumberFormat="1" applyFont="1" applyAlignment="1">
      <alignment horizontal="right" vertical="center"/>
    </xf>
    <xf numFmtId="2" fontId="13" fillId="0" borderId="0" xfId="1" applyNumberFormat="1" applyFont="1" applyAlignment="1">
      <alignment vertical="center"/>
    </xf>
    <xf numFmtId="10" fontId="13" fillId="0" borderId="0" xfId="1" applyNumberFormat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6" fillId="0" borderId="0" xfId="1" applyFont="1"/>
    <xf numFmtId="0" fontId="18" fillId="0" borderId="0" xfId="1" applyFont="1" applyAlignment="1">
      <alignment vertical="center"/>
    </xf>
    <xf numFmtId="0" fontId="17" fillId="3" borderId="4" xfId="1" applyFont="1" applyFill="1" applyBorder="1" applyAlignment="1">
      <alignment vertical="center"/>
    </xf>
    <xf numFmtId="0" fontId="17" fillId="3" borderId="0" xfId="1" applyFont="1" applyFill="1" applyAlignment="1">
      <alignment vertical="center"/>
    </xf>
    <xf numFmtId="0" fontId="8" fillId="3" borderId="13" xfId="1" applyFont="1" applyFill="1" applyBorder="1" applyAlignment="1">
      <alignment horizontal="left" vertical="center"/>
    </xf>
    <xf numFmtId="14" fontId="9" fillId="3" borderId="11" xfId="1" applyNumberFormat="1" applyFont="1" applyFill="1" applyBorder="1" applyAlignment="1">
      <alignment horizontal="left" vertical="center"/>
    </xf>
    <xf numFmtId="14" fontId="9" fillId="3" borderId="14" xfId="1" applyNumberFormat="1" applyFont="1" applyFill="1" applyBorder="1" applyAlignment="1">
      <alignment horizontal="left" vertical="top"/>
    </xf>
    <xf numFmtId="0" fontId="13" fillId="3" borderId="15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164" fontId="13" fillId="3" borderId="26" xfId="1" applyNumberFormat="1" applyFont="1" applyFill="1" applyBorder="1" applyAlignment="1">
      <alignment horizontal="center" vertical="center"/>
    </xf>
    <xf numFmtId="2" fontId="13" fillId="3" borderId="26" xfId="1" applyNumberFormat="1" applyFont="1" applyFill="1" applyBorder="1" applyAlignment="1">
      <alignment horizontal="center" vertical="center"/>
    </xf>
    <xf numFmtId="0" fontId="29" fillId="4" borderId="24" xfId="1" applyFont="1" applyFill="1" applyBorder="1" applyAlignment="1">
      <alignment horizontal="center" vertical="center"/>
    </xf>
    <xf numFmtId="165" fontId="30" fillId="3" borderId="26" xfId="1" applyNumberFormat="1" applyFont="1" applyFill="1" applyBorder="1" applyAlignment="1">
      <alignment horizontal="left" vertical="center" indent="3"/>
    </xf>
    <xf numFmtId="165" fontId="30" fillId="3" borderId="19" xfId="1" applyNumberFormat="1" applyFont="1" applyFill="1" applyBorder="1" applyAlignment="1">
      <alignment horizontal="left" vertical="center" indent="3"/>
    </xf>
    <xf numFmtId="0" fontId="28" fillId="3" borderId="10" xfId="1" applyFont="1" applyFill="1" applyBorder="1" applyAlignment="1">
      <alignment horizontal="left" vertical="center"/>
    </xf>
    <xf numFmtId="0" fontId="28" fillId="3" borderId="13" xfId="1" applyFont="1" applyFill="1" applyBorder="1" applyAlignment="1">
      <alignment horizontal="left" vertical="top"/>
    </xf>
    <xf numFmtId="0" fontId="28" fillId="3" borderId="13" xfId="1" applyFont="1" applyFill="1" applyBorder="1" applyAlignment="1">
      <alignment horizontal="left" vertical="center"/>
    </xf>
    <xf numFmtId="14" fontId="9" fillId="3" borderId="14" xfId="1" applyNumberFormat="1" applyFont="1" applyFill="1" applyBorder="1" applyAlignment="1">
      <alignment horizontal="left" vertical="center"/>
    </xf>
    <xf numFmtId="0" fontId="8" fillId="3" borderId="10" xfId="1" applyFont="1" applyFill="1" applyBorder="1" applyAlignment="1">
      <alignment horizontal="left" vertical="center"/>
    </xf>
    <xf numFmtId="0" fontId="8" fillId="3" borderId="13" xfId="1" applyFont="1" applyFill="1" applyBorder="1" applyAlignment="1">
      <alignment horizontal="left" vertical="top"/>
    </xf>
    <xf numFmtId="0" fontId="24" fillId="5" borderId="1" xfId="1" applyFont="1" applyFill="1" applyBorder="1" applyAlignment="1">
      <alignment horizontal="center" vertical="center" wrapText="1"/>
    </xf>
    <xf numFmtId="0" fontId="24" fillId="5" borderId="2" xfId="1" applyFont="1" applyFill="1" applyBorder="1" applyAlignment="1">
      <alignment horizontal="center" vertical="center" wrapText="1"/>
    </xf>
    <xf numFmtId="0" fontId="24" fillId="5" borderId="3" xfId="1" applyFont="1" applyFill="1" applyBorder="1" applyAlignment="1">
      <alignment horizontal="center" vertical="center" wrapText="1"/>
    </xf>
    <xf numFmtId="0" fontId="24" fillId="5" borderId="4" xfId="1" applyFont="1" applyFill="1" applyBorder="1" applyAlignment="1">
      <alignment horizontal="center" vertical="center" wrapText="1"/>
    </xf>
    <xf numFmtId="0" fontId="24" fillId="5" borderId="0" xfId="1" applyFont="1" applyFill="1" applyAlignment="1">
      <alignment horizontal="center" vertical="center" wrapText="1"/>
    </xf>
    <xf numFmtId="0" fontId="24" fillId="5" borderId="5" xfId="1" applyFont="1" applyFill="1" applyBorder="1" applyAlignment="1">
      <alignment horizontal="center" vertical="center" wrapText="1"/>
    </xf>
    <xf numFmtId="0" fontId="24" fillId="5" borderId="31" xfId="1" applyFont="1" applyFill="1" applyBorder="1" applyAlignment="1">
      <alignment horizontal="center" vertical="center" wrapText="1"/>
    </xf>
    <xf numFmtId="0" fontId="24" fillId="5" borderId="32" xfId="1" applyFont="1" applyFill="1" applyBorder="1" applyAlignment="1">
      <alignment horizontal="center" vertical="center" wrapText="1"/>
    </xf>
    <xf numFmtId="0" fontId="24" fillId="5" borderId="36" xfId="1" applyFont="1" applyFill="1" applyBorder="1" applyAlignment="1">
      <alignment horizontal="center" vertical="center" wrapText="1"/>
    </xf>
    <xf numFmtId="0" fontId="28" fillId="3" borderId="10" xfId="1" applyFont="1" applyFill="1" applyBorder="1" applyAlignment="1">
      <alignment horizontal="left" vertical="center"/>
    </xf>
    <xf numFmtId="0" fontId="28" fillId="3" borderId="11" xfId="1" applyFont="1" applyFill="1" applyBorder="1" applyAlignment="1">
      <alignment horizontal="left" vertical="center"/>
    </xf>
    <xf numFmtId="0" fontId="28" fillId="3" borderId="13" xfId="1" applyFont="1" applyFill="1" applyBorder="1" applyAlignment="1">
      <alignment horizontal="left" vertical="center"/>
    </xf>
    <xf numFmtId="0" fontId="28" fillId="3" borderId="14" xfId="1" applyFont="1" applyFill="1" applyBorder="1" applyAlignment="1">
      <alignment horizontal="left" vertical="center"/>
    </xf>
    <xf numFmtId="0" fontId="27" fillId="3" borderId="9" xfId="1" applyFont="1" applyFill="1" applyBorder="1" applyAlignment="1">
      <alignment horizontal="left" vertical="center"/>
    </xf>
    <xf numFmtId="0" fontId="27" fillId="3" borderId="10" xfId="1" applyFont="1" applyFill="1" applyBorder="1" applyAlignment="1">
      <alignment horizontal="left" vertical="center"/>
    </xf>
    <xf numFmtId="0" fontId="27" fillId="3" borderId="12" xfId="1" applyFont="1" applyFill="1" applyBorder="1" applyAlignment="1">
      <alignment horizontal="center" vertical="top"/>
    </xf>
    <xf numFmtId="0" fontId="27" fillId="3" borderId="13" xfId="1" applyFont="1" applyFill="1" applyBorder="1" applyAlignment="1">
      <alignment horizontal="center" vertical="top"/>
    </xf>
    <xf numFmtId="165" fontId="21" fillId="6" borderId="19" xfId="1" applyNumberFormat="1" applyFont="1" applyFill="1" applyBorder="1" applyAlignment="1">
      <alignment horizontal="left" vertical="center" indent="1"/>
    </xf>
    <xf numFmtId="165" fontId="21" fillId="6" borderId="35" xfId="1" applyNumberFormat="1" applyFont="1" applyFill="1" applyBorder="1" applyAlignment="1">
      <alignment horizontal="left" vertical="center" indent="1"/>
    </xf>
    <xf numFmtId="0" fontId="29" fillId="4" borderId="22" xfId="1" applyFont="1" applyFill="1" applyBorder="1" applyAlignment="1">
      <alignment horizontal="center" vertical="center"/>
    </xf>
    <xf numFmtId="0" fontId="29" fillId="4" borderId="23" xfId="1" applyFont="1" applyFill="1" applyBorder="1" applyAlignment="1">
      <alignment horizontal="center" vertical="center"/>
    </xf>
    <xf numFmtId="0" fontId="29" fillId="4" borderId="40" xfId="1" applyFont="1" applyFill="1" applyBorder="1" applyAlignment="1">
      <alignment horizontal="center" vertical="center"/>
    </xf>
    <xf numFmtId="0" fontId="30" fillId="3" borderId="15" xfId="1" applyFont="1" applyFill="1" applyBorder="1" applyAlignment="1">
      <alignment horizontal="center" vertical="center"/>
    </xf>
    <xf numFmtId="0" fontId="30" fillId="3" borderId="16" xfId="1" applyFont="1" applyFill="1" applyBorder="1" applyAlignment="1">
      <alignment horizontal="center" vertical="center"/>
    </xf>
    <xf numFmtId="0" fontId="30" fillId="3" borderId="25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16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25" fillId="3" borderId="9" xfId="1" applyFont="1" applyFill="1" applyBorder="1" applyAlignment="1">
      <alignment horizontal="center" vertical="center" wrapText="1"/>
    </xf>
    <xf numFmtId="0" fontId="22" fillId="3" borderId="10" xfId="1" applyFont="1" applyFill="1" applyBorder="1" applyAlignment="1">
      <alignment horizontal="center" vertical="center"/>
    </xf>
    <xf numFmtId="0" fontId="22" fillId="3" borderId="27" xfId="1" applyFont="1" applyFill="1" applyBorder="1" applyAlignment="1">
      <alignment horizontal="center" vertical="center"/>
    </xf>
    <xf numFmtId="0" fontId="22" fillId="3" borderId="4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center" vertical="center"/>
    </xf>
    <xf numFmtId="0" fontId="22" fillId="3" borderId="20" xfId="1" applyFont="1" applyFill="1" applyBorder="1" applyAlignment="1">
      <alignment horizontal="center" vertical="center"/>
    </xf>
    <xf numFmtId="0" fontId="22" fillId="3" borderId="31" xfId="1" applyFont="1" applyFill="1" applyBorder="1" applyAlignment="1">
      <alignment horizontal="center" vertical="center"/>
    </xf>
    <xf numFmtId="0" fontId="22" fillId="3" borderId="32" xfId="1" applyFont="1" applyFill="1" applyBorder="1" applyAlignment="1">
      <alignment horizontal="center" vertical="center"/>
    </xf>
    <xf numFmtId="0" fontId="22" fillId="3" borderId="33" xfId="1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 wrapText="1"/>
    </xf>
    <xf numFmtId="0" fontId="23" fillId="3" borderId="2" xfId="1" applyFont="1" applyFill="1" applyBorder="1" applyAlignment="1">
      <alignment horizontal="center" vertical="center" wrapText="1"/>
    </xf>
    <xf numFmtId="0" fontId="23" fillId="3" borderId="3" xfId="1" applyFont="1" applyFill="1" applyBorder="1" applyAlignment="1">
      <alignment horizontal="center" vertical="center" wrapText="1"/>
    </xf>
    <xf numFmtId="0" fontId="23" fillId="3" borderId="4" xfId="1" applyFont="1" applyFill="1" applyBorder="1" applyAlignment="1">
      <alignment horizontal="center" vertical="center" wrapText="1"/>
    </xf>
    <xf numFmtId="0" fontId="23" fillId="3" borderId="0" xfId="1" applyFont="1" applyFill="1" applyAlignment="1">
      <alignment horizontal="center" vertical="center" wrapText="1"/>
    </xf>
    <xf numFmtId="0" fontId="23" fillId="3" borderId="5" xfId="1" applyFont="1" applyFill="1" applyBorder="1" applyAlignment="1">
      <alignment horizontal="center" vertical="center" wrapText="1"/>
    </xf>
    <xf numFmtId="0" fontId="23" fillId="3" borderId="31" xfId="1" applyFont="1" applyFill="1" applyBorder="1" applyAlignment="1">
      <alignment horizontal="center" vertical="center" wrapText="1"/>
    </xf>
    <xf numFmtId="0" fontId="23" fillId="3" borderId="32" xfId="1" applyFont="1" applyFill="1" applyBorder="1" applyAlignment="1">
      <alignment horizontal="center" vertical="center" wrapText="1"/>
    </xf>
    <xf numFmtId="0" fontId="23" fillId="3" borderId="36" xfId="1" applyFont="1" applyFill="1" applyBorder="1" applyAlignment="1">
      <alignment horizontal="center" vertical="center" wrapText="1"/>
    </xf>
    <xf numFmtId="0" fontId="29" fillId="3" borderId="17" xfId="1" applyFont="1" applyFill="1" applyBorder="1" applyAlignment="1">
      <alignment horizontal="right" vertical="center"/>
    </xf>
    <xf numFmtId="0" fontId="29" fillId="3" borderId="18" xfId="1" applyFont="1" applyFill="1" applyBorder="1" applyAlignment="1">
      <alignment horizontal="right" vertical="center"/>
    </xf>
    <xf numFmtId="0" fontId="31" fillId="3" borderId="17" xfId="1" applyFont="1" applyFill="1" applyBorder="1" applyAlignment="1">
      <alignment horizontal="right" vertical="center"/>
    </xf>
    <xf numFmtId="0" fontId="31" fillId="3" borderId="18" xfId="1" applyFont="1" applyFill="1" applyBorder="1" applyAlignment="1">
      <alignment horizontal="right" vertical="center"/>
    </xf>
    <xf numFmtId="0" fontId="20" fillId="5" borderId="21" xfId="1" applyFont="1" applyFill="1" applyBorder="1" applyAlignment="1">
      <alignment horizontal="right" vertical="center"/>
    </xf>
    <xf numFmtId="0" fontId="20" fillId="5" borderId="0" xfId="1" applyFont="1" applyFill="1" applyAlignment="1">
      <alignment horizontal="right" vertical="center"/>
    </xf>
    <xf numFmtId="0" fontId="20" fillId="5" borderId="34" xfId="1" applyFont="1" applyFill="1" applyBorder="1" applyAlignment="1">
      <alignment horizontal="right" vertical="center"/>
    </xf>
    <xf numFmtId="0" fontId="20" fillId="5" borderId="32" xfId="1" applyFont="1" applyFill="1" applyBorder="1" applyAlignment="1">
      <alignment horizontal="right" vertical="center"/>
    </xf>
    <xf numFmtId="0" fontId="2" fillId="2" borderId="37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19" fillId="3" borderId="4" xfId="1" applyFont="1" applyFill="1" applyBorder="1" applyAlignment="1">
      <alignment horizontal="left" vertical="center"/>
    </xf>
    <xf numFmtId="0" fontId="19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33" fillId="3" borderId="4" xfId="1" applyFont="1" applyFill="1" applyBorder="1" applyAlignment="1">
      <alignment horizontal="left" vertical="top" wrapText="1"/>
    </xf>
    <xf numFmtId="0" fontId="33" fillId="3" borderId="0" xfId="1" applyFont="1" applyFill="1" applyAlignment="1">
      <alignment horizontal="left" vertical="top" wrapText="1"/>
    </xf>
    <xf numFmtId="0" fontId="10" fillId="5" borderId="6" xfId="1" applyFont="1" applyFill="1" applyBorder="1" applyAlignment="1">
      <alignment horizontal="left" vertical="center"/>
    </xf>
    <xf numFmtId="0" fontId="10" fillId="5" borderId="7" xfId="1" applyFont="1" applyFill="1" applyBorder="1" applyAlignment="1">
      <alignment horizontal="left" vertical="center"/>
    </xf>
    <xf numFmtId="0" fontId="10" fillId="5" borderId="8" xfId="1" applyFont="1" applyFill="1" applyBorder="1" applyAlignment="1">
      <alignment horizontal="left" vertical="center"/>
    </xf>
    <xf numFmtId="0" fontId="13" fillId="3" borderId="28" xfId="1" applyFont="1" applyFill="1" applyBorder="1" applyAlignment="1">
      <alignment horizontal="center" vertical="center"/>
    </xf>
    <xf numFmtId="0" fontId="13" fillId="3" borderId="29" xfId="1" applyFont="1" applyFill="1" applyBorder="1" applyAlignment="1">
      <alignment horizontal="center" vertical="center"/>
    </xf>
    <xf numFmtId="0" fontId="13" fillId="3" borderId="30" xfId="1" applyFont="1" applyFill="1" applyBorder="1" applyAlignment="1">
      <alignment horizontal="center" vertical="center"/>
    </xf>
    <xf numFmtId="0" fontId="30" fillId="3" borderId="28" xfId="1" applyFont="1" applyFill="1" applyBorder="1" applyAlignment="1">
      <alignment horizontal="center" vertical="center"/>
    </xf>
    <xf numFmtId="0" fontId="30" fillId="3" borderId="29" xfId="1" applyFont="1" applyFill="1" applyBorder="1" applyAlignment="1">
      <alignment horizontal="center" vertical="center"/>
    </xf>
    <xf numFmtId="0" fontId="30" fillId="3" borderId="3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right" vertical="center"/>
    </xf>
    <xf numFmtId="0" fontId="5" fillId="3" borderId="5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5" fillId="3" borderId="14" xfId="1" applyFont="1" applyFill="1" applyBorder="1" applyAlignment="1">
      <alignment horizontal="right" vertical="center"/>
    </xf>
    <xf numFmtId="0" fontId="8" fillId="3" borderId="12" xfId="1" applyFont="1" applyFill="1" applyBorder="1" applyAlignment="1">
      <alignment horizontal="left" vertical="center"/>
    </xf>
    <xf numFmtId="0" fontId="8" fillId="3" borderId="13" xfId="1" applyFont="1" applyFill="1" applyBorder="1" applyAlignment="1">
      <alignment horizontal="left" vertical="center"/>
    </xf>
    <xf numFmtId="0" fontId="28" fillId="3" borderId="13" xfId="1" applyFont="1" applyFill="1" applyBorder="1" applyAlignment="1">
      <alignment horizontal="left" vertical="top"/>
    </xf>
    <xf numFmtId="0" fontId="28" fillId="3" borderId="14" xfId="1" applyFont="1" applyFill="1" applyBorder="1" applyAlignment="1">
      <alignment horizontal="left" vertical="top"/>
    </xf>
    <xf numFmtId="0" fontId="30" fillId="3" borderId="28" xfId="1" applyFont="1" applyFill="1" applyBorder="1" applyAlignment="1">
      <alignment horizontal="center" vertical="center" wrapText="1"/>
    </xf>
    <xf numFmtId="0" fontId="30" fillId="3" borderId="29" xfId="1" applyFont="1" applyFill="1" applyBorder="1" applyAlignment="1">
      <alignment horizontal="center" vertical="center" wrapText="1"/>
    </xf>
    <xf numFmtId="0" fontId="30" fillId="3" borderId="30" xfId="1" applyFont="1" applyFill="1" applyBorder="1" applyAlignment="1">
      <alignment horizontal="center" vertical="center" wrapText="1"/>
    </xf>
    <xf numFmtId="165" fontId="30" fillId="3" borderId="41" xfId="1" applyNumberFormat="1" applyFont="1" applyFill="1" applyBorder="1" applyAlignment="1">
      <alignment horizontal="left" vertical="center" indent="3"/>
    </xf>
    <xf numFmtId="165" fontId="30" fillId="3" borderId="42" xfId="1" applyNumberFormat="1" applyFont="1" applyFill="1" applyBorder="1" applyAlignment="1">
      <alignment horizontal="left" vertical="center" indent="3"/>
    </xf>
    <xf numFmtId="165" fontId="21" fillId="6" borderId="19" xfId="1" applyNumberFormat="1" applyFont="1" applyFill="1" applyBorder="1" applyAlignment="1">
      <alignment horizontal="left" vertical="center" indent="2"/>
    </xf>
    <xf numFmtId="165" fontId="21" fillId="6" borderId="35" xfId="1" applyNumberFormat="1" applyFont="1" applyFill="1" applyBorder="1" applyAlignment="1">
      <alignment horizontal="left" vertical="center" indent="2"/>
    </xf>
    <xf numFmtId="0" fontId="29" fillId="4" borderId="43" xfId="1" applyFont="1" applyFill="1" applyBorder="1" applyAlignment="1">
      <alignment horizontal="center" vertical="center"/>
    </xf>
    <xf numFmtId="0" fontId="29" fillId="4" borderId="44" xfId="1" applyFont="1" applyFill="1" applyBorder="1" applyAlignment="1">
      <alignment horizontal="center" vertical="center"/>
    </xf>
    <xf numFmtId="0" fontId="29" fillId="4" borderId="45" xfId="1" applyFont="1" applyFill="1" applyBorder="1" applyAlignment="1">
      <alignment horizontal="center" vertical="center"/>
    </xf>
    <xf numFmtId="0" fontId="33" fillId="3" borderId="10" xfId="1" applyFont="1" applyFill="1" applyBorder="1" applyAlignment="1">
      <alignment horizontal="left" vertical="center" wrapText="1"/>
    </xf>
    <xf numFmtId="0" fontId="33" fillId="3" borderId="11" xfId="1" applyFont="1" applyFill="1" applyBorder="1" applyAlignment="1">
      <alignment horizontal="left" vertical="center" wrapText="1"/>
    </xf>
    <xf numFmtId="0" fontId="33" fillId="3" borderId="4" xfId="1" applyFont="1" applyFill="1" applyBorder="1" applyAlignment="1">
      <alignment horizontal="left" vertical="center" wrapText="1"/>
    </xf>
    <xf numFmtId="0" fontId="33" fillId="3" borderId="0" xfId="1" applyFont="1" applyFill="1" applyAlignment="1">
      <alignment horizontal="left" vertical="center" wrapText="1"/>
    </xf>
    <xf numFmtId="0" fontId="33" fillId="3" borderId="5" xfId="1" applyFont="1" applyFill="1" applyBorder="1" applyAlignment="1">
      <alignment horizontal="left" vertical="center" wrapText="1"/>
    </xf>
    <xf numFmtId="0" fontId="33" fillId="3" borderId="31" xfId="1" applyFont="1" applyFill="1" applyBorder="1" applyAlignment="1">
      <alignment horizontal="left" vertical="center" wrapText="1"/>
    </xf>
    <xf numFmtId="0" fontId="33" fillId="3" borderId="32" xfId="1" applyFont="1" applyFill="1" applyBorder="1" applyAlignment="1">
      <alignment horizontal="left" vertical="center" wrapText="1"/>
    </xf>
    <xf numFmtId="0" fontId="33" fillId="3" borderId="36" xfId="1" applyFont="1" applyFill="1" applyBorder="1" applyAlignment="1">
      <alignment horizontal="left" vertical="center" wrapText="1"/>
    </xf>
    <xf numFmtId="0" fontId="34" fillId="3" borderId="9" xfId="1" applyFont="1" applyFill="1" applyBorder="1" applyAlignment="1">
      <alignment horizontal="left" vertical="center" wrapText="1"/>
    </xf>
    <xf numFmtId="0" fontId="33" fillId="3" borderId="10" xfId="1" applyFont="1" applyFill="1" applyBorder="1" applyAlignment="1">
      <alignment horizontal="left" vertical="center"/>
    </xf>
    <xf numFmtId="0" fontId="33" fillId="3" borderId="11" xfId="1" applyFont="1" applyFill="1" applyBorder="1" applyAlignment="1">
      <alignment horizontal="left" vertical="center"/>
    </xf>
    <xf numFmtId="0" fontId="33" fillId="3" borderId="4" xfId="1" applyFont="1" applyFill="1" applyBorder="1" applyAlignment="1">
      <alignment horizontal="left" vertical="center"/>
    </xf>
    <xf numFmtId="0" fontId="33" fillId="3" borderId="0" xfId="1" applyFont="1" applyFill="1" applyAlignment="1">
      <alignment horizontal="left" vertical="center"/>
    </xf>
    <xf numFmtId="0" fontId="33" fillId="3" borderId="5" xfId="1" applyFont="1" applyFill="1" applyBorder="1" applyAlignment="1">
      <alignment horizontal="left" vertical="center"/>
    </xf>
    <xf numFmtId="0" fontId="33" fillId="3" borderId="31" xfId="1" applyFont="1" applyFill="1" applyBorder="1" applyAlignment="1">
      <alignment horizontal="left" vertical="center"/>
    </xf>
    <xf numFmtId="0" fontId="33" fillId="3" borderId="32" xfId="1" applyFont="1" applyFill="1" applyBorder="1" applyAlignment="1">
      <alignment horizontal="left" vertical="center"/>
    </xf>
    <xf numFmtId="0" fontId="33" fillId="3" borderId="36" xfId="1" applyFont="1" applyFill="1" applyBorder="1" applyAlignment="1">
      <alignment horizontal="left" vertical="center"/>
    </xf>
    <xf numFmtId="0" fontId="36" fillId="3" borderId="9" xfId="1" applyFont="1" applyFill="1" applyBorder="1" applyAlignment="1">
      <alignment horizontal="left" vertical="center" wrapText="1"/>
    </xf>
    <xf numFmtId="0" fontId="1" fillId="5" borderId="6" xfId="1" applyFill="1" applyBorder="1" applyAlignment="1"/>
    <xf numFmtId="0" fontId="1" fillId="5" borderId="7" xfId="1" applyFill="1" applyBorder="1" applyAlignment="1"/>
    <xf numFmtId="0" fontId="1" fillId="5" borderId="8" xfId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74083</xdr:colOff>
      <xdr:row>1</xdr:row>
      <xdr:rowOff>33074</xdr:rowOff>
    </xdr:from>
    <xdr:to>
      <xdr:col>5</xdr:col>
      <xdr:colOff>1086783</xdr:colOff>
      <xdr:row>2</xdr:row>
      <xdr:rowOff>788388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41458" y="485512"/>
          <a:ext cx="1012700" cy="120775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74084</xdr:colOff>
      <xdr:row>1</xdr:row>
      <xdr:rowOff>31750</xdr:rowOff>
    </xdr:from>
    <xdr:to>
      <xdr:col>5</xdr:col>
      <xdr:colOff>1086784</xdr:colOff>
      <xdr:row>3</xdr:row>
      <xdr:rowOff>342564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7" y="486833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63500</xdr:colOff>
      <xdr:row>1</xdr:row>
      <xdr:rowOff>21166</xdr:rowOff>
    </xdr:from>
    <xdr:to>
      <xdr:col>5</xdr:col>
      <xdr:colOff>1076200</xdr:colOff>
      <xdr:row>3</xdr:row>
      <xdr:rowOff>310813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25583" y="476249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74085</xdr:colOff>
      <xdr:row>1</xdr:row>
      <xdr:rowOff>31751</xdr:rowOff>
    </xdr:from>
    <xdr:to>
      <xdr:col>5</xdr:col>
      <xdr:colOff>1086785</xdr:colOff>
      <xdr:row>2</xdr:row>
      <xdr:rowOff>892898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36168" y="486834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66801</xdr:colOff>
      <xdr:row>1</xdr:row>
      <xdr:rowOff>31752</xdr:rowOff>
    </xdr:from>
    <xdr:to>
      <xdr:col>5</xdr:col>
      <xdr:colOff>1079501</xdr:colOff>
      <xdr:row>3</xdr:row>
      <xdr:rowOff>130899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28884" y="486835"/>
          <a:ext cx="1012700" cy="119981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84667</xdr:colOff>
      <xdr:row>1</xdr:row>
      <xdr:rowOff>42336</xdr:rowOff>
    </xdr:from>
    <xdr:to>
      <xdr:col>5</xdr:col>
      <xdr:colOff>1090085</xdr:colOff>
      <xdr:row>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298" t="16995" r="27919" b="28097"/>
        <a:stretch/>
      </xdr:blipFill>
      <xdr:spPr>
        <a:xfrm>
          <a:off x="5746750" y="497419"/>
          <a:ext cx="1005418" cy="121708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989"/>
  <sheetViews>
    <sheetView showGridLines="0" tabSelected="1" zoomScale="90" zoomScaleNormal="90" workbookViewId="0">
      <selection activeCell="B16" sqref="B16"/>
    </sheetView>
  </sheetViews>
  <sheetFormatPr defaultColWidth="14.42578125" defaultRowHeight="15" customHeight="1"/>
  <cols>
    <col min="1" max="1" width="25.285156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35.25" customHeight="1">
      <c r="A2" s="94" t="s">
        <v>1</v>
      </c>
      <c r="B2" s="95"/>
      <c r="C2" s="95"/>
      <c r="D2" s="95"/>
      <c r="E2" s="96"/>
      <c r="F2" s="97"/>
      <c r="G2" s="1"/>
    </row>
    <row r="3" spans="1:7" ht="65.25" customHeight="1">
      <c r="A3" s="98" t="s">
        <v>2</v>
      </c>
      <c r="B3" s="99"/>
      <c r="C3" s="99"/>
      <c r="D3" s="99"/>
      <c r="E3" s="96"/>
      <c r="F3" s="97"/>
      <c r="G3" s="3"/>
    </row>
    <row r="4" spans="1:7" ht="3.75" customHeight="1">
      <c r="A4" s="145"/>
      <c r="B4" s="146"/>
      <c r="C4" s="146"/>
      <c r="D4" s="146"/>
      <c r="E4" s="146"/>
      <c r="F4" s="147"/>
      <c r="G4" s="4"/>
    </row>
    <row r="5" spans="1:7" ht="19.5" customHeight="1">
      <c r="A5" s="50" t="s">
        <v>3</v>
      </c>
      <c r="B5" s="51"/>
      <c r="C5" s="51"/>
      <c r="D5" s="46" t="s">
        <v>4</v>
      </c>
      <c r="E5" s="46"/>
      <c r="F5" s="47"/>
      <c r="G5" s="5"/>
    </row>
    <row r="6" spans="1:7" ht="16.899999999999999" customHeight="1">
      <c r="A6" s="52"/>
      <c r="B6" s="53"/>
      <c r="C6" s="53"/>
      <c r="D6" s="48" t="s">
        <v>5</v>
      </c>
      <c r="E6" s="48"/>
      <c r="F6" s="49"/>
      <c r="G6" s="4"/>
    </row>
    <row r="7" spans="1:7" ht="4.1500000000000004" customHeight="1">
      <c r="A7" s="100"/>
      <c r="B7" s="101"/>
      <c r="C7" s="101"/>
      <c r="D7" s="101"/>
      <c r="E7" s="101"/>
      <c r="F7" s="102"/>
      <c r="G7" s="4"/>
    </row>
    <row r="8" spans="1:7" ht="21.75" customHeight="1">
      <c r="A8" s="144" t="s">
        <v>6</v>
      </c>
      <c r="B8" s="127"/>
      <c r="C8" s="127"/>
      <c r="D8" s="127"/>
      <c r="E8" s="127"/>
      <c r="F8" s="128"/>
      <c r="G8" s="6"/>
    </row>
    <row r="9" spans="1:7" ht="21" customHeight="1">
      <c r="A9" s="129"/>
      <c r="B9" s="130"/>
      <c r="C9" s="130"/>
      <c r="D9" s="130"/>
      <c r="E9" s="130"/>
      <c r="F9" s="131"/>
      <c r="G9" s="7"/>
    </row>
    <row r="10" spans="1:7" ht="33" customHeight="1">
      <c r="A10" s="132"/>
      <c r="B10" s="133"/>
      <c r="C10" s="133"/>
      <c r="D10" s="133"/>
      <c r="E10" s="133"/>
      <c r="F10" s="134"/>
      <c r="G10" s="8"/>
    </row>
    <row r="11" spans="1:7" ht="18" customHeight="1">
      <c r="A11" s="56" t="s">
        <v>7</v>
      </c>
      <c r="B11" s="57"/>
      <c r="C11" s="57"/>
      <c r="D11" s="57"/>
      <c r="E11" s="58"/>
      <c r="F11" s="28" t="s">
        <v>8</v>
      </c>
      <c r="G11" s="4"/>
    </row>
    <row r="12" spans="1:7" ht="18" customHeight="1">
      <c r="A12" s="59" t="s">
        <v>9</v>
      </c>
      <c r="B12" s="60"/>
      <c r="C12" s="60"/>
      <c r="D12" s="60"/>
      <c r="E12" s="61"/>
      <c r="F12" s="29">
        <v>276667</v>
      </c>
      <c r="G12" s="9"/>
    </row>
    <row r="13" spans="1:7" ht="18" customHeight="1">
      <c r="A13" s="62"/>
      <c r="B13" s="63"/>
      <c r="C13" s="63"/>
      <c r="D13" s="63"/>
      <c r="E13" s="64"/>
      <c r="F13" s="26"/>
      <c r="G13" s="9"/>
    </row>
    <row r="14" spans="1:7" ht="18" customHeight="1">
      <c r="A14" s="62"/>
      <c r="B14" s="63"/>
      <c r="C14" s="63"/>
      <c r="D14" s="63"/>
      <c r="E14" s="64"/>
      <c r="F14" s="26"/>
      <c r="G14" s="9"/>
    </row>
    <row r="15" spans="1:7" ht="18" customHeight="1">
      <c r="A15" s="23"/>
      <c r="B15" s="24"/>
      <c r="C15" s="24"/>
      <c r="D15" s="24"/>
      <c r="E15" s="25"/>
      <c r="F15" s="26"/>
      <c r="G15" s="9"/>
    </row>
    <row r="16" spans="1:7" ht="18" customHeight="1">
      <c r="A16" s="23"/>
      <c r="B16" s="24"/>
      <c r="C16" s="24"/>
      <c r="D16" s="24"/>
      <c r="E16" s="25"/>
      <c r="F16" s="26"/>
      <c r="G16" s="9"/>
    </row>
    <row r="17" spans="1:7" ht="18" customHeight="1">
      <c r="A17" s="23"/>
      <c r="B17" s="24"/>
      <c r="C17" s="24"/>
      <c r="D17" s="24"/>
      <c r="E17" s="25"/>
      <c r="F17" s="26"/>
      <c r="G17" s="9"/>
    </row>
    <row r="18" spans="1:7" ht="18" customHeight="1">
      <c r="A18" s="62"/>
      <c r="B18" s="63"/>
      <c r="C18" s="63"/>
      <c r="D18" s="63"/>
      <c r="E18" s="64"/>
      <c r="F18" s="26"/>
      <c r="G18" s="9"/>
    </row>
    <row r="19" spans="1:7" ht="18" customHeight="1">
      <c r="A19" s="62"/>
      <c r="B19" s="63"/>
      <c r="C19" s="63"/>
      <c r="D19" s="63"/>
      <c r="E19" s="64"/>
      <c r="F19" s="26"/>
      <c r="G19" s="9"/>
    </row>
    <row r="20" spans="1:7" ht="18" customHeight="1">
      <c r="A20" s="62"/>
      <c r="B20" s="63"/>
      <c r="C20" s="63"/>
      <c r="D20" s="63"/>
      <c r="E20" s="64"/>
      <c r="F20" s="27"/>
      <c r="G20" s="9"/>
    </row>
    <row r="21" spans="1:7" ht="19.5" customHeight="1">
      <c r="A21" s="65" t="s">
        <v>10</v>
      </c>
      <c r="B21" s="66"/>
      <c r="C21" s="67"/>
      <c r="D21" s="83" t="s">
        <v>11</v>
      </c>
      <c r="E21" s="84"/>
      <c r="F21" s="30">
        <f>F12</f>
        <v>276667</v>
      </c>
      <c r="G21" s="10"/>
    </row>
    <row r="22" spans="1:7" ht="19.5" customHeight="1">
      <c r="A22" s="68"/>
      <c r="B22" s="69"/>
      <c r="C22" s="70"/>
      <c r="D22" s="85" t="s">
        <v>12</v>
      </c>
      <c r="E22" s="86"/>
      <c r="F22" s="30">
        <f>F21*5/100</f>
        <v>13833.35</v>
      </c>
      <c r="G22" s="11"/>
    </row>
    <row r="23" spans="1:7" ht="22.9" customHeight="1">
      <c r="A23" s="68"/>
      <c r="B23" s="69"/>
      <c r="C23" s="70"/>
      <c r="D23" s="87" t="s">
        <v>13</v>
      </c>
      <c r="E23" s="88"/>
      <c r="F23" s="54">
        <f>SUM(F21:F22)</f>
        <v>290500.34999999998</v>
      </c>
      <c r="G23" s="12"/>
    </row>
    <row r="24" spans="1:7" ht="22.9" customHeight="1" thickBot="1">
      <c r="A24" s="71"/>
      <c r="B24" s="72"/>
      <c r="C24" s="73"/>
      <c r="D24" s="89"/>
      <c r="E24" s="90"/>
      <c r="F24" s="55"/>
      <c r="G24" s="12"/>
    </row>
    <row r="25" spans="1:7" ht="15.75" customHeight="1">
      <c r="A25" s="74" t="s">
        <v>14</v>
      </c>
      <c r="B25" s="75"/>
      <c r="C25" s="75"/>
      <c r="D25" s="75"/>
      <c r="E25" s="75"/>
      <c r="F25" s="76"/>
      <c r="G25" s="13"/>
    </row>
    <row r="26" spans="1:7" ht="15.75" customHeight="1">
      <c r="A26" s="77"/>
      <c r="B26" s="78"/>
      <c r="C26" s="78"/>
      <c r="D26" s="78"/>
      <c r="E26" s="78"/>
      <c r="F26" s="79"/>
      <c r="G26" s="14"/>
    </row>
    <row r="27" spans="1:7" ht="21" customHeight="1" thickBot="1">
      <c r="A27" s="80"/>
      <c r="B27" s="81"/>
      <c r="C27" s="81"/>
      <c r="D27" s="81"/>
      <c r="E27" s="81"/>
      <c r="F27" s="82"/>
      <c r="G27" s="15"/>
    </row>
    <row r="28" spans="1:7" ht="15.75" customHeight="1">
      <c r="A28" s="37" t="s">
        <v>15</v>
      </c>
      <c r="B28" s="38"/>
      <c r="C28" s="38"/>
      <c r="D28" s="38"/>
      <c r="E28" s="38"/>
      <c r="F28" s="39"/>
      <c r="G28" s="16"/>
    </row>
    <row r="29" spans="1:7" ht="15.75" customHeight="1">
      <c r="A29" s="40"/>
      <c r="B29" s="41"/>
      <c r="C29" s="41"/>
      <c r="D29" s="41"/>
      <c r="E29" s="41"/>
      <c r="F29" s="42"/>
    </row>
    <row r="30" spans="1:7" ht="15.75" customHeight="1" thickBot="1">
      <c r="A30" s="43"/>
      <c r="B30" s="44"/>
      <c r="C30" s="44"/>
      <c r="D30" s="44"/>
      <c r="E30" s="44"/>
      <c r="F30" s="45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5">
    <mergeCell ref="D22:E22"/>
    <mergeCell ref="D23:E24"/>
    <mergeCell ref="A1:F1"/>
    <mergeCell ref="A2:D2"/>
    <mergeCell ref="E2:F3"/>
    <mergeCell ref="A3:D3"/>
    <mergeCell ref="A4:F4"/>
    <mergeCell ref="A7:F7"/>
    <mergeCell ref="A8:F10"/>
    <mergeCell ref="A28:F30"/>
    <mergeCell ref="D5:F5"/>
    <mergeCell ref="D6:F6"/>
    <mergeCell ref="A5:C5"/>
    <mergeCell ref="A6:C6"/>
    <mergeCell ref="F23:F24"/>
    <mergeCell ref="A11:E11"/>
    <mergeCell ref="A12:E12"/>
    <mergeCell ref="A13:E13"/>
    <mergeCell ref="A14:E14"/>
    <mergeCell ref="A18:E18"/>
    <mergeCell ref="A19:E19"/>
    <mergeCell ref="A20:E20"/>
    <mergeCell ref="A21:C24"/>
    <mergeCell ref="A25:F27"/>
    <mergeCell ref="D21:E21"/>
  </mergeCells>
  <printOptions horizontalCentered="1"/>
  <pageMargins left="0" right="0" top="1.3779527559055118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A9" sqref="A9:F11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29.25" customHeight="1">
      <c r="A2" s="94" t="s">
        <v>1</v>
      </c>
      <c r="B2" s="95"/>
      <c r="C2" s="95"/>
      <c r="D2" s="95"/>
      <c r="E2" s="109"/>
      <c r="F2" s="110"/>
      <c r="G2" s="1"/>
    </row>
    <row r="3" spans="1:7" ht="40.5" customHeight="1">
      <c r="A3" s="98" t="s">
        <v>2</v>
      </c>
      <c r="B3" s="99"/>
      <c r="C3" s="99"/>
      <c r="D3" s="99"/>
      <c r="E3" s="109"/>
      <c r="F3" s="110"/>
      <c r="G3" s="3"/>
    </row>
    <row r="4" spans="1:7" ht="29.25" customHeight="1">
      <c r="A4" s="18"/>
      <c r="B4" s="19"/>
      <c r="C4" s="19"/>
      <c r="D4" s="19"/>
      <c r="E4" s="111"/>
      <c r="F4" s="112"/>
      <c r="G4" s="3"/>
    </row>
    <row r="5" spans="1:7" ht="4.1500000000000004" customHeight="1">
      <c r="A5" s="145"/>
      <c r="B5" s="146"/>
      <c r="C5" s="146"/>
      <c r="D5" s="146"/>
      <c r="E5" s="146"/>
      <c r="F5" s="147"/>
      <c r="G5" s="4"/>
    </row>
    <row r="6" spans="1:7" ht="17.45" customHeight="1">
      <c r="A6" s="50" t="s">
        <v>16</v>
      </c>
      <c r="B6" s="51"/>
      <c r="C6" s="51"/>
      <c r="D6" s="46" t="s">
        <v>17</v>
      </c>
      <c r="E6" s="46"/>
      <c r="F6" s="21"/>
      <c r="G6" s="5"/>
    </row>
    <row r="7" spans="1:7" ht="16.899999999999999" customHeight="1">
      <c r="A7" s="113"/>
      <c r="B7" s="114"/>
      <c r="C7" s="114"/>
      <c r="D7" s="33" t="s">
        <v>5</v>
      </c>
      <c r="E7" s="20"/>
      <c r="F7" s="34"/>
      <c r="G7" s="4"/>
    </row>
    <row r="8" spans="1:7" ht="4.1500000000000004" customHeight="1">
      <c r="A8" s="100"/>
      <c r="B8" s="101"/>
      <c r="C8" s="101"/>
      <c r="D8" s="101"/>
      <c r="E8" s="101"/>
      <c r="F8" s="102"/>
      <c r="G8" s="4"/>
    </row>
    <row r="9" spans="1:7" ht="22.15" customHeight="1">
      <c r="A9" s="135" t="s">
        <v>18</v>
      </c>
      <c r="B9" s="136"/>
      <c r="C9" s="136"/>
      <c r="D9" s="136"/>
      <c r="E9" s="136"/>
      <c r="F9" s="137"/>
      <c r="G9" s="6"/>
    </row>
    <row r="10" spans="1:7" ht="18" customHeight="1">
      <c r="A10" s="138"/>
      <c r="B10" s="139"/>
      <c r="C10" s="139"/>
      <c r="D10" s="139"/>
      <c r="E10" s="139"/>
      <c r="F10" s="140"/>
      <c r="G10" s="7"/>
    </row>
    <row r="11" spans="1:7" ht="31.5" customHeight="1" thickBot="1">
      <c r="A11" s="141"/>
      <c r="B11" s="142"/>
      <c r="C11" s="142"/>
      <c r="D11" s="142"/>
      <c r="E11" s="142"/>
      <c r="F11" s="143"/>
      <c r="G11" s="8"/>
    </row>
    <row r="12" spans="1:7" ht="18" customHeight="1">
      <c r="A12" s="56" t="s">
        <v>7</v>
      </c>
      <c r="B12" s="57"/>
      <c r="C12" s="57"/>
      <c r="D12" s="57"/>
      <c r="E12" s="58"/>
      <c r="F12" s="28" t="s">
        <v>8</v>
      </c>
      <c r="G12" s="4"/>
    </row>
    <row r="13" spans="1:7" ht="18" customHeight="1">
      <c r="A13" s="106" t="s">
        <v>19</v>
      </c>
      <c r="B13" s="107"/>
      <c r="C13" s="107"/>
      <c r="D13" s="107"/>
      <c r="E13" s="108"/>
      <c r="F13" s="29">
        <v>142857</v>
      </c>
      <c r="G13" s="9"/>
    </row>
    <row r="14" spans="1:7" ht="18" customHeight="1">
      <c r="A14" s="103"/>
      <c r="B14" s="104"/>
      <c r="C14" s="104"/>
      <c r="D14" s="104"/>
      <c r="E14" s="105"/>
      <c r="F14" s="26"/>
      <c r="G14" s="9"/>
    </row>
    <row r="15" spans="1:7" ht="18" customHeight="1">
      <c r="A15" s="103"/>
      <c r="B15" s="104"/>
      <c r="C15" s="104"/>
      <c r="D15" s="104"/>
      <c r="E15" s="105"/>
      <c r="F15" s="26"/>
      <c r="G15" s="9"/>
    </row>
    <row r="16" spans="1:7" ht="18" customHeight="1">
      <c r="A16" s="103"/>
      <c r="B16" s="104"/>
      <c r="C16" s="104"/>
      <c r="D16" s="104"/>
      <c r="E16" s="105"/>
      <c r="F16" s="26"/>
      <c r="G16" s="9"/>
    </row>
    <row r="17" spans="1:7" ht="18" customHeight="1">
      <c r="A17" s="103"/>
      <c r="B17" s="104"/>
      <c r="C17" s="104"/>
      <c r="D17" s="104"/>
      <c r="E17" s="105"/>
      <c r="F17" s="26"/>
      <c r="G17" s="9"/>
    </row>
    <row r="18" spans="1:7" ht="18" customHeight="1">
      <c r="A18" s="103"/>
      <c r="B18" s="104"/>
      <c r="C18" s="104"/>
      <c r="D18" s="104"/>
      <c r="E18" s="105"/>
      <c r="F18" s="26"/>
      <c r="G18" s="9"/>
    </row>
    <row r="19" spans="1:7" ht="18" customHeight="1">
      <c r="A19" s="103"/>
      <c r="B19" s="104"/>
      <c r="C19" s="104"/>
      <c r="D19" s="104"/>
      <c r="E19" s="105"/>
      <c r="F19" s="26"/>
      <c r="G19" s="9"/>
    </row>
    <row r="20" spans="1:7" ht="18" customHeight="1">
      <c r="A20" s="103"/>
      <c r="B20" s="104"/>
      <c r="C20" s="104"/>
      <c r="D20" s="104"/>
      <c r="E20" s="105"/>
      <c r="F20" s="27"/>
      <c r="G20" s="9"/>
    </row>
    <row r="21" spans="1:7" ht="19.5" customHeight="1">
      <c r="A21" s="65" t="s">
        <v>10</v>
      </c>
      <c r="B21" s="66"/>
      <c r="C21" s="67"/>
      <c r="D21" s="83" t="s">
        <v>11</v>
      </c>
      <c r="E21" s="84"/>
      <c r="F21" s="30">
        <f>F13</f>
        <v>142857</v>
      </c>
      <c r="G21" s="10"/>
    </row>
    <row r="22" spans="1:7" ht="19.5" customHeight="1">
      <c r="A22" s="68"/>
      <c r="B22" s="69"/>
      <c r="C22" s="70"/>
      <c r="D22" s="85" t="s">
        <v>12</v>
      </c>
      <c r="E22" s="86"/>
      <c r="F22" s="30">
        <f>F21*5/100</f>
        <v>7142.85</v>
      </c>
      <c r="G22" s="11"/>
    </row>
    <row r="23" spans="1:7" ht="22.9" customHeight="1">
      <c r="A23" s="68"/>
      <c r="B23" s="69"/>
      <c r="C23" s="70"/>
      <c r="D23" s="87" t="s">
        <v>13</v>
      </c>
      <c r="E23" s="88"/>
      <c r="F23" s="54">
        <f>SUM(F21:F22)</f>
        <v>149999.85</v>
      </c>
      <c r="G23" s="12"/>
    </row>
    <row r="24" spans="1:7" ht="22.9" customHeight="1" thickBot="1">
      <c r="A24" s="71"/>
      <c r="B24" s="72"/>
      <c r="C24" s="73"/>
      <c r="D24" s="89"/>
      <c r="E24" s="90"/>
      <c r="F24" s="55"/>
      <c r="G24" s="12"/>
    </row>
    <row r="25" spans="1:7" ht="15.75" customHeight="1">
      <c r="A25" s="74" t="s">
        <v>14</v>
      </c>
      <c r="B25" s="75"/>
      <c r="C25" s="75"/>
      <c r="D25" s="75"/>
      <c r="E25" s="75"/>
      <c r="F25" s="76"/>
      <c r="G25" s="13"/>
    </row>
    <row r="26" spans="1:7" ht="15.75" customHeight="1">
      <c r="A26" s="77"/>
      <c r="B26" s="78"/>
      <c r="C26" s="78"/>
      <c r="D26" s="78"/>
      <c r="E26" s="78"/>
      <c r="F26" s="79"/>
      <c r="G26" s="14"/>
    </row>
    <row r="27" spans="1:7" ht="21" customHeight="1" thickBot="1">
      <c r="A27" s="80"/>
      <c r="B27" s="81"/>
      <c r="C27" s="81"/>
      <c r="D27" s="81"/>
      <c r="E27" s="81"/>
      <c r="F27" s="82"/>
      <c r="G27" s="15"/>
    </row>
    <row r="28" spans="1:7" ht="15.75" customHeight="1">
      <c r="A28" s="37" t="s">
        <v>15</v>
      </c>
      <c r="B28" s="38"/>
      <c r="C28" s="38"/>
      <c r="D28" s="38"/>
      <c r="E28" s="38"/>
      <c r="F28" s="39"/>
      <c r="G28" s="16"/>
    </row>
    <row r="29" spans="1:7" ht="15.75" customHeight="1">
      <c r="A29" s="40"/>
      <c r="B29" s="41"/>
      <c r="C29" s="41"/>
      <c r="D29" s="41"/>
      <c r="E29" s="41"/>
      <c r="F29" s="42"/>
    </row>
    <row r="30" spans="1:7" ht="15.75" customHeight="1" thickBot="1">
      <c r="A30" s="43"/>
      <c r="B30" s="44"/>
      <c r="C30" s="44"/>
      <c r="D30" s="44"/>
      <c r="E30" s="44"/>
      <c r="F30" s="45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6">
    <mergeCell ref="A1:F1"/>
    <mergeCell ref="A2:D2"/>
    <mergeCell ref="E2:F4"/>
    <mergeCell ref="A3:D3"/>
    <mergeCell ref="A5:F5"/>
    <mergeCell ref="A8:F8"/>
    <mergeCell ref="A9:F11"/>
    <mergeCell ref="A12:E12"/>
    <mergeCell ref="A13:E13"/>
    <mergeCell ref="D6:E6"/>
    <mergeCell ref="A6:C6"/>
    <mergeCell ref="A7:C7"/>
    <mergeCell ref="A28:F30"/>
    <mergeCell ref="A14:E14"/>
    <mergeCell ref="A15:E15"/>
    <mergeCell ref="A16:E16"/>
    <mergeCell ref="A17:E17"/>
    <mergeCell ref="A18:E18"/>
    <mergeCell ref="A19:E19"/>
    <mergeCell ref="D23:E24"/>
    <mergeCell ref="F23:F24"/>
    <mergeCell ref="A21:C24"/>
    <mergeCell ref="A25:F27"/>
    <mergeCell ref="D21:E21"/>
    <mergeCell ref="D22:E22"/>
    <mergeCell ref="A20:E2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H3" sqref="H3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26.25" customHeight="1">
      <c r="A2" s="94" t="s">
        <v>1</v>
      </c>
      <c r="B2" s="95"/>
      <c r="C2" s="95"/>
      <c r="D2" s="95"/>
      <c r="E2" s="109"/>
      <c r="F2" s="110"/>
      <c r="G2" s="1"/>
    </row>
    <row r="3" spans="1:7" ht="45" customHeight="1">
      <c r="A3" s="98" t="s">
        <v>2</v>
      </c>
      <c r="B3" s="99"/>
      <c r="C3" s="99"/>
      <c r="D3" s="99"/>
      <c r="E3" s="109"/>
      <c r="F3" s="110"/>
      <c r="G3" s="3"/>
    </row>
    <row r="4" spans="1:7" ht="27" customHeight="1">
      <c r="A4" s="18"/>
      <c r="B4" s="19"/>
      <c r="C4" s="19"/>
      <c r="D4" s="19"/>
      <c r="E4" s="111"/>
      <c r="F4" s="112"/>
      <c r="G4" s="3"/>
    </row>
    <row r="5" spans="1:7" ht="4.1500000000000004" customHeight="1">
      <c r="A5" s="145"/>
      <c r="B5" s="146"/>
      <c r="C5" s="146"/>
      <c r="D5" s="146"/>
      <c r="E5" s="146"/>
      <c r="F5" s="147"/>
      <c r="G5" s="4"/>
    </row>
    <row r="6" spans="1:7" ht="17.45" customHeight="1">
      <c r="A6" s="50" t="s">
        <v>20</v>
      </c>
      <c r="B6" s="51"/>
      <c r="C6" s="51"/>
      <c r="D6" s="46" t="s">
        <v>17</v>
      </c>
      <c r="E6" s="46"/>
      <c r="F6" s="47"/>
      <c r="G6" s="5"/>
    </row>
    <row r="7" spans="1:7" ht="16.899999999999999" customHeight="1">
      <c r="A7" s="113"/>
      <c r="B7" s="114"/>
      <c r="C7" s="114"/>
      <c r="D7" s="115" t="s">
        <v>5</v>
      </c>
      <c r="E7" s="115"/>
      <c r="F7" s="116"/>
      <c r="G7" s="4"/>
    </row>
    <row r="8" spans="1:7" ht="4.1500000000000004" customHeight="1">
      <c r="A8" s="100"/>
      <c r="B8" s="101"/>
      <c r="C8" s="101"/>
      <c r="D8" s="101"/>
      <c r="E8" s="101"/>
      <c r="F8" s="102"/>
      <c r="G8" s="4"/>
    </row>
    <row r="9" spans="1:7" ht="22.15" customHeight="1">
      <c r="A9" s="144" t="s">
        <v>21</v>
      </c>
      <c r="B9" s="136"/>
      <c r="C9" s="136"/>
      <c r="D9" s="136"/>
      <c r="E9" s="136"/>
      <c r="F9" s="137"/>
      <c r="G9" s="6"/>
    </row>
    <row r="10" spans="1:7" ht="18" customHeight="1">
      <c r="A10" s="138"/>
      <c r="B10" s="139"/>
      <c r="C10" s="139"/>
      <c r="D10" s="139"/>
      <c r="E10" s="139"/>
      <c r="F10" s="140"/>
      <c r="G10" s="7"/>
    </row>
    <row r="11" spans="1:7" ht="29.25" customHeight="1" thickBot="1">
      <c r="A11" s="141"/>
      <c r="B11" s="142"/>
      <c r="C11" s="142"/>
      <c r="D11" s="142"/>
      <c r="E11" s="142"/>
      <c r="F11" s="143"/>
      <c r="G11" s="8"/>
    </row>
    <row r="12" spans="1:7" ht="18" customHeight="1">
      <c r="A12" s="56" t="s">
        <v>7</v>
      </c>
      <c r="B12" s="57"/>
      <c r="C12" s="57"/>
      <c r="D12" s="57"/>
      <c r="E12" s="58"/>
      <c r="F12" s="28" t="s">
        <v>8</v>
      </c>
      <c r="G12" s="4"/>
    </row>
    <row r="13" spans="1:7" ht="18" customHeight="1">
      <c r="A13" s="106" t="s">
        <v>22</v>
      </c>
      <c r="B13" s="107"/>
      <c r="C13" s="107"/>
      <c r="D13" s="107"/>
      <c r="E13" s="108"/>
      <c r="F13" s="29">
        <v>95238</v>
      </c>
      <c r="G13" s="9"/>
    </row>
    <row r="14" spans="1:7" ht="18" customHeight="1">
      <c r="A14" s="103"/>
      <c r="B14" s="104"/>
      <c r="C14" s="104"/>
      <c r="D14" s="104"/>
      <c r="E14" s="105"/>
      <c r="F14" s="26"/>
      <c r="G14" s="9"/>
    </row>
    <row r="15" spans="1:7" ht="18" customHeight="1">
      <c r="A15" s="103"/>
      <c r="B15" s="104"/>
      <c r="C15" s="104"/>
      <c r="D15" s="104"/>
      <c r="E15" s="105"/>
      <c r="F15" s="26"/>
      <c r="G15" s="9"/>
    </row>
    <row r="16" spans="1:7" ht="18" customHeight="1">
      <c r="A16" s="103"/>
      <c r="B16" s="104"/>
      <c r="C16" s="104"/>
      <c r="D16" s="104"/>
      <c r="E16" s="105"/>
      <c r="F16" s="26"/>
      <c r="G16" s="9"/>
    </row>
    <row r="17" spans="1:7" ht="18" customHeight="1">
      <c r="A17" s="103"/>
      <c r="B17" s="104"/>
      <c r="C17" s="104"/>
      <c r="D17" s="104"/>
      <c r="E17" s="105"/>
      <c r="F17" s="26"/>
      <c r="G17" s="9"/>
    </row>
    <row r="18" spans="1:7" ht="18" customHeight="1">
      <c r="A18" s="103"/>
      <c r="B18" s="104"/>
      <c r="C18" s="104"/>
      <c r="D18" s="104"/>
      <c r="E18" s="105"/>
      <c r="F18" s="26"/>
      <c r="G18" s="9"/>
    </row>
    <row r="19" spans="1:7" ht="18" customHeight="1">
      <c r="A19" s="103"/>
      <c r="B19" s="104"/>
      <c r="C19" s="104"/>
      <c r="D19" s="104"/>
      <c r="E19" s="105"/>
      <c r="F19" s="26"/>
      <c r="G19" s="9"/>
    </row>
    <row r="20" spans="1:7" ht="18" customHeight="1">
      <c r="A20" s="103"/>
      <c r="B20" s="104"/>
      <c r="C20" s="104"/>
      <c r="D20" s="104"/>
      <c r="E20" s="105"/>
      <c r="F20" s="27"/>
      <c r="G20" s="9"/>
    </row>
    <row r="21" spans="1:7" ht="19.5" customHeight="1">
      <c r="A21" s="65" t="s">
        <v>10</v>
      </c>
      <c r="B21" s="66"/>
      <c r="C21" s="67"/>
      <c r="D21" s="83" t="s">
        <v>11</v>
      </c>
      <c r="E21" s="84"/>
      <c r="F21" s="30">
        <f>F13</f>
        <v>95238</v>
      </c>
      <c r="G21" s="10"/>
    </row>
    <row r="22" spans="1:7" ht="19.5" customHeight="1">
      <c r="A22" s="68"/>
      <c r="B22" s="69"/>
      <c r="C22" s="70"/>
      <c r="D22" s="85" t="s">
        <v>12</v>
      </c>
      <c r="E22" s="86"/>
      <c r="F22" s="30">
        <f>F21*5/100</f>
        <v>4761.8999999999996</v>
      </c>
      <c r="G22" s="11"/>
    </row>
    <row r="23" spans="1:7" ht="22.9" customHeight="1">
      <c r="A23" s="68"/>
      <c r="B23" s="69"/>
      <c r="C23" s="70"/>
      <c r="D23" s="87" t="s">
        <v>13</v>
      </c>
      <c r="E23" s="88"/>
      <c r="F23" s="54">
        <f>SUM(F21:F22)</f>
        <v>99999.9</v>
      </c>
      <c r="G23" s="12"/>
    </row>
    <row r="24" spans="1:7" ht="22.9" customHeight="1" thickBot="1">
      <c r="A24" s="71"/>
      <c r="B24" s="72"/>
      <c r="C24" s="73"/>
      <c r="D24" s="89"/>
      <c r="E24" s="90"/>
      <c r="F24" s="55"/>
      <c r="G24" s="12"/>
    </row>
    <row r="25" spans="1:7" ht="15.75" customHeight="1">
      <c r="A25" s="74" t="s">
        <v>14</v>
      </c>
      <c r="B25" s="75"/>
      <c r="C25" s="75"/>
      <c r="D25" s="75"/>
      <c r="E25" s="75"/>
      <c r="F25" s="76"/>
      <c r="G25" s="13"/>
    </row>
    <row r="26" spans="1:7" ht="15.75" customHeight="1">
      <c r="A26" s="77"/>
      <c r="B26" s="78"/>
      <c r="C26" s="78"/>
      <c r="D26" s="78"/>
      <c r="E26" s="78"/>
      <c r="F26" s="79"/>
      <c r="G26" s="14"/>
    </row>
    <row r="27" spans="1:7" ht="21" customHeight="1" thickBot="1">
      <c r="A27" s="80"/>
      <c r="B27" s="81"/>
      <c r="C27" s="81"/>
      <c r="D27" s="81"/>
      <c r="E27" s="81"/>
      <c r="F27" s="82"/>
      <c r="G27" s="15"/>
    </row>
    <row r="28" spans="1:7" ht="15.75" customHeight="1">
      <c r="A28" s="37" t="s">
        <v>15</v>
      </c>
      <c r="B28" s="38"/>
      <c r="C28" s="38"/>
      <c r="D28" s="38"/>
      <c r="E28" s="38"/>
      <c r="F28" s="39"/>
      <c r="G28" s="16"/>
    </row>
    <row r="29" spans="1:7" ht="15.75" customHeight="1">
      <c r="A29" s="40"/>
      <c r="B29" s="41"/>
      <c r="C29" s="41"/>
      <c r="D29" s="41"/>
      <c r="E29" s="41"/>
      <c r="F29" s="42"/>
    </row>
    <row r="30" spans="1:7" ht="15.75" customHeight="1">
      <c r="A30" s="43"/>
      <c r="B30" s="44"/>
      <c r="C30" s="44"/>
      <c r="D30" s="44"/>
      <c r="E30" s="44"/>
      <c r="F30" s="45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7">
    <mergeCell ref="A8:F8"/>
    <mergeCell ref="A9:F11"/>
    <mergeCell ref="A12:E12"/>
    <mergeCell ref="A13:E13"/>
    <mergeCell ref="A1:F1"/>
    <mergeCell ref="A2:D2"/>
    <mergeCell ref="E2:F4"/>
    <mergeCell ref="A3:D3"/>
    <mergeCell ref="A5:F5"/>
    <mergeCell ref="D6:F6"/>
    <mergeCell ref="D7:F7"/>
    <mergeCell ref="A6:C6"/>
    <mergeCell ref="A7:C7"/>
    <mergeCell ref="A28:F30"/>
    <mergeCell ref="A14:E14"/>
    <mergeCell ref="A15:E15"/>
    <mergeCell ref="A16:E16"/>
    <mergeCell ref="A17:E17"/>
    <mergeCell ref="A18:E18"/>
    <mergeCell ref="A19:E19"/>
    <mergeCell ref="D23:E24"/>
    <mergeCell ref="F23:F24"/>
    <mergeCell ref="A21:C24"/>
    <mergeCell ref="A25:F27"/>
    <mergeCell ref="D21:E21"/>
    <mergeCell ref="D22:E22"/>
    <mergeCell ref="A20:E2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G4" sqref="G4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27" customHeight="1">
      <c r="A2" s="94" t="s">
        <v>1</v>
      </c>
      <c r="B2" s="95"/>
      <c r="C2" s="95"/>
      <c r="D2" s="95"/>
      <c r="E2" s="109"/>
      <c r="F2" s="110"/>
      <c r="G2" s="1"/>
    </row>
    <row r="3" spans="1:7" ht="72.75" customHeight="1">
      <c r="A3" s="98" t="s">
        <v>2</v>
      </c>
      <c r="B3" s="99"/>
      <c r="C3" s="99"/>
      <c r="D3" s="99"/>
      <c r="E3" s="109"/>
      <c r="F3" s="110"/>
      <c r="G3" s="3"/>
    </row>
    <row r="4" spans="1:7" ht="4.1500000000000004" customHeight="1">
      <c r="A4" s="145"/>
      <c r="B4" s="146"/>
      <c r="C4" s="146"/>
      <c r="D4" s="146"/>
      <c r="E4" s="146"/>
      <c r="F4" s="147"/>
      <c r="G4" s="4"/>
    </row>
    <row r="5" spans="1:7" ht="17.45" customHeight="1">
      <c r="A5" s="50" t="s">
        <v>23</v>
      </c>
      <c r="B5" s="51"/>
      <c r="C5" s="51"/>
      <c r="D5" s="31" t="s">
        <v>24</v>
      </c>
      <c r="E5" s="35"/>
      <c r="F5" s="21"/>
      <c r="G5" s="5"/>
    </row>
    <row r="6" spans="1:7" ht="16.899999999999999" customHeight="1">
      <c r="A6" s="113"/>
      <c r="B6" s="114"/>
      <c r="C6" s="114"/>
      <c r="D6" s="32" t="s">
        <v>5</v>
      </c>
      <c r="E6" s="36"/>
      <c r="F6" s="22"/>
      <c r="G6" s="4"/>
    </row>
    <row r="7" spans="1:7" ht="4.1500000000000004" customHeight="1">
      <c r="A7" s="100"/>
      <c r="B7" s="101"/>
      <c r="C7" s="101"/>
      <c r="D7" s="101"/>
      <c r="E7" s="101"/>
      <c r="F7" s="102"/>
      <c r="G7" s="4"/>
    </row>
    <row r="8" spans="1:7" ht="22.15" customHeight="1">
      <c r="A8" s="144" t="s">
        <v>25</v>
      </c>
      <c r="B8" s="136"/>
      <c r="C8" s="136"/>
      <c r="D8" s="136"/>
      <c r="E8" s="136"/>
      <c r="F8" s="137"/>
      <c r="G8" s="6"/>
    </row>
    <row r="9" spans="1:7" ht="18" customHeight="1">
      <c r="A9" s="138"/>
      <c r="B9" s="139"/>
      <c r="C9" s="139"/>
      <c r="D9" s="139"/>
      <c r="E9" s="139"/>
      <c r="F9" s="140"/>
      <c r="G9" s="7"/>
    </row>
    <row r="10" spans="1:7" ht="27" customHeight="1">
      <c r="A10" s="138"/>
      <c r="B10" s="139"/>
      <c r="C10" s="139"/>
      <c r="D10" s="139"/>
      <c r="E10" s="139"/>
      <c r="F10" s="140"/>
      <c r="G10" s="8"/>
    </row>
    <row r="11" spans="1:7" ht="5.25" customHeight="1" thickBot="1">
      <c r="A11" s="141"/>
      <c r="B11" s="142"/>
      <c r="C11" s="142"/>
      <c r="D11" s="142"/>
      <c r="E11" s="142"/>
      <c r="F11" s="143"/>
      <c r="G11" s="17"/>
    </row>
    <row r="12" spans="1:7" ht="18" customHeight="1">
      <c r="A12" s="56" t="s">
        <v>7</v>
      </c>
      <c r="B12" s="57"/>
      <c r="C12" s="57"/>
      <c r="D12" s="57"/>
      <c r="E12" s="57"/>
      <c r="F12" s="28" t="s">
        <v>8</v>
      </c>
      <c r="G12" s="4"/>
    </row>
    <row r="13" spans="1:7" ht="18" customHeight="1">
      <c r="A13" s="59" t="s">
        <v>26</v>
      </c>
      <c r="B13" s="60"/>
      <c r="C13" s="60"/>
      <c r="D13" s="60"/>
      <c r="E13" s="61"/>
      <c r="F13" s="29">
        <v>357143</v>
      </c>
      <c r="G13" s="9"/>
    </row>
    <row r="14" spans="1:7" ht="18" customHeight="1">
      <c r="A14" s="103"/>
      <c r="B14" s="104"/>
      <c r="C14" s="104"/>
      <c r="D14" s="104"/>
      <c r="E14" s="105"/>
      <c r="F14" s="26"/>
      <c r="G14" s="9"/>
    </row>
    <row r="15" spans="1:7" ht="18" customHeight="1">
      <c r="A15" s="103"/>
      <c r="B15" s="104"/>
      <c r="C15" s="104"/>
      <c r="D15" s="104"/>
      <c r="E15" s="105"/>
      <c r="F15" s="26"/>
      <c r="G15" s="9"/>
    </row>
    <row r="16" spans="1:7" ht="18" customHeight="1">
      <c r="A16" s="103"/>
      <c r="B16" s="104"/>
      <c r="C16" s="104"/>
      <c r="D16" s="104"/>
      <c r="E16" s="105"/>
      <c r="F16" s="26"/>
      <c r="G16" s="9"/>
    </row>
    <row r="17" spans="1:7" ht="18" customHeight="1">
      <c r="A17" s="103"/>
      <c r="B17" s="104"/>
      <c r="C17" s="104"/>
      <c r="D17" s="104"/>
      <c r="E17" s="105"/>
      <c r="F17" s="26"/>
      <c r="G17" s="9"/>
    </row>
    <row r="18" spans="1:7" ht="18" customHeight="1">
      <c r="A18" s="103"/>
      <c r="B18" s="104"/>
      <c r="C18" s="104"/>
      <c r="D18" s="104"/>
      <c r="E18" s="105"/>
      <c r="F18" s="26"/>
      <c r="G18" s="9"/>
    </row>
    <row r="19" spans="1:7" ht="18" customHeight="1">
      <c r="A19" s="103"/>
      <c r="B19" s="104"/>
      <c r="C19" s="104"/>
      <c r="D19" s="104"/>
      <c r="E19" s="105"/>
      <c r="F19" s="26"/>
      <c r="G19" s="9"/>
    </row>
    <row r="20" spans="1:7" ht="18" customHeight="1">
      <c r="A20" s="103"/>
      <c r="B20" s="104"/>
      <c r="C20" s="104"/>
      <c r="D20" s="104"/>
      <c r="E20" s="105"/>
      <c r="F20" s="27"/>
      <c r="G20" s="9"/>
    </row>
    <row r="21" spans="1:7" ht="19.5" customHeight="1">
      <c r="A21" s="65" t="s">
        <v>10</v>
      </c>
      <c r="B21" s="66"/>
      <c r="C21" s="67"/>
      <c r="D21" s="83" t="s">
        <v>11</v>
      </c>
      <c r="E21" s="84"/>
      <c r="F21" s="30">
        <f>F13</f>
        <v>357143</v>
      </c>
      <c r="G21" s="10"/>
    </row>
    <row r="22" spans="1:7" ht="19.5" customHeight="1">
      <c r="A22" s="68"/>
      <c r="B22" s="69"/>
      <c r="C22" s="70"/>
      <c r="D22" s="85" t="s">
        <v>12</v>
      </c>
      <c r="E22" s="86"/>
      <c r="F22" s="30">
        <f>F21*5/100</f>
        <v>17857.150000000001</v>
      </c>
      <c r="G22" s="11"/>
    </row>
    <row r="23" spans="1:7" ht="22.9" customHeight="1">
      <c r="A23" s="68"/>
      <c r="B23" s="69"/>
      <c r="C23" s="70"/>
      <c r="D23" s="87" t="s">
        <v>13</v>
      </c>
      <c r="E23" s="88"/>
      <c r="F23" s="54">
        <f>SUM(F21:F22)</f>
        <v>375000.15</v>
      </c>
      <c r="G23" s="12"/>
    </row>
    <row r="24" spans="1:7" ht="22.9" customHeight="1" thickBot="1">
      <c r="A24" s="71"/>
      <c r="B24" s="72"/>
      <c r="C24" s="73"/>
      <c r="D24" s="89"/>
      <c r="E24" s="90"/>
      <c r="F24" s="55"/>
      <c r="G24" s="12"/>
    </row>
    <row r="25" spans="1:7" ht="15.75" customHeight="1">
      <c r="A25" s="74" t="s">
        <v>14</v>
      </c>
      <c r="B25" s="75"/>
      <c r="C25" s="75"/>
      <c r="D25" s="75"/>
      <c r="E25" s="75"/>
      <c r="F25" s="76"/>
      <c r="G25" s="13"/>
    </row>
    <row r="26" spans="1:7" ht="15.75" customHeight="1">
      <c r="A26" s="77"/>
      <c r="B26" s="78"/>
      <c r="C26" s="78"/>
      <c r="D26" s="78"/>
      <c r="E26" s="78"/>
      <c r="F26" s="79"/>
      <c r="G26" s="14"/>
    </row>
    <row r="27" spans="1:7" ht="21" customHeight="1" thickBot="1">
      <c r="A27" s="80"/>
      <c r="B27" s="81"/>
      <c r="C27" s="81"/>
      <c r="D27" s="81"/>
      <c r="E27" s="81"/>
      <c r="F27" s="82"/>
      <c r="G27" s="15"/>
    </row>
    <row r="28" spans="1:7" ht="15.75" customHeight="1">
      <c r="A28" s="37" t="s">
        <v>15</v>
      </c>
      <c r="B28" s="38"/>
      <c r="C28" s="38"/>
      <c r="D28" s="38"/>
      <c r="E28" s="38"/>
      <c r="F28" s="39"/>
      <c r="G28" s="16"/>
    </row>
    <row r="29" spans="1:7" ht="15.75" customHeight="1">
      <c r="A29" s="40"/>
      <c r="B29" s="41"/>
      <c r="C29" s="41"/>
      <c r="D29" s="41"/>
      <c r="E29" s="41"/>
      <c r="F29" s="42"/>
    </row>
    <row r="30" spans="1:7" ht="15.75" customHeight="1" thickBot="1">
      <c r="A30" s="43"/>
      <c r="B30" s="44"/>
      <c r="C30" s="44"/>
      <c r="D30" s="44"/>
      <c r="E30" s="44"/>
      <c r="F30" s="45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5">
    <mergeCell ref="A7:F7"/>
    <mergeCell ref="A8:F11"/>
    <mergeCell ref="A12:E12"/>
    <mergeCell ref="A13:E13"/>
    <mergeCell ref="A1:F1"/>
    <mergeCell ref="A2:D2"/>
    <mergeCell ref="E2:F3"/>
    <mergeCell ref="A3:D3"/>
    <mergeCell ref="A4:F4"/>
    <mergeCell ref="A5:C5"/>
    <mergeCell ref="A6:C6"/>
    <mergeCell ref="A14:E14"/>
    <mergeCell ref="A15:E15"/>
    <mergeCell ref="A16:E16"/>
    <mergeCell ref="A17:E17"/>
    <mergeCell ref="A18:E18"/>
    <mergeCell ref="A28:F30"/>
    <mergeCell ref="A19:E19"/>
    <mergeCell ref="A20:E20"/>
    <mergeCell ref="A21:C24"/>
    <mergeCell ref="A25:F27"/>
    <mergeCell ref="D23:E24"/>
    <mergeCell ref="F23:F24"/>
    <mergeCell ref="D21:E21"/>
    <mergeCell ref="D22:E22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96B0"/>
    <outlinePr summaryBelow="0" summaryRight="0"/>
    <pageSetUpPr fitToPage="1"/>
  </sheetPr>
  <dimension ref="A1:G989"/>
  <sheetViews>
    <sheetView showGridLines="0" zoomScale="90" zoomScaleNormal="90" workbookViewId="0">
      <selection activeCell="H3" sqref="H3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22.5" customHeight="1">
      <c r="A2" s="94" t="s">
        <v>1</v>
      </c>
      <c r="B2" s="95"/>
      <c r="C2" s="95"/>
      <c r="D2" s="95"/>
      <c r="E2" s="109"/>
      <c r="F2" s="110"/>
      <c r="G2" s="1"/>
    </row>
    <row r="3" spans="1:7" ht="64.5" customHeight="1">
      <c r="A3" s="98" t="s">
        <v>2</v>
      </c>
      <c r="B3" s="99"/>
      <c r="C3" s="99"/>
      <c r="D3" s="99"/>
      <c r="E3" s="109"/>
      <c r="F3" s="110"/>
      <c r="G3" s="3"/>
    </row>
    <row r="4" spans="1:7" ht="12" customHeight="1">
      <c r="A4" s="18"/>
      <c r="B4" s="19"/>
      <c r="C4" s="19"/>
      <c r="D4" s="19"/>
      <c r="E4" s="111"/>
      <c r="F4" s="112"/>
      <c r="G4" s="3"/>
    </row>
    <row r="5" spans="1:7" ht="4.1500000000000004" customHeight="1">
      <c r="A5" s="145"/>
      <c r="B5" s="146"/>
      <c r="C5" s="146"/>
      <c r="D5" s="146"/>
      <c r="E5" s="146"/>
      <c r="F5" s="147"/>
      <c r="G5" s="4"/>
    </row>
    <row r="6" spans="1:7" ht="17.45" customHeight="1">
      <c r="A6" s="50" t="s">
        <v>27</v>
      </c>
      <c r="B6" s="51"/>
      <c r="C6" s="51"/>
      <c r="D6" s="31" t="s">
        <v>28</v>
      </c>
      <c r="E6" s="35"/>
      <c r="F6" s="21"/>
      <c r="G6" s="5"/>
    </row>
    <row r="7" spans="1:7" ht="16.899999999999999" customHeight="1">
      <c r="A7" s="113"/>
      <c r="B7" s="114"/>
      <c r="C7" s="114"/>
      <c r="D7" s="32" t="s">
        <v>5</v>
      </c>
      <c r="E7" s="36"/>
      <c r="F7" s="22"/>
      <c r="G7" s="4"/>
    </row>
    <row r="8" spans="1:7" ht="4.1500000000000004" customHeight="1">
      <c r="A8" s="100"/>
      <c r="B8" s="101"/>
      <c r="C8" s="101"/>
      <c r="D8" s="101"/>
      <c r="E8" s="101"/>
      <c r="F8" s="102"/>
      <c r="G8" s="4"/>
    </row>
    <row r="9" spans="1:7" ht="22.15" customHeight="1">
      <c r="A9" s="144" t="s">
        <v>29</v>
      </c>
      <c r="B9" s="136"/>
      <c r="C9" s="136"/>
      <c r="D9" s="136"/>
      <c r="E9" s="136"/>
      <c r="F9" s="137"/>
      <c r="G9" s="6"/>
    </row>
    <row r="10" spans="1:7" ht="18" customHeight="1">
      <c r="A10" s="138"/>
      <c r="B10" s="139"/>
      <c r="C10" s="139"/>
      <c r="D10" s="139"/>
      <c r="E10" s="139"/>
      <c r="F10" s="140"/>
      <c r="G10" s="7"/>
    </row>
    <row r="11" spans="1:7" ht="26.25" customHeight="1">
      <c r="A11" s="138"/>
      <c r="B11" s="139"/>
      <c r="C11" s="139"/>
      <c r="D11" s="139"/>
      <c r="E11" s="139"/>
      <c r="F11" s="140"/>
      <c r="G11" s="8"/>
    </row>
    <row r="12" spans="1:7" ht="6" customHeight="1" thickBot="1">
      <c r="A12" s="141"/>
      <c r="B12" s="142"/>
      <c r="C12" s="142"/>
      <c r="D12" s="142"/>
      <c r="E12" s="142"/>
      <c r="F12" s="143"/>
      <c r="G12" s="17"/>
    </row>
    <row r="13" spans="1:7" ht="18" customHeight="1">
      <c r="A13" s="56" t="s">
        <v>7</v>
      </c>
      <c r="B13" s="57"/>
      <c r="C13" s="57"/>
      <c r="D13" s="57"/>
      <c r="E13" s="58"/>
      <c r="F13" s="28" t="s">
        <v>8</v>
      </c>
      <c r="G13" s="4"/>
    </row>
    <row r="14" spans="1:7" ht="28.5" customHeight="1">
      <c r="A14" s="117" t="s">
        <v>30</v>
      </c>
      <c r="B14" s="118"/>
      <c r="C14" s="118"/>
      <c r="D14" s="118"/>
      <c r="E14" s="119"/>
      <c r="F14" s="120">
        <v>19048</v>
      </c>
      <c r="G14" s="9"/>
    </row>
    <row r="15" spans="1:7" ht="18" customHeight="1">
      <c r="A15" s="106" t="s">
        <v>31</v>
      </c>
      <c r="B15" s="107"/>
      <c r="C15" s="107"/>
      <c r="D15" s="107"/>
      <c r="E15" s="108"/>
      <c r="F15" s="121"/>
      <c r="G15" s="9"/>
    </row>
    <row r="16" spans="1:7" ht="18" customHeight="1">
      <c r="A16" s="103"/>
      <c r="B16" s="104"/>
      <c r="C16" s="104"/>
      <c r="D16" s="104"/>
      <c r="E16" s="105"/>
      <c r="F16" s="26"/>
      <c r="G16" s="9"/>
    </row>
    <row r="17" spans="1:7" ht="18" customHeight="1">
      <c r="A17" s="103"/>
      <c r="B17" s="104"/>
      <c r="C17" s="104"/>
      <c r="D17" s="104"/>
      <c r="E17" s="105"/>
      <c r="F17" s="26"/>
      <c r="G17" s="9"/>
    </row>
    <row r="18" spans="1:7" ht="18" customHeight="1">
      <c r="A18" s="103"/>
      <c r="B18" s="104"/>
      <c r="C18" s="104"/>
      <c r="D18" s="104"/>
      <c r="E18" s="105"/>
      <c r="F18" s="26"/>
      <c r="G18" s="9"/>
    </row>
    <row r="19" spans="1:7" ht="18" customHeight="1">
      <c r="A19" s="103"/>
      <c r="B19" s="104"/>
      <c r="C19" s="104"/>
      <c r="D19" s="104"/>
      <c r="E19" s="105"/>
      <c r="F19" s="26"/>
      <c r="G19" s="9"/>
    </row>
    <row r="20" spans="1:7" ht="18" customHeight="1">
      <c r="A20" s="103"/>
      <c r="B20" s="104"/>
      <c r="C20" s="104"/>
      <c r="D20" s="104"/>
      <c r="E20" s="105"/>
      <c r="F20" s="27"/>
      <c r="G20" s="9"/>
    </row>
    <row r="21" spans="1:7" ht="19.5" customHeight="1">
      <c r="A21" s="65" t="s">
        <v>10</v>
      </c>
      <c r="B21" s="66"/>
      <c r="C21" s="67"/>
      <c r="D21" s="83" t="s">
        <v>11</v>
      </c>
      <c r="E21" s="84"/>
      <c r="F21" s="30">
        <f>F14</f>
        <v>19048</v>
      </c>
      <c r="G21" s="10"/>
    </row>
    <row r="22" spans="1:7" ht="19.5" customHeight="1">
      <c r="A22" s="68"/>
      <c r="B22" s="69"/>
      <c r="C22" s="70"/>
      <c r="D22" s="85" t="s">
        <v>12</v>
      </c>
      <c r="E22" s="86"/>
      <c r="F22" s="30">
        <f>F21*5/100</f>
        <v>952.4</v>
      </c>
      <c r="G22" s="11"/>
    </row>
    <row r="23" spans="1:7" ht="22.9" customHeight="1">
      <c r="A23" s="68"/>
      <c r="B23" s="69"/>
      <c r="C23" s="70"/>
      <c r="D23" s="87" t="s">
        <v>13</v>
      </c>
      <c r="E23" s="88"/>
      <c r="F23" s="122">
        <f>SUM(F21:F22)</f>
        <v>20000.400000000001</v>
      </c>
      <c r="G23" s="12"/>
    </row>
    <row r="24" spans="1:7" ht="22.9" customHeight="1" thickBot="1">
      <c r="A24" s="71"/>
      <c r="B24" s="72"/>
      <c r="C24" s="73"/>
      <c r="D24" s="89"/>
      <c r="E24" s="90"/>
      <c r="F24" s="123"/>
      <c r="G24" s="12"/>
    </row>
    <row r="25" spans="1:7" ht="15.75" customHeight="1">
      <c r="A25" s="74" t="s">
        <v>14</v>
      </c>
      <c r="B25" s="75"/>
      <c r="C25" s="75"/>
      <c r="D25" s="75"/>
      <c r="E25" s="75"/>
      <c r="F25" s="76"/>
      <c r="G25" s="13"/>
    </row>
    <row r="26" spans="1:7" ht="15.75" customHeight="1">
      <c r="A26" s="77"/>
      <c r="B26" s="78"/>
      <c r="C26" s="78"/>
      <c r="D26" s="78"/>
      <c r="E26" s="78"/>
      <c r="F26" s="79"/>
      <c r="G26" s="14"/>
    </row>
    <row r="27" spans="1:7" ht="21" customHeight="1" thickBot="1">
      <c r="A27" s="80"/>
      <c r="B27" s="81"/>
      <c r="C27" s="81"/>
      <c r="D27" s="81"/>
      <c r="E27" s="81"/>
      <c r="F27" s="82"/>
      <c r="G27" s="15"/>
    </row>
    <row r="28" spans="1:7" ht="15.75" customHeight="1">
      <c r="A28" s="37" t="s">
        <v>15</v>
      </c>
      <c r="B28" s="38"/>
      <c r="C28" s="38"/>
      <c r="D28" s="38"/>
      <c r="E28" s="38"/>
      <c r="F28" s="39"/>
      <c r="G28" s="16"/>
    </row>
    <row r="29" spans="1:7" ht="15.75" customHeight="1">
      <c r="A29" s="40"/>
      <c r="B29" s="41"/>
      <c r="C29" s="41"/>
      <c r="D29" s="41"/>
      <c r="E29" s="41"/>
      <c r="F29" s="42"/>
    </row>
    <row r="30" spans="1:7" ht="15.75" customHeight="1" thickBot="1">
      <c r="A30" s="43"/>
      <c r="B30" s="44"/>
      <c r="C30" s="44"/>
      <c r="D30" s="44"/>
      <c r="E30" s="44"/>
      <c r="F30" s="45"/>
    </row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5">
    <mergeCell ref="A8:F8"/>
    <mergeCell ref="A9:F12"/>
    <mergeCell ref="A1:F1"/>
    <mergeCell ref="A2:D2"/>
    <mergeCell ref="E2:F4"/>
    <mergeCell ref="A3:D3"/>
    <mergeCell ref="A5:F5"/>
    <mergeCell ref="A6:C6"/>
    <mergeCell ref="A7:C7"/>
    <mergeCell ref="A28:F30"/>
    <mergeCell ref="A13:E13"/>
    <mergeCell ref="A14:E14"/>
    <mergeCell ref="A15:E15"/>
    <mergeCell ref="A16:E16"/>
    <mergeCell ref="A17:E17"/>
    <mergeCell ref="A18:E18"/>
    <mergeCell ref="A19:E19"/>
    <mergeCell ref="A20:E20"/>
    <mergeCell ref="F14:F15"/>
    <mergeCell ref="D23:E24"/>
    <mergeCell ref="F23:F24"/>
    <mergeCell ref="A21:C24"/>
    <mergeCell ref="A25:F27"/>
    <mergeCell ref="D21:E21"/>
    <mergeCell ref="D22:E22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96B0"/>
    <outlinePr summaryBelow="0" summaryRight="0"/>
    <pageSetUpPr fitToPage="1"/>
  </sheetPr>
  <dimension ref="A1:G991"/>
  <sheetViews>
    <sheetView showGridLines="0" zoomScale="90" zoomScaleNormal="90" workbookViewId="0">
      <selection activeCell="H3" sqref="H3"/>
    </sheetView>
  </sheetViews>
  <sheetFormatPr defaultColWidth="14.42578125" defaultRowHeight="15" customHeight="1"/>
  <cols>
    <col min="1" max="1" width="25.42578125" style="2" customWidth="1"/>
    <col min="2" max="2" width="15.5703125" style="2" customWidth="1"/>
    <col min="3" max="3" width="16.5703125" style="2" customWidth="1"/>
    <col min="4" max="4" width="12.140625" style="2" customWidth="1"/>
    <col min="5" max="5" width="15.28515625" style="2" customWidth="1"/>
    <col min="6" max="6" width="16.7109375" style="2" customWidth="1"/>
    <col min="7" max="7" width="7.42578125" style="2" customWidth="1"/>
    <col min="8" max="24" width="17.28515625" style="2" customWidth="1"/>
    <col min="25" max="16384" width="14.42578125" style="2"/>
  </cols>
  <sheetData>
    <row r="1" spans="1:7" ht="36.6" customHeight="1" thickBot="1">
      <c r="A1" s="91" t="s">
        <v>0</v>
      </c>
      <c r="B1" s="92"/>
      <c r="C1" s="92"/>
      <c r="D1" s="92"/>
      <c r="E1" s="92"/>
      <c r="F1" s="93"/>
      <c r="G1" s="1"/>
    </row>
    <row r="2" spans="1:7" ht="24.75" customHeight="1">
      <c r="A2" s="94" t="s">
        <v>1</v>
      </c>
      <c r="B2" s="95"/>
      <c r="C2" s="95"/>
      <c r="D2" s="95"/>
      <c r="E2" s="109"/>
      <c r="F2" s="110"/>
      <c r="G2" s="1"/>
    </row>
    <row r="3" spans="1:7" ht="69" customHeight="1">
      <c r="A3" s="98" t="s">
        <v>2</v>
      </c>
      <c r="B3" s="99"/>
      <c r="C3" s="99"/>
      <c r="D3" s="99"/>
      <c r="E3" s="109"/>
      <c r="F3" s="110"/>
      <c r="G3" s="3"/>
    </row>
    <row r="4" spans="1:7" ht="7.5" customHeight="1">
      <c r="A4" s="18"/>
      <c r="B4" s="19"/>
      <c r="C4" s="19"/>
      <c r="D4" s="19"/>
      <c r="E4" s="111"/>
      <c r="F4" s="112"/>
      <c r="G4" s="3"/>
    </row>
    <row r="5" spans="1:7" ht="4.1500000000000004" customHeight="1">
      <c r="A5" s="145"/>
      <c r="B5" s="146"/>
      <c r="C5" s="146"/>
      <c r="D5" s="146"/>
      <c r="E5" s="146"/>
      <c r="F5" s="147"/>
      <c r="G5" s="4"/>
    </row>
    <row r="6" spans="1:7" ht="17.45" customHeight="1">
      <c r="A6" s="50" t="s">
        <v>32</v>
      </c>
      <c r="B6" s="51"/>
      <c r="C6" s="51"/>
      <c r="D6" s="31" t="s">
        <v>33</v>
      </c>
      <c r="E6" s="35"/>
      <c r="F6" s="21"/>
      <c r="G6" s="5"/>
    </row>
    <row r="7" spans="1:7" ht="16.899999999999999" customHeight="1">
      <c r="A7" s="113"/>
      <c r="B7" s="114"/>
      <c r="C7" s="114"/>
      <c r="D7" s="32" t="s">
        <v>5</v>
      </c>
      <c r="E7" s="36"/>
      <c r="F7" s="22"/>
      <c r="G7" s="4"/>
    </row>
    <row r="8" spans="1:7" ht="4.1500000000000004" customHeight="1">
      <c r="A8" s="100"/>
      <c r="B8" s="101"/>
      <c r="C8" s="101"/>
      <c r="D8" s="101"/>
      <c r="E8" s="101"/>
      <c r="F8" s="102"/>
      <c r="G8" s="4"/>
    </row>
    <row r="9" spans="1:7" ht="22.15" customHeight="1">
      <c r="A9" s="144" t="s">
        <v>34</v>
      </c>
      <c r="B9" s="136"/>
      <c r="C9" s="136"/>
      <c r="D9" s="136"/>
      <c r="E9" s="136"/>
      <c r="F9" s="137"/>
      <c r="G9" s="6"/>
    </row>
    <row r="10" spans="1:7" ht="18" customHeight="1">
      <c r="A10" s="138"/>
      <c r="B10" s="139"/>
      <c r="C10" s="139"/>
      <c r="D10" s="139"/>
      <c r="E10" s="139"/>
      <c r="F10" s="140"/>
      <c r="G10" s="7"/>
    </row>
    <row r="11" spans="1:7" ht="25.5" customHeight="1">
      <c r="A11" s="138"/>
      <c r="B11" s="139"/>
      <c r="C11" s="139"/>
      <c r="D11" s="139"/>
      <c r="E11" s="139"/>
      <c r="F11" s="140"/>
      <c r="G11" s="8"/>
    </row>
    <row r="12" spans="1:7" ht="9" customHeight="1" thickBot="1">
      <c r="A12" s="141"/>
      <c r="B12" s="142"/>
      <c r="C12" s="142"/>
      <c r="D12" s="142"/>
      <c r="E12" s="142"/>
      <c r="F12" s="143"/>
      <c r="G12" s="17"/>
    </row>
    <row r="13" spans="1:7" ht="18" customHeight="1">
      <c r="A13" s="124" t="s">
        <v>7</v>
      </c>
      <c r="B13" s="125"/>
      <c r="C13" s="125"/>
      <c r="D13" s="125"/>
      <c r="E13" s="126"/>
      <c r="F13" s="28" t="s">
        <v>8</v>
      </c>
      <c r="G13" s="4"/>
    </row>
    <row r="14" spans="1:7" ht="34.5" customHeight="1">
      <c r="A14" s="117" t="s">
        <v>30</v>
      </c>
      <c r="B14" s="118"/>
      <c r="C14" s="118"/>
      <c r="D14" s="118"/>
      <c r="E14" s="119"/>
      <c r="F14" s="29">
        <v>19048</v>
      </c>
      <c r="G14" s="9"/>
    </row>
    <row r="15" spans="1:7" ht="18" customHeight="1">
      <c r="A15" s="106" t="s">
        <v>31</v>
      </c>
      <c r="B15" s="107"/>
      <c r="C15" s="107"/>
      <c r="D15" s="107"/>
      <c r="E15" s="108"/>
      <c r="F15" s="26"/>
      <c r="G15" s="9"/>
    </row>
    <row r="16" spans="1:7" ht="18" customHeight="1">
      <c r="A16" s="103"/>
      <c r="B16" s="104"/>
      <c r="C16" s="104"/>
      <c r="D16" s="104"/>
      <c r="E16" s="105"/>
      <c r="F16" s="26"/>
      <c r="G16" s="9"/>
    </row>
    <row r="17" spans="1:7" ht="18" customHeight="1">
      <c r="A17" s="103"/>
      <c r="B17" s="104"/>
      <c r="C17" s="104"/>
      <c r="D17" s="104"/>
      <c r="E17" s="105"/>
      <c r="F17" s="26"/>
      <c r="G17" s="9"/>
    </row>
    <row r="18" spans="1:7" ht="18" customHeight="1">
      <c r="A18" s="103"/>
      <c r="B18" s="104"/>
      <c r="C18" s="104"/>
      <c r="D18" s="104"/>
      <c r="E18" s="105"/>
      <c r="F18" s="26"/>
      <c r="G18" s="9"/>
    </row>
    <row r="19" spans="1:7" ht="18" customHeight="1">
      <c r="A19" s="103"/>
      <c r="B19" s="104"/>
      <c r="C19" s="104"/>
      <c r="D19" s="104"/>
      <c r="E19" s="105"/>
      <c r="F19" s="26"/>
      <c r="G19" s="9"/>
    </row>
    <row r="20" spans="1:7" ht="18" customHeight="1">
      <c r="A20" s="103"/>
      <c r="B20" s="104"/>
      <c r="C20" s="104"/>
      <c r="D20" s="104"/>
      <c r="E20" s="105"/>
      <c r="F20" s="26"/>
      <c r="G20" s="9"/>
    </row>
    <row r="21" spans="1:7" ht="18" customHeight="1">
      <c r="A21" s="103"/>
      <c r="B21" s="104"/>
      <c r="C21" s="104"/>
      <c r="D21" s="104"/>
      <c r="E21" s="105"/>
      <c r="F21" s="27"/>
      <c r="G21" s="9"/>
    </row>
    <row r="22" spans="1:7" ht="19.5" customHeight="1">
      <c r="A22" s="65" t="s">
        <v>10</v>
      </c>
      <c r="B22" s="66"/>
      <c r="C22" s="67"/>
      <c r="D22" s="83" t="s">
        <v>11</v>
      </c>
      <c r="E22" s="84"/>
      <c r="F22" s="30">
        <f>F14</f>
        <v>19048</v>
      </c>
      <c r="G22" s="10"/>
    </row>
    <row r="23" spans="1:7" ht="19.5" customHeight="1">
      <c r="A23" s="68"/>
      <c r="B23" s="69"/>
      <c r="C23" s="70"/>
      <c r="D23" s="85" t="s">
        <v>12</v>
      </c>
      <c r="E23" s="86"/>
      <c r="F23" s="30">
        <f>F22*5/100</f>
        <v>952.4</v>
      </c>
      <c r="G23" s="11"/>
    </row>
    <row r="24" spans="1:7" ht="22.9" customHeight="1">
      <c r="A24" s="68"/>
      <c r="B24" s="69"/>
      <c r="C24" s="70"/>
      <c r="D24" s="87" t="s">
        <v>13</v>
      </c>
      <c r="E24" s="88"/>
      <c r="F24" s="122">
        <f>SUM(F22:F23)</f>
        <v>20000.400000000001</v>
      </c>
      <c r="G24" s="12"/>
    </row>
    <row r="25" spans="1:7" ht="22.9" customHeight="1" thickBot="1">
      <c r="A25" s="71"/>
      <c r="B25" s="72"/>
      <c r="C25" s="73"/>
      <c r="D25" s="89"/>
      <c r="E25" s="90"/>
      <c r="F25" s="123"/>
      <c r="G25" s="12"/>
    </row>
    <row r="26" spans="1:7" ht="23.25" customHeight="1">
      <c r="A26" s="74" t="s">
        <v>14</v>
      </c>
      <c r="B26" s="75"/>
      <c r="C26" s="75"/>
      <c r="D26" s="75"/>
      <c r="E26" s="75"/>
      <c r="F26" s="76"/>
    </row>
    <row r="27" spans="1:7" ht="15.75" customHeight="1">
      <c r="A27" s="77"/>
      <c r="B27" s="78"/>
      <c r="C27" s="78"/>
      <c r="D27" s="78"/>
      <c r="E27" s="78"/>
      <c r="F27" s="79"/>
      <c r="G27" s="13"/>
    </row>
    <row r="28" spans="1:7" ht="19.5" customHeight="1" thickBot="1">
      <c r="A28" s="80"/>
      <c r="B28" s="81"/>
      <c r="C28" s="81"/>
      <c r="D28" s="81"/>
      <c r="E28" s="81"/>
      <c r="F28" s="82"/>
      <c r="G28" s="14"/>
    </row>
    <row r="29" spans="1:7" ht="21" customHeight="1">
      <c r="A29" s="37" t="s">
        <v>15</v>
      </c>
      <c r="B29" s="38"/>
      <c r="C29" s="38"/>
      <c r="D29" s="38"/>
      <c r="E29" s="38"/>
      <c r="F29" s="39"/>
      <c r="G29" s="15"/>
    </row>
    <row r="30" spans="1:7" ht="15.75" customHeight="1">
      <c r="A30" s="40"/>
      <c r="B30" s="41"/>
      <c r="C30" s="41"/>
      <c r="D30" s="41"/>
      <c r="E30" s="41"/>
      <c r="F30" s="42"/>
      <c r="G30" s="16"/>
    </row>
    <row r="31" spans="1:7" ht="15.75" customHeight="1" thickBot="1">
      <c r="A31" s="43"/>
      <c r="B31" s="44"/>
      <c r="C31" s="44"/>
      <c r="D31" s="44"/>
      <c r="E31" s="44"/>
      <c r="F31" s="45"/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5">
    <mergeCell ref="A8:F8"/>
    <mergeCell ref="A9:F12"/>
    <mergeCell ref="A13:E13"/>
    <mergeCell ref="A14:E14"/>
    <mergeCell ref="A1:F1"/>
    <mergeCell ref="A2:D2"/>
    <mergeCell ref="E2:F4"/>
    <mergeCell ref="A3:D3"/>
    <mergeCell ref="A5:F5"/>
    <mergeCell ref="A6:C6"/>
    <mergeCell ref="A7:C7"/>
    <mergeCell ref="A26:F28"/>
    <mergeCell ref="A29:F31"/>
    <mergeCell ref="D24:E25"/>
    <mergeCell ref="F24:F25"/>
    <mergeCell ref="D22:E22"/>
    <mergeCell ref="D23:E23"/>
    <mergeCell ref="A22:C25"/>
    <mergeCell ref="A15:E15"/>
    <mergeCell ref="A16:E16"/>
    <mergeCell ref="A17:E17"/>
    <mergeCell ref="A18:E18"/>
    <mergeCell ref="A19:E19"/>
    <mergeCell ref="A20:E20"/>
    <mergeCell ref="A21:E21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C97A72-9B96-4CAE-9953-754FDC0E1ADA}"/>
</file>

<file path=customXml/itemProps2.xml><?xml version="1.0" encoding="utf-8"?>
<ds:datastoreItem xmlns:ds="http://schemas.openxmlformats.org/officeDocument/2006/customXml" ds:itemID="{EEA0E395-E670-4E4A-878B-10AABCE49983}"/>
</file>

<file path=customXml/itemProps3.xml><?xml version="1.0" encoding="utf-8"?>
<ds:datastoreItem xmlns:ds="http://schemas.openxmlformats.org/officeDocument/2006/customXml" ds:itemID="{AC005C86-54E9-47D7-9395-FC129B7CA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Abdul Irfan Yerraballi</cp:lastModifiedBy>
  <cp:revision/>
  <dcterms:created xsi:type="dcterms:W3CDTF">2024-10-02T05:57:04Z</dcterms:created>
  <dcterms:modified xsi:type="dcterms:W3CDTF">2024-10-07T06:56:27Z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