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35" documentId="11_0661163843EAC533441C7D8E1A714485F5D0931F" xr6:coauthVersionLast="47" xr6:coauthVersionMax="47" xr10:uidLastSave="{214DA841-E755-4CCA-BE15-0E16A6AE430A}"/>
  <bookViews>
    <workbookView xWindow="-108" yWindow="-108" windowWidth="23256" windowHeight="12456" firstSheet="3" activeTab="8" xr2:uid="{00000000-000D-0000-FFFF-FFFF00000000}"/>
  </bookViews>
  <sheets>
    <sheet name="81666-24-UPSV" sheetId="1" r:id="rId1"/>
    <sheet name="81678-24-UPSV" sheetId="2" r:id="rId2"/>
    <sheet name="81701-24-UPSV" sheetId="3" r:id="rId3"/>
    <sheet name="81462-24-UPSV" sheetId="4" r:id="rId4"/>
    <sheet name="81481-24-UPSV" sheetId="5" r:id="rId5"/>
    <sheet name="81489-24-UPSV" sheetId="6" r:id="rId6"/>
    <sheet name="81503-24-UPSV" sheetId="7" r:id="rId7"/>
    <sheet name="81506-24-UPSV" sheetId="8" r:id="rId8"/>
    <sheet name="81515-24-UPSV" sheetId="9" r:id="rId9"/>
    <sheet name="81518-24-UPSV" sheetId="10" r:id="rId10"/>
    <sheet name="81522-24-UPSV" sheetId="11" r:id="rId11"/>
    <sheet name="81536-24-UPSV" sheetId="12" r:id="rId12"/>
    <sheet name="81541-24-UPSV" sheetId="13" r:id="rId13"/>
    <sheet name="81550-24-UPSV" sheetId="14" r:id="rId14"/>
    <sheet name="81553-24-UPSV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" l="1"/>
  <c r="E15" i="13"/>
  <c r="E6" i="15"/>
  <c r="E14" i="15" s="1"/>
  <c r="E6" i="14"/>
  <c r="E14" i="14" s="1"/>
  <c r="E6" i="13"/>
  <c r="E14" i="13" s="1"/>
  <c r="E6" i="12"/>
  <c r="E13" i="12" s="1"/>
  <c r="E6" i="11"/>
  <c r="E13" i="11" s="1"/>
  <c r="E6" i="10"/>
  <c r="E14" i="10" s="1"/>
  <c r="E6" i="9"/>
  <c r="E14" i="9" s="1"/>
  <c r="E6" i="8"/>
  <c r="E14" i="8" s="1"/>
  <c r="E6" i="7"/>
  <c r="E14" i="7" s="1"/>
  <c r="E6" i="6"/>
  <c r="E14" i="6" s="1"/>
  <c r="E6" i="5"/>
  <c r="E14" i="5" s="1"/>
  <c r="E6" i="4"/>
  <c r="E14" i="4" s="1"/>
  <c r="E6" i="3"/>
  <c r="E14" i="3" s="1"/>
  <c r="E6" i="2"/>
  <c r="E14" i="2" s="1"/>
  <c r="E6" i="1"/>
  <c r="E14" i="1" s="1"/>
  <c r="E15" i="1" l="1"/>
  <c r="E16" i="1" s="1"/>
  <c r="E15" i="9"/>
  <c r="E16" i="9" s="1"/>
  <c r="E15" i="4"/>
  <c r="E16" i="4" s="1"/>
  <c r="E14" i="12"/>
  <c r="E15" i="12" s="1"/>
  <c r="E15" i="2"/>
  <c r="E16" i="2" s="1"/>
  <c r="E15" i="10"/>
  <c r="E16" i="10" s="1"/>
  <c r="E15" i="14"/>
  <c r="E16" i="14" s="1"/>
  <c r="E15" i="8"/>
  <c r="E16" i="8" s="1"/>
  <c r="E15" i="5"/>
  <c r="E16" i="5" s="1"/>
  <c r="E15" i="6"/>
  <c r="E16" i="6" s="1"/>
  <c r="E15" i="3"/>
  <c r="E16" i="3" s="1"/>
  <c r="E15" i="7"/>
  <c r="E16" i="7" s="1"/>
  <c r="E14" i="11"/>
  <c r="E15" i="11" s="1"/>
  <c r="E15" i="15"/>
  <c r="E16" i="15" s="1"/>
</calcChain>
</file>

<file path=xl/sharedStrings.xml><?xml version="1.0" encoding="utf-8"?>
<sst xmlns="http://schemas.openxmlformats.org/spreadsheetml/2006/main" count="199" uniqueCount="65">
  <si>
    <t xml:space="preserve">                   TAX INVOICE</t>
  </si>
  <si>
    <t>INVOICE NO : 81666-24/UPSV
DATE : 08.15.2024</t>
  </si>
  <si>
    <r>
      <rPr>
        <b/>
        <sz val="24"/>
        <rFont val="Arial"/>
        <family val="2"/>
      </rPr>
      <t>UPS (United Parcel Service)</t>
    </r>
    <r>
      <rPr>
        <b/>
        <sz val="26"/>
        <rFont val="Arial"/>
        <family val="2"/>
      </rPr>
      <t xml:space="preserve">
</t>
    </r>
    <r>
      <rPr>
        <b/>
        <sz val="14"/>
        <rFont val="Arial"/>
        <family val="2"/>
      </rPr>
      <t>2076 Graham Square Apt. 163, Port Nicole, South Carolina, 76234</t>
    </r>
  </si>
  <si>
    <t xml:space="preserve">BILL TO: Steel Horse Auto Assembly Anantpur Ltd
123 MG Road, Anantapur, Andhra Pradesh 515001
Phone  +91 91 3319 9696
</t>
  </si>
  <si>
    <t>Description</t>
  </si>
  <si>
    <t>Qty</t>
  </si>
  <si>
    <t>Rate</t>
  </si>
  <si>
    <t>Amount</t>
  </si>
  <si>
    <t>Express courier with prior delivery</t>
  </si>
  <si>
    <t>Total</t>
  </si>
  <si>
    <t>Tax Amount</t>
  </si>
  <si>
    <t>Grand Total</t>
  </si>
  <si>
    <r>
      <rPr>
        <b/>
        <i/>
        <u/>
        <sz val="12"/>
        <color rgb="FF000000"/>
        <rFont val="Arial"/>
        <family val="2"/>
      </rPr>
      <t>Total Amount (In Words)</t>
    </r>
    <r>
      <rPr>
        <b/>
        <i/>
        <sz val="12"/>
        <color rgb="FF000000"/>
        <rFont val="Arial"/>
        <family val="2"/>
      </rPr>
      <t>:  Two thousand and thirty two only</t>
    </r>
    <r>
      <rPr>
        <sz val="12"/>
        <color rgb="FF000000"/>
        <rFont val="Arial"/>
        <family val="2"/>
      </rPr>
      <t xml:space="preserve">                                                           
</t>
    </r>
  </si>
  <si>
    <t>INVOICE NO : 81678-24/UPSV
DATE : 08.15.2024</t>
  </si>
  <si>
    <t xml:space="preserve">BILL TO: Steel Horse Auto Assembly Lincoln Inc
21857 Clayton Forges Suite 897, Sherrybury, Lincoln, United States, 17355
Phone (186) 556-7297
</t>
  </si>
  <si>
    <t>Fragile Handling</t>
  </si>
  <si>
    <t xml:space="preserve">Total Amount (In Words):  One thousand and forty eight only                                                  
</t>
  </si>
  <si>
    <t>INVOICE NO : 81701-24/UPSV
DATE : 08.15.2024</t>
  </si>
  <si>
    <t xml:space="preserve">BILL TO: Steel Horse Auto Assembly Chennai Ltd
House No 249,Road No 11,Rajiv Gandhi Nagar,Chennai,Tamil Nadu,India
Phone +91 91 2063 0359
</t>
  </si>
  <si>
    <t>Express Shipping (For 15 Days)</t>
  </si>
  <si>
    <r>
      <rPr>
        <b/>
        <i/>
        <u/>
        <sz val="12"/>
        <color rgb="FF000000"/>
        <rFont val="Arial"/>
        <family val="2"/>
      </rPr>
      <t>Total Amount (In Words)</t>
    </r>
    <r>
      <rPr>
        <b/>
        <i/>
        <sz val="12"/>
        <color rgb="FF000000"/>
        <rFont val="Arial"/>
        <family val="2"/>
      </rPr>
      <t>:  Two thousand one hundred and fifty six only</t>
    </r>
    <r>
      <rPr>
        <sz val="12"/>
        <color rgb="FF000000"/>
        <rFont val="Arial"/>
        <family val="2"/>
      </rPr>
      <t xml:space="preserve">                                                
</t>
    </r>
  </si>
  <si>
    <t>INVOICE NO : 81462-24/UPSV
DATE : 08.19.2024</t>
  </si>
  <si>
    <t xml:space="preserve">BILL TO: Steel Horse Auto Inc
265 Lopez Orchard, East John, Michigan, United States, 43306
Phone (778) 287-9700
</t>
  </si>
  <si>
    <t>Express courier with pick-up service</t>
  </si>
  <si>
    <r>
      <rPr>
        <b/>
        <i/>
        <u/>
        <sz val="12"/>
        <color rgb="FF000000"/>
        <rFont val="Arial"/>
        <family val="2"/>
      </rPr>
      <t>Total Amount (In Words)</t>
    </r>
    <r>
      <rPr>
        <b/>
        <i/>
        <sz val="12"/>
        <color rgb="FF000000"/>
        <rFont val="Arial"/>
        <family val="2"/>
      </rPr>
      <t>:  One thousand nine hundred and seventy one only</t>
    </r>
    <r>
      <rPr>
        <sz val="12"/>
        <color rgb="FF000000"/>
        <rFont val="Arial"/>
        <family val="2"/>
      </rPr>
      <t xml:space="preserve">                                
</t>
    </r>
  </si>
  <si>
    <t>INVOICE NO : 81481-24/UPSV
DATE : 08.19.2024</t>
  </si>
  <si>
    <t xml:space="preserve">BILL TO: Steel Horse Auto Assembly NJ Inc
0015 Angela Mission, Kathyborough, New Jersey, United States
Phone (632) 363-4650
</t>
  </si>
  <si>
    <t>Express courier with next day delivery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</si>
  <si>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Two thousand one hundred and fifty nine only</t>
    </r>
    <r>
      <rPr>
        <sz val="12"/>
        <rFont val="Arial"/>
        <family val="2"/>
      </rPr>
      <t xml:space="preserve">                                
</t>
    </r>
  </si>
  <si>
    <t>INVOICE NO : 81489-24/UPSV
DATE : 08.23.2024</t>
  </si>
  <si>
    <t xml:space="preserve">BILL TO: Steel Horse Motors Washington DC Inc.
601 Massachusetts Avenue NW, Washington, DC 20001
Phone (202) 555-432
</t>
  </si>
  <si>
    <t>Standard Delivery (For 15 days)</t>
  </si>
  <si>
    <t xml:space="preserve">Total Amount (In Words):  One thousand two hundred and forty nine only                                
</t>
  </si>
  <si>
    <t>INVOICE NO : 81503-24/UPSV
DATE : 08.23.2024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</si>
  <si>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Two thousand and sixty only</t>
    </r>
    <r>
      <rPr>
        <sz val="12"/>
        <rFont val="Arial"/>
        <family val="2"/>
      </rPr>
      <t xml:space="preserve">                                
</t>
    </r>
  </si>
  <si>
    <t>INVOICE NO : 81506-24/UPSV
DATE : 08.27.2024</t>
  </si>
  <si>
    <t>Special Handling Services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</si>
  <si>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One thousand two hundred and eighty four only</t>
    </r>
    <r>
      <rPr>
        <sz val="12"/>
        <rFont val="Arial"/>
        <family val="2"/>
      </rPr>
      <t xml:space="preserve">                                
</t>
    </r>
  </si>
  <si>
    <t>INVOICE NO : 81515-24/UPSV
DATE : 08.27.2024</t>
  </si>
  <si>
    <t>Express courier (For 15 Days)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</si>
  <si>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One thousand nine hundred and fifty five only</t>
    </r>
    <r>
      <rPr>
        <sz val="12"/>
        <rFont val="Arial"/>
        <family val="2"/>
      </rPr>
      <t xml:space="preserve">                                
</t>
    </r>
  </si>
  <si>
    <t>INVOICE NO : 81518-24/UPSV
DATE : 08.27.2024</t>
  </si>
  <si>
    <t xml:space="preserve">BILL TO: Steel Horse Motors Lincoln Inc.
1500 O Street, Lincoln, USA, 68508
Phone (402) 555-9876
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</si>
  <si>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One thousand nine hundred only</t>
    </r>
    <r>
      <rPr>
        <sz val="12"/>
        <rFont val="Arial"/>
        <family val="2"/>
      </rPr>
      <t xml:space="preserve">                                
</t>
    </r>
  </si>
  <si>
    <t>INVOICE NO : 81522-24/UPSV
DATE : 08.27.2024</t>
  </si>
  <si>
    <t xml:space="preserve">BILL TO: Steel Horse Motors New Jersey Inc.
100 Mulberry Street, Newark, New Jersey, USA, 07102
Phone (973) 555-6543
</t>
  </si>
  <si>
    <t>Gift Wrapping</t>
  </si>
  <si>
    <t>-</t>
  </si>
  <si>
    <t>Complimentary Gift Wrapping.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</si>
  <si>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Two thousand one hundred and twenty nine only</t>
    </r>
    <r>
      <rPr>
        <sz val="12"/>
        <rFont val="Arial"/>
        <family val="2"/>
      </rPr>
      <t xml:space="preserve">                                
</t>
    </r>
  </si>
  <si>
    <t>INVOICE NO : 81536-24/UPSV
DATE : 08.31.2024</t>
  </si>
  <si>
    <t xml:space="preserve">BILL TO: Steel Horse Auto Inc
265 Lopez Orchard, East John, Michigan, 43306
Phone (778) 287-9700
</t>
  </si>
  <si>
    <t>Standard shipping (For one shipment)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</si>
  <si>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One thousand two hundred and ninety four only</t>
    </r>
    <r>
      <rPr>
        <sz val="12"/>
        <rFont val="Arial"/>
        <family val="2"/>
      </rPr>
      <t xml:space="preserve">                                
</t>
    </r>
  </si>
  <si>
    <t>INVOICE NO : 81541-24/UPSV
DATE : 08.31.2024</t>
  </si>
  <si>
    <t xml:space="preserve">BILL TO: Steel Horse Motors Washington DC Inc.
601 Massachusetts Avenue NW, Washington, DC 20001
Phone (202) 555-432
</t>
  </si>
  <si>
    <t>Express courier with insurance coverage</t>
  </si>
  <si>
    <r>
      <rPr>
        <b/>
        <i/>
        <u/>
        <sz val="12"/>
        <color rgb="FF000000"/>
        <rFont val="Arial"/>
        <family val="2"/>
      </rPr>
      <t>Total Amount (In Words)</t>
    </r>
    <r>
      <rPr>
        <b/>
        <i/>
        <sz val="12"/>
        <color rgb="FF000000"/>
        <rFont val="Arial"/>
        <family val="2"/>
      </rPr>
      <t>:  Two thousand two hundred and ninety five only</t>
    </r>
    <r>
      <rPr>
        <sz val="12"/>
        <color rgb="FF000000"/>
        <rFont val="Arial"/>
        <family val="2"/>
      </rPr>
      <t xml:space="preserve">                                
</t>
    </r>
  </si>
  <si>
    <t>INVOICE NO : 81550-24/UPSV
DATE : 08.31.2024</t>
  </si>
  <si>
    <t xml:space="preserve">BILL TO: Steel Horse Motors LA Inc.
250 South Broadway, Los Angeles, USA, 90012
Phone (23) 555-6789
</t>
  </si>
  <si>
    <r>
      <t>Standard shipping (</t>
    </r>
    <r>
      <rPr>
        <sz val="11"/>
        <color theme="1"/>
        <rFont val="Calibri"/>
        <family val="2"/>
        <scheme val="minor"/>
      </rPr>
      <t>For 15 Days</t>
    </r>
    <r>
      <rPr>
        <b/>
        <sz val="11"/>
        <color theme="1"/>
        <rFont val="Calibri"/>
        <family val="2"/>
        <scheme val="minor"/>
      </rPr>
      <t>)</t>
    </r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</si>
  <si>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One thousand one hundred and seventy one only</t>
    </r>
    <r>
      <rPr>
        <sz val="12"/>
        <rFont val="Arial"/>
        <family val="2"/>
      </rPr>
      <t xml:space="preserve">                                
</t>
    </r>
  </si>
  <si>
    <t>INVOICE NO : 81553-24/UPSV
DATE : 08.31.2024</t>
  </si>
  <si>
    <t xml:space="preserve">BILL TO: Steel Horse Motors Dallas Inc
2200 Ross Avenue, Dallas, USA, 75201
Phone (24) 555-2345
</t>
  </si>
  <si>
    <r>
      <rPr>
        <b/>
        <i/>
        <u/>
        <sz val="12"/>
        <rFont val="Arial"/>
        <family val="2"/>
      </rPr>
      <t>Total Amount (In Words)</t>
    </r>
    <r>
      <rPr>
        <b/>
        <i/>
        <sz val="12"/>
        <rFont val="Arial"/>
        <family val="2"/>
      </rPr>
      <t>:  Two thousand one hundred and four only</t>
    </r>
    <r>
      <rPr>
        <sz val="12"/>
        <rFont val="Arial"/>
        <family val="2"/>
      </rPr>
      <t xml:space="preserve">                               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</si>
</sst>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&quot;AED&quot;* #,##0.00_-;\-&quot;AED&quot;* #,##0.00_-;_-&quot;AED&quot;* &quot;-&quot;??_-;_-@_-"/>
    <numFmt numFmtId="166" formatCode="_-[$$-409]* #,##0_ ;_-[$$-409]* \-#,##0\ ;_-[$$-409]* &quot;-&quot;??_ ;_-@_ 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22"/>
      <color theme="0"/>
      <name val="Eras Bold ITC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sz val="10"/>
      <name val="Book Antiqua"/>
      <family val="1"/>
    </font>
    <font>
      <b/>
      <sz val="26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Book Antiqua"/>
      <family val="1"/>
    </font>
    <font>
      <b/>
      <sz val="2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0"/>
      <name val="Calibri"/>
      <family val="2"/>
    </font>
    <font>
      <sz val="18"/>
      <color theme="0"/>
      <name val="Arial"/>
      <family val="2"/>
    </font>
    <font>
      <b/>
      <sz val="18"/>
      <color theme="0"/>
      <name val="Calibri"/>
      <family val="2"/>
    </font>
    <font>
      <sz val="12"/>
      <color rgb="FF000000"/>
      <name val="Arial"/>
      <family val="2"/>
    </font>
    <font>
      <b/>
      <i/>
      <u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name val="Arial"/>
      <family val="2"/>
    </font>
    <font>
      <sz val="12"/>
      <name val="Book Antiqua"/>
      <family val="1"/>
    </font>
    <font>
      <b/>
      <sz val="11"/>
      <name val="Constantia"/>
      <family val="1"/>
    </font>
    <font>
      <b/>
      <i/>
      <sz val="12"/>
      <name val="Arial"/>
      <family val="2"/>
    </font>
    <font>
      <b/>
      <i/>
      <u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110">
    <xf numFmtId="0" fontId="0" fillId="0" borderId="0" xfId="0"/>
    <xf numFmtId="0" fontId="5" fillId="0" borderId="0" xfId="0" applyFont="1"/>
    <xf numFmtId="0" fontId="9" fillId="0" borderId="0" xfId="0" applyFont="1"/>
    <xf numFmtId="0" fontId="11" fillId="0" borderId="0" xfId="0" applyFont="1"/>
    <xf numFmtId="0" fontId="12" fillId="0" borderId="14" xfId="0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0" xfId="0" applyFont="1"/>
    <xf numFmtId="0" fontId="15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9" fontId="13" fillId="0" borderId="21" xfId="0" applyNumberFormat="1" applyFont="1" applyBorder="1" applyAlignment="1">
      <alignment vertical="center"/>
    </xf>
    <xf numFmtId="166" fontId="13" fillId="0" borderId="9" xfId="1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4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17" fillId="6" borderId="24" xfId="0" applyFont="1" applyFill="1" applyBorder="1" applyAlignment="1">
      <alignment vertical="center"/>
    </xf>
    <xf numFmtId="0" fontId="18" fillId="6" borderId="6" xfId="0" applyFont="1" applyFill="1" applyBorder="1"/>
    <xf numFmtId="166" fontId="19" fillId="6" borderId="6" xfId="1" applyNumberFormat="1" applyFont="1" applyFill="1" applyBorder="1" applyAlignment="1">
      <alignment horizontal="right" vertical="center"/>
    </xf>
    <xf numFmtId="0" fontId="17" fillId="5" borderId="24" xfId="0" applyFont="1" applyFill="1" applyBorder="1" applyAlignment="1">
      <alignment vertical="center"/>
    </xf>
    <xf numFmtId="0" fontId="18" fillId="5" borderId="6" xfId="0" applyFont="1" applyFill="1" applyBorder="1"/>
    <xf numFmtId="0" fontId="18" fillId="6" borderId="5" xfId="0" applyFont="1" applyFill="1" applyBorder="1"/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" fontId="12" fillId="0" borderId="37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166" fontId="13" fillId="0" borderId="33" xfId="1" applyNumberFormat="1" applyFont="1" applyFill="1" applyBorder="1" applyAlignment="1">
      <alignment horizontal="right" vertical="center"/>
    </xf>
    <xf numFmtId="166" fontId="19" fillId="6" borderId="31" xfId="1" applyNumberFormat="1" applyFont="1" applyFill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3" fillId="0" borderId="43" xfId="0" applyFont="1" applyBorder="1" applyAlignment="1">
      <alignment vertical="center"/>
    </xf>
    <xf numFmtId="166" fontId="19" fillId="5" borderId="31" xfId="1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6" fontId="13" fillId="0" borderId="33" xfId="2" applyNumberFormat="1" applyFont="1" applyFill="1" applyBorder="1" applyAlignment="1">
      <alignment horizontal="right" vertical="center"/>
    </xf>
    <xf numFmtId="166" fontId="13" fillId="0" borderId="39" xfId="1" applyNumberFormat="1" applyFont="1" applyFill="1" applyBorder="1" applyAlignment="1">
      <alignment horizontal="right" vertical="center"/>
    </xf>
    <xf numFmtId="166" fontId="13" fillId="2" borderId="41" xfId="1" applyNumberFormat="1" applyFont="1" applyFill="1" applyBorder="1" applyAlignment="1">
      <alignment horizontal="right" vertical="center"/>
    </xf>
    <xf numFmtId="166" fontId="13" fillId="0" borderId="18" xfId="1" applyNumberFormat="1" applyFont="1" applyFill="1" applyBorder="1" applyAlignment="1">
      <alignment horizontal="right" vertical="center"/>
    </xf>
    <xf numFmtId="166" fontId="13" fillId="2" borderId="19" xfId="1" applyNumberFormat="1" applyFont="1" applyFill="1" applyBorder="1" applyAlignment="1">
      <alignment horizontal="right" vertical="center"/>
    </xf>
    <xf numFmtId="166" fontId="13" fillId="0" borderId="39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166" fontId="13" fillId="0" borderId="39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6" fillId="0" borderId="40" xfId="0" applyFont="1" applyBorder="1" applyAlignment="1">
      <alignment horizontal="left" vertical="center"/>
    </xf>
    <xf numFmtId="0" fontId="25" fillId="4" borderId="40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5" fillId="4" borderId="39" xfId="0" applyFont="1" applyFill="1" applyBorder="1" applyAlignment="1">
      <alignment horizontal="center" vertical="center" wrapText="1"/>
    </xf>
    <xf numFmtId="0" fontId="26" fillId="4" borderId="24" xfId="0" applyFont="1" applyFill="1" applyBorder="1" applyAlignment="1">
      <alignment horizontal="left" wrapText="1"/>
    </xf>
    <xf numFmtId="0" fontId="26" fillId="4" borderId="5" xfId="0" applyFont="1" applyFill="1" applyBorder="1" applyAlignment="1">
      <alignment horizontal="left" wrapText="1"/>
    </xf>
    <xf numFmtId="0" fontId="26" fillId="4" borderId="31" xfId="0" applyFont="1" applyFill="1" applyBorder="1" applyAlignment="1">
      <alignment horizontal="left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6" fillId="4" borderId="31" xfId="0" applyFont="1" applyFill="1" applyBorder="1" applyAlignment="1">
      <alignment horizontal="center" vertical="top" wrapText="1"/>
    </xf>
    <xf numFmtId="0" fontId="10" fillId="3" borderId="32" xfId="0" applyFont="1" applyFill="1" applyBorder="1" applyAlignment="1">
      <alignment horizontal="left" vertical="top" wrapText="1"/>
    </xf>
    <xf numFmtId="0" fontId="10" fillId="3" borderId="8" xfId="0" applyFont="1" applyFill="1" applyBorder="1" applyAlignment="1">
      <alignment horizontal="left" vertical="top" wrapText="1"/>
    </xf>
    <xf numFmtId="0" fontId="10" fillId="3" borderId="33" xfId="0" applyFont="1" applyFill="1" applyBorder="1" applyAlignment="1">
      <alignment horizontal="left" vertical="top" wrapText="1"/>
    </xf>
    <xf numFmtId="0" fontId="10" fillId="3" borderId="34" xfId="0" applyFont="1" applyFill="1" applyBorder="1" applyAlignment="1">
      <alignment horizontal="left" vertical="top" wrapText="1"/>
    </xf>
    <xf numFmtId="0" fontId="10" fillId="3" borderId="11" xfId="0" applyFont="1" applyFill="1" applyBorder="1" applyAlignment="1">
      <alignment horizontal="left" vertical="top" wrapText="1"/>
    </xf>
    <xf numFmtId="0" fontId="10" fillId="3" borderId="35" xfId="0" applyFont="1" applyFill="1" applyBorder="1" applyAlignment="1">
      <alignment horizontal="left" vertical="top" wrapText="1"/>
    </xf>
    <xf numFmtId="0" fontId="16" fillId="0" borderId="32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20" fillId="3" borderId="24" xfId="0" applyFont="1" applyFill="1" applyBorder="1" applyAlignment="1">
      <alignment horizontal="left" vertical="top" wrapText="1"/>
    </xf>
    <xf numFmtId="0" fontId="23" fillId="3" borderId="5" xfId="0" applyFont="1" applyFill="1" applyBorder="1" applyAlignment="1">
      <alignment horizontal="left" vertical="top" wrapText="1"/>
    </xf>
    <xf numFmtId="0" fontId="23" fillId="3" borderId="25" xfId="0" applyFont="1" applyFill="1" applyBorder="1" applyAlignment="1">
      <alignment horizontal="left" vertical="top" wrapText="1"/>
    </xf>
    <xf numFmtId="0" fontId="23" fillId="3" borderId="30" xfId="0" applyFont="1" applyFill="1" applyBorder="1" applyAlignment="1">
      <alignment horizontal="left" vertical="top" wrapText="1"/>
    </xf>
    <xf numFmtId="0" fontId="12" fillId="0" borderId="3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40" xfId="0" applyFont="1" applyBorder="1" applyAlignment="1">
      <alignment horizontal="left" vertical="center" wrapText="1"/>
    </xf>
    <xf numFmtId="0" fontId="25" fillId="4" borderId="16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left" wrapText="1"/>
    </xf>
    <xf numFmtId="0" fontId="26" fillId="4" borderId="11" xfId="0" applyFont="1" applyFill="1" applyBorder="1" applyAlignment="1">
      <alignment horizontal="left" wrapText="1"/>
    </xf>
    <xf numFmtId="0" fontId="26" fillId="4" borderId="12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left" vertical="top" wrapText="1"/>
    </xf>
    <xf numFmtId="0" fontId="10" fillId="3" borderId="9" xfId="0" applyFont="1" applyFill="1" applyBorder="1" applyAlignment="1">
      <alignment horizontal="left" vertical="top" wrapText="1"/>
    </xf>
    <xf numFmtId="0" fontId="10" fillId="3" borderId="10" xfId="0" applyFont="1" applyFill="1" applyBorder="1" applyAlignment="1">
      <alignment horizontal="left" vertical="top" wrapText="1"/>
    </xf>
    <xf numFmtId="0" fontId="10" fillId="3" borderId="12" xfId="0" applyFont="1" applyFill="1" applyBorder="1" applyAlignment="1">
      <alignment horizontal="left" vertical="top" wrapText="1"/>
    </xf>
    <xf numFmtId="0" fontId="16" fillId="0" borderId="16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top" wrapText="1"/>
    </xf>
    <xf numFmtId="0" fontId="23" fillId="3" borderId="26" xfId="0" applyFont="1" applyFill="1" applyBorder="1" applyAlignment="1">
      <alignment horizontal="left" vertical="top" wrapText="1"/>
    </xf>
    <xf numFmtId="0" fontId="12" fillId="0" borderId="1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23" fillId="3" borderId="24" xfId="0" applyFont="1" applyFill="1" applyBorder="1" applyAlignment="1">
      <alignment horizontal="left" vertical="top" wrapText="1"/>
    </xf>
    <xf numFmtId="0" fontId="4" fillId="6" borderId="2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0"/>
  <sheetViews>
    <sheetView showGridLines="0" view="pageBreakPreview" zoomScale="60" zoomScaleNormal="90" workbookViewId="0">
      <selection activeCell="A3" sqref="A3:E4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9.109375" style="1" customWidth="1"/>
    <col min="5" max="5" width="31.6640625" style="15" customWidth="1"/>
    <col min="6" max="16384" width="9.109375" style="1"/>
  </cols>
  <sheetData>
    <row r="1" spans="1:6" ht="37.5" customHeight="1" thickBot="1" x14ac:dyDescent="0.35">
      <c r="A1" s="54" t="s">
        <v>0</v>
      </c>
      <c r="B1" s="55"/>
      <c r="C1" s="55"/>
      <c r="D1" s="56" t="s">
        <v>1</v>
      </c>
      <c r="E1" s="57"/>
    </row>
    <row r="2" spans="1:6" s="2" customFormat="1" ht="65.2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3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8</v>
      </c>
      <c r="B6" s="78"/>
      <c r="C6" s="23">
        <v>1</v>
      </c>
      <c r="D6" s="6">
        <v>1796</v>
      </c>
      <c r="E6" s="37">
        <f>C6*D6</f>
        <v>1796</v>
      </c>
      <c r="F6" s="7"/>
    </row>
    <row r="7" spans="1:6" ht="24" customHeight="1" x14ac:dyDescent="0.3">
      <c r="A7" s="79"/>
      <c r="B7" s="80"/>
      <c r="C7" s="23"/>
      <c r="D7" s="6"/>
      <c r="E7" s="37"/>
      <c r="F7" s="7"/>
    </row>
    <row r="8" spans="1:6" ht="24" customHeight="1" x14ac:dyDescent="0.3">
      <c r="A8" s="79"/>
      <c r="B8" s="80"/>
      <c r="C8" s="23"/>
      <c r="D8" s="6"/>
      <c r="E8" s="37"/>
      <c r="F8" s="7"/>
    </row>
    <row r="9" spans="1:6" ht="24" customHeight="1" x14ac:dyDescent="0.3">
      <c r="A9" s="26"/>
      <c r="B9" s="23"/>
      <c r="C9" s="23"/>
      <c r="D9" s="6"/>
      <c r="E9" s="37"/>
      <c r="F9" s="7"/>
    </row>
    <row r="10" spans="1:6" ht="24" customHeight="1" x14ac:dyDescent="0.3">
      <c r="A10" s="26"/>
      <c r="B10" s="23"/>
      <c r="C10" s="23"/>
      <c r="D10" s="6"/>
      <c r="E10" s="37"/>
      <c r="F10" s="7"/>
    </row>
    <row r="11" spans="1:6" ht="24" customHeight="1" x14ac:dyDescent="0.3">
      <c r="A11" s="26"/>
      <c r="B11" s="23"/>
      <c r="C11" s="23"/>
      <c r="D11" s="6"/>
      <c r="E11" s="37"/>
      <c r="F11" s="7"/>
    </row>
    <row r="12" spans="1:6" ht="24" customHeight="1" x14ac:dyDescent="0.3">
      <c r="A12" s="26"/>
      <c r="B12" s="23"/>
      <c r="C12" s="23"/>
      <c r="D12" s="6"/>
      <c r="E12" s="37"/>
      <c r="F12" s="7"/>
    </row>
    <row r="13" spans="1:6" ht="24" customHeight="1" x14ac:dyDescent="0.3">
      <c r="A13" s="81"/>
      <c r="B13" s="82"/>
      <c r="C13" s="23"/>
      <c r="D13" s="6"/>
      <c r="E13" s="37"/>
      <c r="F13" s="7"/>
    </row>
    <row r="14" spans="1:6" ht="30" customHeight="1" thickBot="1" x14ac:dyDescent="0.35">
      <c r="A14" s="81"/>
      <c r="B14" s="82"/>
      <c r="C14" s="8" t="s">
        <v>9</v>
      </c>
      <c r="D14" s="9"/>
      <c r="E14" s="38">
        <f>SUM(E6:E6)</f>
        <v>1796</v>
      </c>
      <c r="F14" s="7"/>
    </row>
    <row r="15" spans="1:6" ht="27" customHeight="1" x14ac:dyDescent="0.3">
      <c r="A15" s="67"/>
      <c r="B15" s="68"/>
      <c r="C15" s="10" t="s">
        <v>10</v>
      </c>
      <c r="D15" s="11">
        <v>0.13139999999999999</v>
      </c>
      <c r="E15" s="28">
        <f>E14*D15</f>
        <v>235.99439999999998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2031.9944</v>
      </c>
    </row>
    <row r="17" spans="1:5" s="14" customFormat="1" ht="26.25" customHeight="1" thickBot="1" x14ac:dyDescent="0.3">
      <c r="A17" s="71" t="s">
        <v>12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4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  <mergeCell ref="A7:B7"/>
    <mergeCell ref="A8:B8"/>
    <mergeCell ref="A13:B13"/>
    <mergeCell ref="A14:B14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20"/>
  <sheetViews>
    <sheetView showGridLines="0" view="pageBreakPreview" zoomScale="60" zoomScaleNormal="90" workbookViewId="0">
      <selection activeCell="A6" sqref="A6:B6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9.109375" style="1" customWidth="1"/>
    <col min="5" max="5" width="31.441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56" t="s">
        <v>13</v>
      </c>
      <c r="E1" s="57"/>
    </row>
    <row r="2" spans="1:6" s="2" customFormat="1" ht="63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14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15</v>
      </c>
      <c r="B6" s="78"/>
      <c r="C6" s="23">
        <v>1</v>
      </c>
      <c r="D6" s="6">
        <v>926</v>
      </c>
      <c r="E6" s="41">
        <f>C6*D6</f>
        <v>926</v>
      </c>
      <c r="F6" s="7"/>
    </row>
    <row r="7" spans="1:6" ht="24" customHeight="1" x14ac:dyDescent="0.3">
      <c r="A7" s="79"/>
      <c r="B7" s="80"/>
      <c r="C7" s="23"/>
      <c r="D7" s="6"/>
      <c r="E7" s="41"/>
      <c r="F7" s="7"/>
    </row>
    <row r="8" spans="1:6" ht="24" customHeight="1" x14ac:dyDescent="0.3">
      <c r="A8" s="79"/>
      <c r="B8" s="80"/>
      <c r="C8" s="23"/>
      <c r="D8" s="6"/>
      <c r="E8" s="41"/>
      <c r="F8" s="7"/>
    </row>
    <row r="9" spans="1:6" ht="24" customHeight="1" x14ac:dyDescent="0.3">
      <c r="A9" s="79"/>
      <c r="B9" s="80"/>
      <c r="C9" s="23"/>
      <c r="D9" s="6"/>
      <c r="E9" s="41"/>
      <c r="F9" s="7"/>
    </row>
    <row r="10" spans="1:6" ht="24" customHeight="1" x14ac:dyDescent="0.3">
      <c r="A10" s="79"/>
      <c r="B10" s="80"/>
      <c r="C10" s="23"/>
      <c r="D10" s="6"/>
      <c r="E10" s="41"/>
      <c r="F10" s="7"/>
    </row>
    <row r="11" spans="1:6" ht="24" customHeight="1" x14ac:dyDescent="0.3">
      <c r="A11" s="26"/>
      <c r="B11" s="23"/>
      <c r="C11" s="23"/>
      <c r="D11" s="6"/>
      <c r="E11" s="41"/>
      <c r="F11" s="7"/>
    </row>
    <row r="12" spans="1:6" ht="24" customHeight="1" x14ac:dyDescent="0.3">
      <c r="A12" s="79"/>
      <c r="B12" s="80"/>
      <c r="C12" s="23"/>
      <c r="D12" s="6"/>
      <c r="E12" s="41"/>
      <c r="F12" s="7"/>
    </row>
    <row r="13" spans="1:6" ht="24" customHeight="1" x14ac:dyDescent="0.3">
      <c r="A13" s="79"/>
      <c r="B13" s="80"/>
      <c r="C13" s="23"/>
      <c r="D13" s="6"/>
      <c r="E13" s="41"/>
      <c r="F13" s="7"/>
    </row>
    <row r="14" spans="1:6" ht="30" customHeight="1" thickBot="1" x14ac:dyDescent="0.35">
      <c r="A14" s="83"/>
      <c r="B14" s="84"/>
      <c r="C14" s="8" t="s">
        <v>9</v>
      </c>
      <c r="D14" s="9"/>
      <c r="E14" s="38">
        <f>SUM(E6:E6)</f>
        <v>926</v>
      </c>
      <c r="F14" s="7"/>
    </row>
    <row r="15" spans="1:6" ht="27" customHeight="1" x14ac:dyDescent="0.3">
      <c r="A15" s="67"/>
      <c r="B15" s="68"/>
      <c r="C15" s="10" t="s">
        <v>10</v>
      </c>
      <c r="D15" s="11">
        <v>0.13139999999999999</v>
      </c>
      <c r="E15" s="28">
        <f>E14*D15</f>
        <v>121.67639999999999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1047.6764000000001</v>
      </c>
    </row>
    <row r="17" spans="1:5" s="14" customFormat="1" ht="26.25" customHeight="1" thickBot="1" x14ac:dyDescent="0.3">
      <c r="A17" s="71" t="s">
        <v>16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7">
    <mergeCell ref="A1:C1"/>
    <mergeCell ref="D1:E1"/>
    <mergeCell ref="A2:E2"/>
    <mergeCell ref="A3:E4"/>
    <mergeCell ref="A15:B16"/>
    <mergeCell ref="A5:B5"/>
    <mergeCell ref="A6:B6"/>
    <mergeCell ref="A7:B7"/>
    <mergeCell ref="A8:B8"/>
    <mergeCell ref="A9:B9"/>
    <mergeCell ref="A10:B10"/>
    <mergeCell ref="A12:B12"/>
    <mergeCell ref="A13:B13"/>
    <mergeCell ref="A14:B14"/>
    <mergeCell ref="A18:E18"/>
    <mergeCell ref="A19:E19"/>
    <mergeCell ref="A17:E17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F20"/>
  <sheetViews>
    <sheetView showGridLines="0" view="pageBreakPreview" zoomScale="60" zoomScaleNormal="90" workbookViewId="0">
      <selection activeCell="A6" sqref="A6:B6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9.109375" style="1" customWidth="1"/>
    <col min="5" max="5" width="31.332031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56" t="s">
        <v>17</v>
      </c>
      <c r="E1" s="57"/>
    </row>
    <row r="2" spans="1:6" s="2" customFormat="1" ht="57.7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18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19</v>
      </c>
      <c r="B6" s="78"/>
      <c r="C6" s="23">
        <v>1</v>
      </c>
      <c r="D6" s="6">
        <v>1906</v>
      </c>
      <c r="E6" s="37">
        <f>C6*D6</f>
        <v>1906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1906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250.44839999999999</v>
      </c>
      <c r="F15" s="7"/>
    </row>
    <row r="16" spans="1:6" s="13" customFormat="1" ht="36.75" customHeight="1" thickBot="1" x14ac:dyDescent="0.45">
      <c r="A16" s="69"/>
      <c r="B16" s="70"/>
      <c r="C16" s="19" t="s">
        <v>11</v>
      </c>
      <c r="D16" s="20"/>
      <c r="E16" s="33">
        <f>SUM(E14:E15)</f>
        <v>2156.4484000000002</v>
      </c>
    </row>
    <row r="17" spans="1:5" s="14" customFormat="1" ht="26.25" customHeight="1" thickBot="1" x14ac:dyDescent="0.3">
      <c r="A17" s="71" t="s">
        <v>20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F20"/>
  <sheetViews>
    <sheetView showGridLines="0" view="pageBreakPreview" zoomScale="6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4.109375" style="1" customWidth="1"/>
    <col min="4" max="4" width="11.33203125" style="1" customWidth="1"/>
    <col min="5" max="5" width="20" style="15" customWidth="1"/>
    <col min="6" max="16384" width="9.109375" style="1"/>
  </cols>
  <sheetData>
    <row r="1" spans="1:6" ht="36.75" customHeight="1" thickBot="1" x14ac:dyDescent="0.35">
      <c r="A1" s="91" t="s">
        <v>0</v>
      </c>
      <c r="B1" s="92"/>
      <c r="C1" s="92"/>
      <c r="D1" s="93" t="s">
        <v>21</v>
      </c>
      <c r="E1" s="94"/>
    </row>
    <row r="2" spans="1:6" s="2" customFormat="1" ht="61.5" customHeight="1" thickBot="1" x14ac:dyDescent="0.3">
      <c r="A2" s="95" t="s">
        <v>2</v>
      </c>
      <c r="B2" s="59"/>
      <c r="C2" s="59"/>
      <c r="D2" s="59"/>
      <c r="E2" s="96"/>
    </row>
    <row r="3" spans="1:6" s="3" customFormat="1" ht="27.75" customHeight="1" x14ac:dyDescent="0.25">
      <c r="A3" s="97" t="s">
        <v>22</v>
      </c>
      <c r="B3" s="62"/>
      <c r="C3" s="62"/>
      <c r="D3" s="62"/>
      <c r="E3" s="98"/>
      <c r="F3" s="2"/>
    </row>
    <row r="4" spans="1:6" s="3" customFormat="1" ht="26.25" customHeight="1" x14ac:dyDescent="0.25">
      <c r="A4" s="99"/>
      <c r="B4" s="65"/>
      <c r="C4" s="65"/>
      <c r="D4" s="65"/>
      <c r="E4" s="100"/>
      <c r="F4" s="2"/>
    </row>
    <row r="5" spans="1:6" s="3" customFormat="1" ht="30.75" customHeight="1" x14ac:dyDescent="0.25">
      <c r="A5" s="105" t="s">
        <v>4</v>
      </c>
      <c r="B5" s="76"/>
      <c r="C5" s="4" t="s">
        <v>5</v>
      </c>
      <c r="D5" s="4" t="s">
        <v>6</v>
      </c>
      <c r="E5" s="5" t="s">
        <v>7</v>
      </c>
      <c r="F5" s="2"/>
    </row>
    <row r="6" spans="1:6" ht="24" customHeight="1" x14ac:dyDescent="0.3">
      <c r="A6" s="106" t="s">
        <v>23</v>
      </c>
      <c r="B6" s="78"/>
      <c r="C6" s="23">
        <v>1</v>
      </c>
      <c r="D6" s="6">
        <v>1742</v>
      </c>
      <c r="E6" s="39">
        <f>C6*D6</f>
        <v>1742</v>
      </c>
      <c r="F6" s="7"/>
    </row>
    <row r="7" spans="1:6" ht="24" customHeight="1" x14ac:dyDescent="0.3">
      <c r="A7" s="22"/>
      <c r="B7" s="23"/>
      <c r="C7" s="6"/>
      <c r="D7" s="6"/>
      <c r="E7" s="39"/>
      <c r="F7" s="7"/>
    </row>
    <row r="8" spans="1:6" ht="24" customHeight="1" x14ac:dyDescent="0.3">
      <c r="A8" s="22"/>
      <c r="B8" s="23"/>
      <c r="C8" s="6"/>
      <c r="D8" s="6"/>
      <c r="E8" s="39"/>
      <c r="F8" s="7"/>
    </row>
    <row r="9" spans="1:6" ht="24" customHeight="1" x14ac:dyDescent="0.3">
      <c r="A9" s="22"/>
      <c r="B9" s="23"/>
      <c r="C9" s="6"/>
      <c r="D9" s="6"/>
      <c r="E9" s="39"/>
      <c r="F9" s="7"/>
    </row>
    <row r="10" spans="1:6" ht="24" customHeight="1" x14ac:dyDescent="0.3">
      <c r="A10" s="22"/>
      <c r="B10" s="23"/>
      <c r="C10" s="6"/>
      <c r="D10" s="6"/>
      <c r="E10" s="39"/>
      <c r="F10" s="7"/>
    </row>
    <row r="11" spans="1:6" ht="24" customHeight="1" x14ac:dyDescent="0.3">
      <c r="A11" s="22"/>
      <c r="B11" s="23"/>
      <c r="C11" s="6"/>
      <c r="D11" s="6"/>
      <c r="E11" s="39"/>
      <c r="F11" s="7"/>
    </row>
    <row r="12" spans="1:6" ht="24" customHeight="1" x14ac:dyDescent="0.3">
      <c r="A12" s="22"/>
      <c r="B12" s="23"/>
      <c r="C12" s="6"/>
      <c r="D12" s="6"/>
      <c r="E12" s="39"/>
      <c r="F12" s="7"/>
    </row>
    <row r="13" spans="1:6" ht="24" customHeight="1" x14ac:dyDescent="0.3">
      <c r="A13" s="31"/>
      <c r="B13" s="24"/>
      <c r="C13" s="6"/>
      <c r="D13" s="6"/>
      <c r="E13" s="39"/>
      <c r="F13" s="7"/>
    </row>
    <row r="14" spans="1:6" ht="30" customHeight="1" thickBot="1" x14ac:dyDescent="0.35">
      <c r="A14" s="34"/>
      <c r="B14" s="30"/>
      <c r="C14" s="8" t="s">
        <v>9</v>
      </c>
      <c r="D14" s="9"/>
      <c r="E14" s="40">
        <f>SUM(E6:E6)</f>
        <v>1742</v>
      </c>
      <c r="F14" s="7"/>
    </row>
    <row r="15" spans="1:6" ht="27" customHeight="1" x14ac:dyDescent="0.3">
      <c r="A15" s="101"/>
      <c r="B15" s="68"/>
      <c r="C15" s="10" t="s">
        <v>10</v>
      </c>
      <c r="D15" s="11">
        <v>0.13139999999999999</v>
      </c>
      <c r="E15" s="12">
        <f>E14*D15</f>
        <v>228.89879999999999</v>
      </c>
      <c r="F15" s="7"/>
    </row>
    <row r="16" spans="1:6" s="13" customFormat="1" ht="36.75" customHeight="1" thickBot="1" x14ac:dyDescent="0.45">
      <c r="A16" s="102"/>
      <c r="B16" s="70"/>
      <c r="C16" s="16" t="s">
        <v>11</v>
      </c>
      <c r="D16" s="17"/>
      <c r="E16" s="18">
        <f>SUM(E14:E15)</f>
        <v>1970.8987999999999</v>
      </c>
    </row>
    <row r="17" spans="1:5" s="14" customFormat="1" ht="26.25" customHeight="1" thickBot="1" x14ac:dyDescent="0.3">
      <c r="A17" s="103" t="s">
        <v>24</v>
      </c>
      <c r="B17" s="72"/>
      <c r="C17" s="73"/>
      <c r="D17" s="73"/>
      <c r="E17" s="104"/>
    </row>
    <row r="18" spans="1:5" s="2" customFormat="1" ht="15" customHeight="1" x14ac:dyDescent="0.25">
      <c r="A18" s="86"/>
      <c r="B18" s="49"/>
      <c r="C18" s="49"/>
      <c r="D18" s="49"/>
      <c r="E18" s="87"/>
    </row>
    <row r="19" spans="1:5" ht="15.75" customHeight="1" x14ac:dyDescent="0.3">
      <c r="A19" s="88"/>
      <c r="B19" s="89"/>
      <c r="C19" s="89"/>
      <c r="D19" s="89"/>
      <c r="E19" s="90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F20"/>
  <sheetViews>
    <sheetView showGridLines="0" view="pageBreakPreview" zoomScale="60" zoomScaleNormal="90" workbookViewId="0">
      <selection activeCell="D1" sqref="D1:E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1.5546875" style="1" customWidth="1"/>
    <col min="4" max="4" width="14.109375" style="1" customWidth="1"/>
    <col min="5" max="5" width="17.441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56" t="s">
        <v>25</v>
      </c>
      <c r="E1" s="57"/>
    </row>
    <row r="2" spans="1:6" s="2" customFormat="1" ht="57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26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27</v>
      </c>
      <c r="B6" s="78"/>
      <c r="C6" s="23">
        <v>1</v>
      </c>
      <c r="D6" s="6">
        <v>1908</v>
      </c>
      <c r="E6" s="37">
        <f>C6*D6</f>
        <v>1908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1908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250.71119999999999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2158.7112000000002</v>
      </c>
    </row>
    <row r="17" spans="1:5" s="14" customFormat="1" ht="26.25" customHeight="1" thickBot="1" x14ac:dyDescent="0.3">
      <c r="A17" s="107" t="s">
        <v>28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F20"/>
  <sheetViews>
    <sheetView showGridLines="0" view="pageBreakPreview" zoomScale="6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3.88671875" style="1" customWidth="1"/>
    <col min="5" max="5" width="17.441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108" t="s">
        <v>29</v>
      </c>
      <c r="E1" s="57"/>
    </row>
    <row r="2" spans="1:6" s="2" customFormat="1" ht="57.7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30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31</v>
      </c>
      <c r="B6" s="78"/>
      <c r="C6" s="23">
        <v>1</v>
      </c>
      <c r="D6" s="6">
        <v>1104</v>
      </c>
      <c r="E6" s="37">
        <f>C6*D6</f>
        <v>1104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1104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145.06559999999999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1249.0655999999999</v>
      </c>
    </row>
    <row r="17" spans="1:5" s="14" customFormat="1" ht="26.25" customHeight="1" thickBot="1" x14ac:dyDescent="0.3">
      <c r="A17" s="107" t="s">
        <v>32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F20"/>
  <sheetViews>
    <sheetView showGridLines="0" view="pageBreakPreview" zoomScale="6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4.109375" style="1" customWidth="1"/>
    <col min="5" max="5" width="17.44140625" style="15" customWidth="1"/>
    <col min="6" max="16384" width="9.109375" style="1"/>
  </cols>
  <sheetData>
    <row r="1" spans="1:6" ht="37.5" customHeight="1" thickBot="1" x14ac:dyDescent="0.35">
      <c r="A1" s="54" t="s">
        <v>0</v>
      </c>
      <c r="B1" s="55"/>
      <c r="C1" s="55"/>
      <c r="D1" s="56" t="s">
        <v>33</v>
      </c>
      <c r="E1" s="57"/>
    </row>
    <row r="2" spans="1:6" s="2" customFormat="1" ht="58.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26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8</v>
      </c>
      <c r="B6" s="78"/>
      <c r="C6" s="23">
        <v>1</v>
      </c>
      <c r="D6" s="6">
        <v>1821</v>
      </c>
      <c r="E6" s="37">
        <f>C6*D6</f>
        <v>1821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1821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239.27939999999998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2060.2793999999999</v>
      </c>
    </row>
    <row r="17" spans="1:5" s="14" customFormat="1" ht="26.25" customHeight="1" thickBot="1" x14ac:dyDescent="0.3">
      <c r="A17" s="107" t="s">
        <v>34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F20"/>
  <sheetViews>
    <sheetView showGridLines="0" view="pageBreakPreview" zoomScale="60" zoomScaleNormal="90" workbookViewId="0">
      <selection sqref="A1:C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5.44140625" style="1" customWidth="1"/>
    <col min="5" max="5" width="17.44140625" style="15" customWidth="1"/>
    <col min="6" max="16384" width="9.109375" style="1"/>
  </cols>
  <sheetData>
    <row r="1" spans="1:6" ht="39" customHeight="1" thickBot="1" x14ac:dyDescent="0.35">
      <c r="A1" s="54" t="s">
        <v>0</v>
      </c>
      <c r="B1" s="55"/>
      <c r="C1" s="55"/>
      <c r="D1" s="56" t="s">
        <v>35</v>
      </c>
      <c r="E1" s="57"/>
    </row>
    <row r="2" spans="1:6" s="2" customFormat="1" ht="54.7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14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36</v>
      </c>
      <c r="B6" s="78"/>
      <c r="C6" s="23">
        <v>1</v>
      </c>
      <c r="D6" s="6">
        <v>1135</v>
      </c>
      <c r="E6" s="37">
        <f>C6*D6</f>
        <v>1135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5"/>
      <c r="C14" s="8" t="s">
        <v>9</v>
      </c>
      <c r="D14" s="9"/>
      <c r="E14" s="38">
        <f>SUM(E6:E6)</f>
        <v>1135</v>
      </c>
      <c r="F14" s="7"/>
    </row>
    <row r="15" spans="1:6" ht="27" customHeight="1" x14ac:dyDescent="0.3">
      <c r="A15" s="85"/>
      <c r="B15" s="109"/>
      <c r="C15" s="10" t="s">
        <v>10</v>
      </c>
      <c r="D15" s="11">
        <v>0.13139999999999999</v>
      </c>
      <c r="E15" s="28">
        <f>E14*D15</f>
        <v>149.13899999999998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1284.1389999999999</v>
      </c>
    </row>
    <row r="17" spans="1:5" s="14" customFormat="1" ht="26.25" customHeight="1" thickBot="1" x14ac:dyDescent="0.3">
      <c r="A17" s="107" t="s">
        <v>37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F20"/>
  <sheetViews>
    <sheetView showGridLines="0" tabSelected="1" topLeftCell="A2" zoomScale="90" zoomScaleNormal="90" workbookViewId="0">
      <selection activeCell="D1" sqref="D1:E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3.33203125" style="1" customWidth="1"/>
    <col min="5" max="5" width="17.44140625" style="15" customWidth="1"/>
    <col min="6" max="16384" width="9.109375" style="1"/>
  </cols>
  <sheetData>
    <row r="1" spans="1:6" ht="39.75" customHeight="1" thickBot="1" x14ac:dyDescent="0.35">
      <c r="A1" s="54" t="s">
        <v>0</v>
      </c>
      <c r="B1" s="55"/>
      <c r="C1" s="55"/>
      <c r="D1" s="56" t="s">
        <v>38</v>
      </c>
      <c r="E1" s="57"/>
    </row>
    <row r="2" spans="1:6" s="2" customFormat="1" ht="57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26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39</v>
      </c>
      <c r="B6" s="78"/>
      <c r="C6" s="23">
        <v>1</v>
      </c>
      <c r="D6" s="6">
        <v>1728</v>
      </c>
      <c r="E6" s="37">
        <f>C6*D6</f>
        <v>1728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5"/>
      <c r="C14" s="8" t="s">
        <v>9</v>
      </c>
      <c r="D14" s="9"/>
      <c r="E14" s="38">
        <f>SUM(E6:E6)</f>
        <v>1728</v>
      </c>
      <c r="F14" s="7"/>
    </row>
    <row r="15" spans="1:6" ht="27" customHeight="1" x14ac:dyDescent="0.3">
      <c r="A15" s="85"/>
      <c r="B15" s="109"/>
      <c r="C15" s="10" t="s">
        <v>10</v>
      </c>
      <c r="D15" s="11">
        <v>0.13139999999999999</v>
      </c>
      <c r="E15" s="28">
        <f>E14*D15</f>
        <v>227.05919999999998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1955.0591999999999</v>
      </c>
    </row>
    <row r="17" spans="1:5" s="14" customFormat="1" ht="26.25" customHeight="1" thickBot="1" x14ac:dyDescent="0.3">
      <c r="A17" s="107" t="s">
        <v>40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F20"/>
  <sheetViews>
    <sheetView showGridLines="0" zoomScale="90" zoomScaleNormal="90" workbookViewId="0">
      <selection activeCell="A7" sqref="A7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2.5546875" style="1" customWidth="1"/>
    <col min="5" max="5" width="17.44140625" style="15" customWidth="1"/>
    <col min="6" max="16384" width="9.109375" style="1"/>
  </cols>
  <sheetData>
    <row r="1" spans="1:6" ht="41.25" customHeight="1" thickBot="1" x14ac:dyDescent="0.35">
      <c r="A1" s="54" t="s">
        <v>0</v>
      </c>
      <c r="B1" s="55"/>
      <c r="C1" s="55"/>
      <c r="D1" s="56" t="s">
        <v>41</v>
      </c>
      <c r="E1" s="57"/>
    </row>
    <row r="2" spans="1:6" s="2" customFormat="1" ht="57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42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39</v>
      </c>
      <c r="B6" s="78"/>
      <c r="C6" s="23">
        <v>1</v>
      </c>
      <c r="D6" s="6">
        <v>1679</v>
      </c>
      <c r="E6" s="37">
        <f>C6*D6</f>
        <v>1679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1679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220.62059999999997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1899.6206</v>
      </c>
    </row>
    <row r="17" spans="1:5" s="14" customFormat="1" ht="26.25" customHeight="1" thickBot="1" x14ac:dyDescent="0.3">
      <c r="A17" s="107" t="s">
        <v>43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F19"/>
  <sheetViews>
    <sheetView showGridLines="0" zoomScale="90" zoomScaleNormal="90" workbookViewId="0">
      <selection activeCell="A15" sqref="A15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4.109375" style="1" customWidth="1"/>
    <col min="5" max="5" width="17.441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56" t="s">
        <v>44</v>
      </c>
      <c r="E1" s="57"/>
    </row>
    <row r="2" spans="1:6" s="2" customFormat="1" ht="63.7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45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27</v>
      </c>
      <c r="B6" s="78"/>
      <c r="C6" s="23">
        <v>1</v>
      </c>
      <c r="D6" s="6">
        <v>1882</v>
      </c>
      <c r="E6" s="37">
        <f>C6*D6</f>
        <v>1882</v>
      </c>
      <c r="F6" s="7"/>
    </row>
    <row r="7" spans="1:6" ht="24" customHeight="1" x14ac:dyDescent="0.3">
      <c r="A7" s="42" t="s">
        <v>46</v>
      </c>
      <c r="B7" s="23"/>
      <c r="C7" s="6">
        <v>1</v>
      </c>
      <c r="D7" s="6" t="s">
        <v>47</v>
      </c>
      <c r="E7" s="43" t="s">
        <v>47</v>
      </c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7"/>
      <c r="B12" s="24"/>
      <c r="C12" s="6"/>
      <c r="D12" s="6"/>
      <c r="E12" s="37"/>
      <c r="F12" s="7"/>
    </row>
    <row r="13" spans="1:6" ht="30" customHeight="1" thickBot="1" x14ac:dyDescent="0.35">
      <c r="A13" s="32"/>
      <c r="B13" s="30"/>
      <c r="C13" s="8" t="s">
        <v>9</v>
      </c>
      <c r="D13" s="9"/>
      <c r="E13" s="38">
        <f>SUM(E6:E6)</f>
        <v>1882</v>
      </c>
      <c r="F13" s="7"/>
    </row>
    <row r="14" spans="1:6" ht="27" customHeight="1" x14ac:dyDescent="0.3">
      <c r="A14" s="47" t="s">
        <v>48</v>
      </c>
      <c r="B14" s="44"/>
      <c r="C14" s="10" t="s">
        <v>10</v>
      </c>
      <c r="D14" s="11">
        <v>0.13139999999999999</v>
      </c>
      <c r="E14" s="28">
        <f>E13*D14</f>
        <v>247.29479999999998</v>
      </c>
      <c r="F14" s="7"/>
    </row>
    <row r="15" spans="1:6" s="13" customFormat="1" ht="36.75" customHeight="1" thickBot="1" x14ac:dyDescent="0.45">
      <c r="A15" s="45"/>
      <c r="B15" s="46"/>
      <c r="C15" s="16" t="s">
        <v>11</v>
      </c>
      <c r="D15" s="17"/>
      <c r="E15" s="29">
        <f>SUM(E13:E14)</f>
        <v>2129.2948000000001</v>
      </c>
    </row>
    <row r="16" spans="1:6" s="14" customFormat="1" ht="26.25" customHeight="1" thickBot="1" x14ac:dyDescent="0.3">
      <c r="A16" s="107" t="s">
        <v>49</v>
      </c>
      <c r="B16" s="72"/>
      <c r="C16" s="73"/>
      <c r="D16" s="73"/>
      <c r="E16" s="74"/>
    </row>
    <row r="17" spans="1:5" s="2" customFormat="1" ht="15" customHeight="1" x14ac:dyDescent="0.25">
      <c r="A17" s="48"/>
      <c r="B17" s="49"/>
      <c r="C17" s="49"/>
      <c r="D17" s="49"/>
      <c r="E17" s="50"/>
    </row>
    <row r="18" spans="1:5" ht="15.75" customHeight="1" thickBot="1" x14ac:dyDescent="0.35">
      <c r="A18" s="51"/>
      <c r="B18" s="52"/>
      <c r="C18" s="52"/>
      <c r="D18" s="52"/>
      <c r="E18" s="53"/>
    </row>
    <row r="19" spans="1:5" ht="15.75" customHeight="1" x14ac:dyDescent="0.3">
      <c r="B19" s="1"/>
      <c r="E19" s="1"/>
    </row>
  </sheetData>
  <mergeCells count="9">
    <mergeCell ref="A17:E17"/>
    <mergeCell ref="A18:E18"/>
    <mergeCell ref="A1:C1"/>
    <mergeCell ref="D1:E1"/>
    <mergeCell ref="A2:E2"/>
    <mergeCell ref="A3:E4"/>
    <mergeCell ref="A16:E16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F19"/>
  <sheetViews>
    <sheetView showGridLines="0" zoomScale="9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5.5546875" style="1" customWidth="1"/>
    <col min="5" max="5" width="17.44140625" style="15" customWidth="1"/>
    <col min="6" max="16384" width="9.109375" style="1"/>
  </cols>
  <sheetData>
    <row r="1" spans="1:6" ht="41.25" customHeight="1" thickBot="1" x14ac:dyDescent="0.35">
      <c r="A1" s="54" t="s">
        <v>0</v>
      </c>
      <c r="B1" s="55"/>
      <c r="C1" s="55"/>
      <c r="D1" s="56" t="s">
        <v>50</v>
      </c>
      <c r="E1" s="57"/>
    </row>
    <row r="2" spans="1:6" s="2" customFormat="1" ht="61.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51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52</v>
      </c>
      <c r="B6" s="78"/>
      <c r="C6" s="23">
        <v>1</v>
      </c>
      <c r="D6" s="6">
        <v>1144</v>
      </c>
      <c r="E6" s="37">
        <f>C6*D6</f>
        <v>1144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7"/>
      <c r="B12" s="24"/>
      <c r="C12" s="6"/>
      <c r="D12" s="6"/>
      <c r="E12" s="37"/>
      <c r="F12" s="7"/>
    </row>
    <row r="13" spans="1:6" ht="30" customHeight="1" thickBot="1" x14ac:dyDescent="0.35">
      <c r="A13" s="32"/>
      <c r="B13" s="35"/>
      <c r="C13" s="8" t="s">
        <v>9</v>
      </c>
      <c r="D13" s="9"/>
      <c r="E13" s="38">
        <f>SUM(E6:E6)</f>
        <v>1144</v>
      </c>
      <c r="F13" s="7"/>
    </row>
    <row r="14" spans="1:6" ht="27" customHeight="1" x14ac:dyDescent="0.3">
      <c r="A14" s="85"/>
      <c r="B14" s="109"/>
      <c r="C14" s="10" t="s">
        <v>10</v>
      </c>
      <c r="D14" s="11">
        <v>0.13139999999999999</v>
      </c>
      <c r="E14" s="28">
        <f>E13*D14</f>
        <v>150.32159999999999</v>
      </c>
      <c r="F14" s="7"/>
    </row>
    <row r="15" spans="1:6" s="13" customFormat="1" ht="36.75" customHeight="1" thickBot="1" x14ac:dyDescent="0.45">
      <c r="A15" s="69"/>
      <c r="B15" s="70"/>
      <c r="C15" s="16" t="s">
        <v>11</v>
      </c>
      <c r="D15" s="21"/>
      <c r="E15" s="29">
        <f>SUM(E13:E14)</f>
        <v>1294.3216</v>
      </c>
    </row>
    <row r="16" spans="1:6" s="14" customFormat="1" ht="26.25" customHeight="1" thickBot="1" x14ac:dyDescent="0.3">
      <c r="A16" s="107" t="s">
        <v>53</v>
      </c>
      <c r="B16" s="72"/>
      <c r="C16" s="73"/>
      <c r="D16" s="73"/>
      <c r="E16" s="74"/>
    </row>
    <row r="17" spans="1:5" s="2" customFormat="1" ht="15" customHeight="1" x14ac:dyDescent="0.25">
      <c r="A17" s="48"/>
      <c r="B17" s="49"/>
      <c r="C17" s="49"/>
      <c r="D17" s="49"/>
      <c r="E17" s="50"/>
    </row>
    <row r="18" spans="1:5" ht="15.75" customHeight="1" thickBot="1" x14ac:dyDescent="0.35">
      <c r="A18" s="51"/>
      <c r="B18" s="52"/>
      <c r="C18" s="52"/>
      <c r="D18" s="52"/>
      <c r="E18" s="53"/>
    </row>
    <row r="19" spans="1:5" ht="15.75" customHeight="1" x14ac:dyDescent="0.3">
      <c r="B19" s="1"/>
      <c r="E19" s="1"/>
    </row>
  </sheetData>
  <mergeCells count="10">
    <mergeCell ref="A17:E17"/>
    <mergeCell ref="A18:E18"/>
    <mergeCell ref="A1:C1"/>
    <mergeCell ref="D1:E1"/>
    <mergeCell ref="A2:E2"/>
    <mergeCell ref="A3:E4"/>
    <mergeCell ref="A14:B15"/>
    <mergeCell ref="A16:E16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F20"/>
  <sheetViews>
    <sheetView showGridLines="0" zoomScale="9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5.109375" style="1" customWidth="1"/>
    <col min="5" max="5" width="17.44140625" style="15" customWidth="1"/>
    <col min="6" max="16384" width="9.109375" style="1"/>
  </cols>
  <sheetData>
    <row r="1" spans="1:6" ht="43.5" customHeight="1" thickBot="1" x14ac:dyDescent="0.35">
      <c r="A1" s="54" t="s">
        <v>0</v>
      </c>
      <c r="B1" s="55"/>
      <c r="C1" s="55"/>
      <c r="D1" s="56" t="s">
        <v>54</v>
      </c>
      <c r="E1" s="57"/>
    </row>
    <row r="2" spans="1:6" s="2" customFormat="1" ht="64.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55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56</v>
      </c>
      <c r="B6" s="78"/>
      <c r="C6" s="23">
        <v>1</v>
      </c>
      <c r="D6" s="6">
        <v>2028</v>
      </c>
      <c r="E6" s="37">
        <f>C6*D6</f>
        <v>2028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2028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36">
        <f>E14*D15+1</f>
        <v>267.47919999999999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2295.4791999999998</v>
      </c>
    </row>
    <row r="17" spans="1:5" s="14" customFormat="1" ht="26.25" customHeight="1" thickBot="1" x14ac:dyDescent="0.3">
      <c r="A17" s="71" t="s">
        <v>57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F20"/>
  <sheetViews>
    <sheetView showGridLines="0" zoomScale="90" zoomScaleNormal="90" workbookViewId="0">
      <selection activeCell="F1" sqref="F1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9.109375" style="1" customWidth="1"/>
    <col min="5" max="5" width="26.66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56" t="s">
        <v>58</v>
      </c>
      <c r="E1" s="57"/>
    </row>
    <row r="2" spans="1:6" s="2" customFormat="1" ht="60.7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59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60</v>
      </c>
      <c r="B6" s="78"/>
      <c r="C6" s="23">
        <v>1</v>
      </c>
      <c r="D6" s="6">
        <v>1035</v>
      </c>
      <c r="E6" s="37">
        <f>C6*D6</f>
        <v>1035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1035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135.999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1170.999</v>
      </c>
    </row>
    <row r="17" spans="1:5" s="14" customFormat="1" ht="26.25" customHeight="1" thickBot="1" x14ac:dyDescent="0.3">
      <c r="A17" s="107" t="s">
        <v>61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F20"/>
  <sheetViews>
    <sheetView showGridLines="0" zoomScale="90" zoomScaleNormal="90" workbookViewId="0">
      <selection activeCell="F14" sqref="F14"/>
    </sheetView>
  </sheetViews>
  <sheetFormatPr defaultColWidth="9.109375" defaultRowHeight="13.8" x14ac:dyDescent="0.3"/>
  <cols>
    <col min="1" max="1" width="55" style="1" customWidth="1"/>
    <col min="2" max="2" width="11.88671875" style="2" customWidth="1"/>
    <col min="3" max="3" width="12.88671875" style="1" customWidth="1"/>
    <col min="4" max="4" width="15.109375" style="1" customWidth="1"/>
    <col min="5" max="5" width="17.44140625" style="15" customWidth="1"/>
    <col min="6" max="16384" width="9.109375" style="1"/>
  </cols>
  <sheetData>
    <row r="1" spans="1:6" ht="34.5" customHeight="1" thickBot="1" x14ac:dyDescent="0.35">
      <c r="A1" s="54" t="s">
        <v>0</v>
      </c>
      <c r="B1" s="55"/>
      <c r="C1" s="55"/>
      <c r="D1" s="108" t="s">
        <v>62</v>
      </c>
      <c r="E1" s="57"/>
    </row>
    <row r="2" spans="1:6" s="2" customFormat="1" ht="55.5" customHeight="1" thickBot="1" x14ac:dyDescent="0.3">
      <c r="A2" s="58" t="s">
        <v>2</v>
      </c>
      <c r="B2" s="59"/>
      <c r="C2" s="59"/>
      <c r="D2" s="59"/>
      <c r="E2" s="60"/>
    </row>
    <row r="3" spans="1:6" s="3" customFormat="1" ht="27.75" customHeight="1" x14ac:dyDescent="0.25">
      <c r="A3" s="61" t="s">
        <v>63</v>
      </c>
      <c r="B3" s="62"/>
      <c r="C3" s="62"/>
      <c r="D3" s="62"/>
      <c r="E3" s="63"/>
      <c r="F3" s="2"/>
    </row>
    <row r="4" spans="1:6" s="3" customFormat="1" ht="26.25" customHeight="1" x14ac:dyDescent="0.25">
      <c r="A4" s="64"/>
      <c r="B4" s="65"/>
      <c r="C4" s="65"/>
      <c r="D4" s="65"/>
      <c r="E4" s="66"/>
      <c r="F4" s="2"/>
    </row>
    <row r="5" spans="1:6" s="3" customFormat="1" ht="30.75" customHeight="1" x14ac:dyDescent="0.25">
      <c r="A5" s="75" t="s">
        <v>4</v>
      </c>
      <c r="B5" s="76"/>
      <c r="C5" s="4" t="s">
        <v>5</v>
      </c>
      <c r="D5" s="4" t="s">
        <v>6</v>
      </c>
      <c r="E5" s="25" t="s">
        <v>7</v>
      </c>
      <c r="F5" s="2"/>
    </row>
    <row r="6" spans="1:6" ht="24" customHeight="1" x14ac:dyDescent="0.3">
      <c r="A6" s="77" t="s">
        <v>56</v>
      </c>
      <c r="B6" s="78"/>
      <c r="C6" s="23">
        <v>1</v>
      </c>
      <c r="D6" s="6">
        <v>1860</v>
      </c>
      <c r="E6" s="37">
        <f>C6*D6</f>
        <v>1860</v>
      </c>
      <c r="F6" s="7"/>
    </row>
    <row r="7" spans="1:6" ht="24" customHeight="1" x14ac:dyDescent="0.3">
      <c r="A7" s="26"/>
      <c r="B7" s="23"/>
      <c r="C7" s="6"/>
      <c r="D7" s="6"/>
      <c r="E7" s="37"/>
      <c r="F7" s="7"/>
    </row>
    <row r="8" spans="1:6" ht="24" customHeight="1" x14ac:dyDescent="0.3">
      <c r="A8" s="26"/>
      <c r="B8" s="23"/>
      <c r="C8" s="6"/>
      <c r="D8" s="6"/>
      <c r="E8" s="37"/>
      <c r="F8" s="7"/>
    </row>
    <row r="9" spans="1:6" ht="24" customHeight="1" x14ac:dyDescent="0.3">
      <c r="A9" s="26"/>
      <c r="B9" s="23"/>
      <c r="C9" s="6"/>
      <c r="D9" s="6"/>
      <c r="E9" s="37"/>
      <c r="F9" s="7"/>
    </row>
    <row r="10" spans="1:6" ht="24" customHeight="1" x14ac:dyDescent="0.3">
      <c r="A10" s="26"/>
      <c r="B10" s="23"/>
      <c r="C10" s="6"/>
      <c r="D10" s="6"/>
      <c r="E10" s="37"/>
      <c r="F10" s="7"/>
    </row>
    <row r="11" spans="1:6" ht="24" customHeight="1" x14ac:dyDescent="0.3">
      <c r="A11" s="26"/>
      <c r="B11" s="23"/>
      <c r="C11" s="6"/>
      <c r="D11" s="6"/>
      <c r="E11" s="37"/>
      <c r="F11" s="7"/>
    </row>
    <row r="12" spans="1:6" ht="24" customHeight="1" x14ac:dyDescent="0.3">
      <c r="A12" s="26"/>
      <c r="B12" s="23"/>
      <c r="C12" s="6"/>
      <c r="D12" s="6"/>
      <c r="E12" s="37"/>
      <c r="F12" s="7"/>
    </row>
    <row r="13" spans="1:6" ht="24" customHeight="1" x14ac:dyDescent="0.3">
      <c r="A13" s="27"/>
      <c r="B13" s="24"/>
      <c r="C13" s="6"/>
      <c r="D13" s="6"/>
      <c r="E13" s="37"/>
      <c r="F13" s="7"/>
    </row>
    <row r="14" spans="1:6" ht="30" customHeight="1" thickBot="1" x14ac:dyDescent="0.35">
      <c r="A14" s="32"/>
      <c r="B14" s="30"/>
      <c r="C14" s="8" t="s">
        <v>9</v>
      </c>
      <c r="D14" s="9"/>
      <c r="E14" s="38">
        <f>SUM(E6:E6)</f>
        <v>1860</v>
      </c>
      <c r="F14" s="7"/>
    </row>
    <row r="15" spans="1:6" ht="27" customHeight="1" x14ac:dyDescent="0.3">
      <c r="A15" s="85"/>
      <c r="B15" s="68"/>
      <c r="C15" s="10" t="s">
        <v>10</v>
      </c>
      <c r="D15" s="11">
        <v>0.13139999999999999</v>
      </c>
      <c r="E15" s="28">
        <f>E14*D15</f>
        <v>244.40399999999997</v>
      </c>
      <c r="F15" s="7"/>
    </row>
    <row r="16" spans="1:6" s="13" customFormat="1" ht="36.75" customHeight="1" thickBot="1" x14ac:dyDescent="0.45">
      <c r="A16" s="69"/>
      <c r="B16" s="70"/>
      <c r="C16" s="16" t="s">
        <v>11</v>
      </c>
      <c r="D16" s="17"/>
      <c r="E16" s="29">
        <f>SUM(E14:E15)</f>
        <v>2104.404</v>
      </c>
    </row>
    <row r="17" spans="1:5" s="14" customFormat="1" ht="26.25" customHeight="1" thickBot="1" x14ac:dyDescent="0.3">
      <c r="A17" s="107" t="s">
        <v>64</v>
      </c>
      <c r="B17" s="72"/>
      <c r="C17" s="73"/>
      <c r="D17" s="73"/>
      <c r="E17" s="74"/>
    </row>
    <row r="18" spans="1:5" s="2" customFormat="1" ht="15" customHeight="1" x14ac:dyDescent="0.25">
      <c r="A18" s="48"/>
      <c r="B18" s="49"/>
      <c r="C18" s="49"/>
      <c r="D18" s="49"/>
      <c r="E18" s="50"/>
    </row>
    <row r="19" spans="1:5" ht="15.75" customHeight="1" thickBot="1" x14ac:dyDescent="0.35">
      <c r="A19" s="51"/>
      <c r="B19" s="52"/>
      <c r="C19" s="52"/>
      <c r="D19" s="52"/>
      <c r="E19" s="53"/>
    </row>
    <row r="20" spans="1:5" ht="15.75" customHeight="1" x14ac:dyDescent="0.3">
      <c r="B20" s="1"/>
      <c r="E20" s="1"/>
    </row>
  </sheetData>
  <mergeCells count="10">
    <mergeCell ref="A18:E18"/>
    <mergeCell ref="A19:E19"/>
    <mergeCell ref="A1:C1"/>
    <mergeCell ref="D1:E1"/>
    <mergeCell ref="A2:E2"/>
    <mergeCell ref="A3:E4"/>
    <mergeCell ref="A15:B16"/>
    <mergeCell ref="A17:E17"/>
    <mergeCell ref="A5:B5"/>
    <mergeCell ref="A6:B6"/>
  </mergeCells>
  <printOptions horizontalCentered="1"/>
  <pageMargins left="0.28999999999999998" right="0.31" top="0.63" bottom="0.19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80583-D3EC-4F19-BB9A-76A0DB403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72821C-CC96-48D8-8438-BFA45EDFCF95}">
  <ds:schemaRefs>
    <ds:schemaRef ds:uri="a3ee3419-f813-43ff-8070-dce059c64b7d"/>
    <ds:schemaRef ds:uri="http://purl.org/dc/elements/1.1/"/>
    <ds:schemaRef ds:uri="http://schemas.openxmlformats.org/package/2006/metadata/core-properties"/>
    <ds:schemaRef ds:uri="1e3a9498-45e1-4121-9cf9-83f762cff582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515F025-B48E-409A-956B-E356395DFB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81666-24-UPSV</vt:lpstr>
      <vt:lpstr>81678-24-UPSV</vt:lpstr>
      <vt:lpstr>81701-24-UPSV</vt:lpstr>
      <vt:lpstr>81462-24-UPSV</vt:lpstr>
      <vt:lpstr>81481-24-UPSV</vt:lpstr>
      <vt:lpstr>81489-24-UPSV</vt:lpstr>
      <vt:lpstr>81503-24-UPSV</vt:lpstr>
      <vt:lpstr>81506-24-UPSV</vt:lpstr>
      <vt:lpstr>81515-24-UPSV</vt:lpstr>
      <vt:lpstr>81518-24-UPSV</vt:lpstr>
      <vt:lpstr>81522-24-UPSV</vt:lpstr>
      <vt:lpstr>81536-24-UPSV</vt:lpstr>
      <vt:lpstr>81541-24-UPSV</vt:lpstr>
      <vt:lpstr>81550-24-UPSV</vt:lpstr>
      <vt:lpstr>81553-24-UPSV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Narender Goud Burri</cp:lastModifiedBy>
  <cp:revision/>
  <cp:lastPrinted>2024-10-08T05:39:37Z</cp:lastPrinted>
  <dcterms:created xsi:type="dcterms:W3CDTF">2024-10-01T11:04:01Z</dcterms:created>
  <dcterms:modified xsi:type="dcterms:W3CDTF">2024-10-08T05:40:31Z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0x0101001BB52B035C6CA04981B992748DAF1181</vt:lpwstr>
  </property>
</Properties>
</file>