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230" documentId="13_ncr:1_{22D90166-D46C-44D5-B90F-8171D195F577}" xr6:coauthVersionLast="47" xr6:coauthVersionMax="47" xr10:uidLastSave="{A1595197-E430-4D56-BFE1-6D8CC408CEE1}"/>
  <bookViews>
    <workbookView xWindow="-120" yWindow="-120" windowWidth="20730" windowHeight="11160" activeTab="2" xr2:uid="{00000000-000D-0000-FFFF-FFFF00000000}"/>
  </bookViews>
  <sheets>
    <sheet name="81966-24 APIN" sheetId="3" r:id="rId1"/>
    <sheet name="82139-23 APIN" sheetId="2" r:id="rId2"/>
    <sheet name="82196-22 APIN" sheetId="1" r:id="rId3"/>
  </sheets>
  <definedNames>
    <definedName name="Company_Name" localSheetId="0">'81966-24 APIN'!$B$2</definedName>
    <definedName name="Company_Name" localSheetId="1">'82139-23 APIN'!$B$2</definedName>
    <definedName name="Company_Name">'82196-22 APIN'!$B$2</definedName>
    <definedName name="_xlnm.Print_Titles" localSheetId="0">'81966-24 APIN'!$17:$17</definedName>
    <definedName name="_xlnm.Print_Titles" localSheetId="1">'82139-23 APIN'!$17:$17</definedName>
    <definedName name="_xlnm.Print_Titles" localSheetId="2">'82196-22 APIN'!$17:$17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B33" i="3"/>
  <c r="E25" i="3"/>
  <c r="E24" i="3"/>
  <c r="E23" i="3"/>
  <c r="E22" i="3"/>
  <c r="E21" i="3"/>
  <c r="E19" i="3"/>
  <c r="E18" i="3"/>
  <c r="B33" i="2"/>
  <c r="E25" i="2"/>
  <c r="E24" i="2"/>
  <c r="E23" i="2"/>
  <c r="E22" i="2"/>
  <c r="E21" i="2"/>
  <c r="E19" i="2"/>
  <c r="E18" i="2"/>
  <c r="E18" i="1"/>
  <c r="E19" i="1"/>
  <c r="E21" i="1"/>
  <c r="E22" i="1"/>
  <c r="E23" i="1"/>
  <c r="E24" i="1"/>
  <c r="E25" i="1"/>
  <c r="E26" i="2" l="1"/>
  <c r="E30" i="2" s="1"/>
  <c r="E26" i="1"/>
  <c r="E26" i="3"/>
  <c r="E30" i="3" s="1"/>
  <c r="B33" i="1"/>
  <c r="E30" i="1" l="1"/>
</calcChain>
</file>

<file path=xl/sharedStrings.xml><?xml version="1.0" encoding="utf-8"?>
<sst xmlns="http://schemas.openxmlformats.org/spreadsheetml/2006/main" count="75" uniqueCount="38">
  <si>
    <t>Appleby Inc.</t>
  </si>
  <si>
    <t>INVOICE</t>
  </si>
  <si>
    <t xml:space="preserve"> 2nd Floor, </t>
  </si>
  <si>
    <t>DATE:</t>
  </si>
  <si>
    <t xml:space="preserve">Century Yard, </t>
  </si>
  <si>
    <t>INVOICE #</t>
  </si>
  <si>
    <t>81966-24/APIN</t>
  </si>
  <si>
    <t xml:space="preserve">17 Charlotte Street, </t>
  </si>
  <si>
    <t>Hamilton HM 12, Bermuda</t>
  </si>
  <si>
    <t>INVOICE TO:</t>
  </si>
  <si>
    <t>Steel Horse Motors Australia Inc.</t>
  </si>
  <si>
    <t>23 Collins Street, Melbourne,</t>
  </si>
  <si>
    <t>Australia, VIC 3000</t>
  </si>
  <si>
    <t xml:space="preserve">		63965 46200
		</t>
  </si>
  <si>
    <t>DESCRIPTION</t>
  </si>
  <si>
    <t>QUANTITY</t>
  </si>
  <si>
    <t>RATE</t>
  </si>
  <si>
    <t>AMOUNT</t>
  </si>
  <si>
    <t>Flexible office chairs</t>
  </si>
  <si>
    <t>Mini Split Air Conditioner &amp; Heater + Installation</t>
  </si>
  <si>
    <t>Solar panels</t>
  </si>
  <si>
    <t>SUBTOTAL</t>
  </si>
  <si>
    <t>TAX AMOUNT</t>
  </si>
  <si>
    <t>TOTAL</t>
  </si>
  <si>
    <t>Total due in 15 days. Overdue accounts subject to a service charge of 1% per month.</t>
  </si>
  <si>
    <t xml:space="preserve">THANK YOU FOR YOUR BUSINESS! </t>
  </si>
  <si>
    <t>82139-23/APIN</t>
  </si>
  <si>
    <t>Steel Horse Auto Inc</t>
  </si>
  <si>
    <t>265 LOPEZ ORCHARD, EAST JOHN,</t>
  </si>
  <si>
    <t>MICHIGAN, UNITED STATES</t>
  </si>
  <si>
    <t xml:space="preserve">		778-287-9700
		</t>
  </si>
  <si>
    <t>High quality door sensors</t>
  </si>
  <si>
    <t>82196-22 APIN</t>
  </si>
  <si>
    <t>Steel Horse Motors China Ltd.</t>
  </si>
  <si>
    <t>88 Nanjing Road, Shanghai,</t>
  </si>
  <si>
    <t>China, 200001</t>
  </si>
  <si>
    <t xml:space="preserve">			862 6308 000
		</t>
  </si>
  <si>
    <t>High efficiency heating system + installation.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</si>
</sst>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&quot;$&quot;* #,##0.00_);_(&quot;$&quot;* \(#,##0.00\);_(&quot;$&quot;* &quot;-&quot;??_);_(@_)"/>
    <numFmt numFmtId="165" formatCode="[$-409]mmmm\ d\,\ yyyy;@"/>
    <numFmt numFmtId="166" formatCode="&quot;$&quot;#,##0.00"/>
    <numFmt numFmtId="167" formatCode="[&lt;=9999999]###\-####;\(###\)\ ###\-####"/>
    <numFmt numFmtId="168" formatCode="&quot;$&quot;#"/>
    <numFmt numFmtId="169" formatCode="_-[$$-409]* #,##0_ ;_-[$$-409]* \-#,##0\ ;_-[$$-409]* &quot;-&quot;??_ ;_-@_ "/>
    <numFmt numFmtId="170" formatCode="_([$$-409]* #,##0_);_([$$-409]* \(#,##0\);_([$$-409]* &quot;-&quot;??_);_(@_)"/>
  </numFmts>
  <fonts count="22" x14ac:knownFonts="1">
    <font>
      <sz val="11"/>
      <name val="Rockwell Nova Light"/>
      <family val="2"/>
      <scheme val="minor"/>
    </font>
    <font>
      <b/>
      <sz val="10"/>
      <name val="Arial"/>
      <family val="2"/>
    </font>
    <font>
      <sz val="28"/>
      <color theme="1" tint="0.499984740745262"/>
      <name val="Rockwell Nova"/>
      <family val="2"/>
      <scheme val="major"/>
    </font>
    <font>
      <b/>
      <sz val="11"/>
      <color theme="1"/>
      <name val="Rockwell Nova Light"/>
      <family val="2"/>
      <scheme val="minor"/>
    </font>
    <font>
      <sz val="11"/>
      <name val="Rockwell Nova Light"/>
      <family val="2"/>
      <scheme val="minor"/>
    </font>
    <font>
      <b/>
      <sz val="18"/>
      <color theme="1" tint="0.24994659260841701"/>
      <name val="Rockwell Nova Light"/>
      <family val="2"/>
      <scheme val="minor"/>
    </font>
    <font>
      <b/>
      <i/>
      <sz val="11"/>
      <color theme="1" tint="0.34998626667073579"/>
      <name val="Rockwell Nova Light"/>
      <family val="2"/>
      <scheme val="minor"/>
    </font>
    <font>
      <b/>
      <sz val="11"/>
      <name val="Rockwell Nova Light"/>
      <family val="2"/>
      <scheme val="minor"/>
    </font>
    <font>
      <b/>
      <sz val="11"/>
      <color rgb="FF3F3F3F"/>
      <name val="Rockwell Nova Light"/>
      <family val="2"/>
      <scheme val="minor"/>
    </font>
    <font>
      <sz val="11"/>
      <name val="Rockwell Nova Light"/>
      <family val="1"/>
      <scheme val="minor"/>
    </font>
    <font>
      <sz val="11"/>
      <color theme="0"/>
      <name val="Rockwell Nova Light"/>
      <family val="1"/>
      <scheme val="minor"/>
    </font>
    <font>
      <sz val="28"/>
      <color theme="1" tint="0.499984740745262"/>
      <name val="Rockwell Nova Light"/>
      <family val="1"/>
      <scheme val="minor"/>
    </font>
    <font>
      <sz val="36"/>
      <color theme="1" tint="0.249977111117893"/>
      <name val="Rockwell Nova Light"/>
      <family val="1"/>
      <scheme val="minor"/>
    </font>
    <font>
      <sz val="12"/>
      <name val="Rockwell Nova Light"/>
      <family val="1"/>
      <scheme val="minor"/>
    </font>
    <font>
      <sz val="12"/>
      <color theme="3"/>
      <name val="Rockwell Nova Light"/>
      <family val="1"/>
      <scheme val="minor"/>
    </font>
    <font>
      <b/>
      <sz val="12"/>
      <color theme="2"/>
      <name val="Rockwell Nova Light"/>
      <family val="1"/>
      <scheme val="minor"/>
    </font>
    <font>
      <sz val="36"/>
      <color theme="1" tint="0.249977111117893"/>
      <name val="Rockwell Nova"/>
      <family val="1"/>
      <scheme val="major"/>
    </font>
    <font>
      <sz val="12"/>
      <name val="Rockwell Nova"/>
      <family val="1"/>
      <scheme val="major"/>
    </font>
    <font>
      <b/>
      <sz val="14"/>
      <name val="Rockwell Nova Light"/>
      <family val="1"/>
      <scheme val="minor"/>
    </font>
    <font>
      <b/>
      <sz val="36"/>
      <color theme="3"/>
      <name val="Century Gothic"/>
      <family val="2"/>
    </font>
    <font>
      <u/>
      <sz val="12"/>
      <name val="Rockwell Nova"/>
      <family val="1"/>
      <scheme val="major"/>
    </font>
    <font>
      <sz val="11"/>
      <color rgb="FF3F3F3F"/>
      <name val="Rockwell Nova Light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</borders>
  <cellStyleXfs count="18">
    <xf numFmtId="0" fontId="0" fillId="0" borderId="0">
      <alignment horizontal="left" vertical="center" wrapText="1"/>
    </xf>
    <xf numFmtId="2" fontId="4" fillId="0" borderId="0" applyFont="0" applyFill="0" applyBorder="0" applyProtection="0">
      <alignment horizontal="right" vertical="center"/>
    </xf>
    <xf numFmtId="166" fontId="4" fillId="0" borderId="0" applyFont="0" applyFill="0" applyBorder="0" applyProtection="0">
      <alignment horizontal="right" vertical="center"/>
    </xf>
    <xf numFmtId="10" fontId="4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>
      <alignment horizontal="left" wrapText="1"/>
    </xf>
    <xf numFmtId="0" fontId="6" fillId="0" borderId="0" applyNumberFormat="0" applyFill="0" applyProtection="0">
      <alignment horizontal="left" vertical="top" wrapText="1"/>
    </xf>
    <xf numFmtId="0" fontId="7" fillId="0" borderId="0" applyNumberFormat="0" applyFill="0" applyProtection="0">
      <alignment horizontal="left"/>
    </xf>
    <xf numFmtId="0" fontId="4" fillId="0" borderId="0" applyNumberFormat="0" applyFont="0" applyFill="0" applyBorder="0" applyProtection="0">
      <alignment horizontal="center" vertical="center"/>
    </xf>
    <xf numFmtId="0" fontId="7" fillId="0" borderId="0" applyNumberFormat="0" applyFill="0" applyBorder="0" applyProtection="0">
      <alignment horizontal="center"/>
    </xf>
    <xf numFmtId="0" fontId="3" fillId="0" borderId="0" applyNumberFormat="0" applyFill="0" applyProtection="0">
      <alignment horizontal="right" vertical="center"/>
    </xf>
    <xf numFmtId="167" fontId="4" fillId="0" borderId="0" applyFont="0" applyFill="0" applyBorder="0">
      <alignment horizontal="left" vertical="top"/>
    </xf>
    <xf numFmtId="165" fontId="4" fillId="0" borderId="0" applyFont="0" applyFill="0" applyBorder="0">
      <alignment horizontal="left"/>
    </xf>
    <xf numFmtId="0" fontId="4" fillId="0" borderId="0" applyNumberFormat="0" applyFont="0" applyFill="0" applyBorder="0">
      <alignment horizontal="left" vertical="top" wrapText="1"/>
    </xf>
    <xf numFmtId="0" fontId="4" fillId="0" borderId="0" applyNumberFormat="0" applyFont="0" applyFill="0" applyBorder="0" applyProtection="0">
      <alignment horizontal="right" vertical="center" indent="1"/>
    </xf>
    <xf numFmtId="164" fontId="4" fillId="0" borderId="0" applyFont="0" applyFill="0" applyBorder="0" applyProtection="0">
      <alignment horizontal="right" vertical="center"/>
    </xf>
    <xf numFmtId="0" fontId="4" fillId="0" borderId="2" applyNumberFormat="0" applyAlignment="0" applyProtection="0"/>
    <xf numFmtId="0" fontId="8" fillId="2" borderId="1" applyNumberFormat="0" applyAlignment="0" applyProtection="0"/>
  </cellStyleXfs>
  <cellXfs count="59">
    <xf numFmtId="0" fontId="0" fillId="0" borderId="0" xfId="0">
      <alignment horizontal="left" vertical="center" wrapText="1"/>
    </xf>
    <xf numFmtId="0" fontId="9" fillId="4" borderId="0" xfId="0" applyFont="1" applyFill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  <xf numFmtId="0" fontId="9" fillId="0" borderId="0" xfId="0" applyFont="1">
      <alignment horizontal="left" vertical="center" wrapText="1"/>
    </xf>
    <xf numFmtId="0" fontId="11" fillId="4" borderId="0" xfId="4" applyFont="1" applyFill="1">
      <alignment horizontal="right"/>
    </xf>
    <xf numFmtId="0" fontId="12" fillId="4" borderId="0" xfId="4" applyFont="1" applyFill="1" applyAlignment="1">
      <alignment vertical="center"/>
    </xf>
    <xf numFmtId="0" fontId="13" fillId="4" borderId="0" xfId="0" applyFont="1" applyFill="1">
      <alignment horizontal="left" vertical="center" wrapText="1"/>
    </xf>
    <xf numFmtId="0" fontId="9" fillId="4" borderId="0" xfId="0" applyFont="1" applyFill="1" applyAlignment="1">
      <alignment horizontal="left" vertical="center" wrapText="1" indent="2"/>
    </xf>
    <xf numFmtId="165" fontId="13" fillId="4" borderId="0" xfId="12" applyFont="1" applyFill="1">
      <alignment horizontal="left"/>
    </xf>
    <xf numFmtId="0" fontId="13" fillId="4" borderId="0" xfId="13" applyFont="1" applyFill="1">
      <alignment horizontal="left" vertical="top" wrapText="1"/>
    </xf>
    <xf numFmtId="0" fontId="13" fillId="4" borderId="4" xfId="14" applyFont="1" applyFill="1" applyBorder="1">
      <alignment horizontal="right" vertical="center" indent="1"/>
    </xf>
    <xf numFmtId="0" fontId="13" fillId="4" borderId="5" xfId="14" applyFont="1" applyFill="1" applyBorder="1">
      <alignment horizontal="right" vertical="center" indent="1"/>
    </xf>
    <xf numFmtId="168" fontId="13" fillId="4" borderId="5" xfId="15" applyNumberFormat="1" applyFont="1" applyFill="1" applyBorder="1" applyAlignment="1">
      <alignment horizontal="right" vertical="center" indent="2"/>
    </xf>
    <xf numFmtId="0" fontId="14" fillId="4" borderId="0" xfId="0" applyFont="1" applyFill="1">
      <alignment horizontal="left" vertical="center" wrapText="1"/>
    </xf>
    <xf numFmtId="0" fontId="15" fillId="3" borderId="0" xfId="14" applyFont="1" applyFill="1" applyBorder="1">
      <alignment horizontal="right" vertical="center" indent="1"/>
    </xf>
    <xf numFmtId="0" fontId="13" fillId="4" borderId="0" xfId="0" applyFont="1" applyFill="1" applyAlignment="1">
      <alignment horizontal="center" wrapText="1"/>
    </xf>
    <xf numFmtId="0" fontId="13" fillId="0" borderId="0" xfId="0" applyFont="1" applyAlignment="1">
      <alignment horizontal="center" wrapText="1"/>
    </xf>
    <xf numFmtId="0" fontId="16" fillId="4" borderId="0" xfId="4" applyFont="1" applyFill="1" applyAlignment="1">
      <alignment horizontal="right" vertical="center"/>
    </xf>
    <xf numFmtId="0" fontId="17" fillId="4" borderId="0" xfId="13" applyFont="1" applyFill="1" applyAlignment="1">
      <alignment horizontal="right" vertical="top" wrapText="1" indent="1"/>
    </xf>
    <xf numFmtId="0" fontId="0" fillId="0" borderId="0" xfId="8" applyFont="1" applyFill="1" applyBorder="1" applyAlignment="1">
      <alignment horizontal="left" vertical="center" indent="2"/>
    </xf>
    <xf numFmtId="0" fontId="0" fillId="0" borderId="0" xfId="8" applyFont="1" applyFill="1" applyBorder="1" applyAlignment="1">
      <alignment horizontal="right" vertical="center" indent="2"/>
    </xf>
    <xf numFmtId="0" fontId="0" fillId="0" borderId="0" xfId="0" applyAlignment="1">
      <alignment horizontal="left" vertical="center" wrapText="1" indent="2"/>
    </xf>
    <xf numFmtId="2" fontId="0" fillId="0" borderId="0" xfId="1" applyFont="1" applyFill="1" applyBorder="1" applyAlignment="1">
      <alignment horizontal="right" vertical="center" indent="2"/>
    </xf>
    <xf numFmtId="166" fontId="0" fillId="0" borderId="0" xfId="2" applyFont="1" applyFill="1" applyBorder="1" applyAlignment="1">
      <alignment horizontal="right" vertical="center" indent="2"/>
    </xf>
    <xf numFmtId="168" fontId="0" fillId="0" borderId="0" xfId="15" applyNumberFormat="1" applyFont="1" applyFill="1" applyBorder="1" applyAlignment="1">
      <alignment horizontal="right" vertical="center" indent="2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 indent="1"/>
    </xf>
    <xf numFmtId="1" fontId="0" fillId="0" borderId="0" xfId="1" applyNumberFormat="1" applyFont="1" applyFill="1" applyBorder="1" applyAlignment="1">
      <alignment horizontal="right" vertical="center" indent="2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9" fillId="4" borderId="4" xfId="14" applyFont="1" applyFill="1" applyBorder="1">
      <alignment horizontal="right" vertical="center" indent="1"/>
    </xf>
    <xf numFmtId="0" fontId="13" fillId="4" borderId="0" xfId="0" applyFont="1" applyFill="1" applyAlignment="1">
      <alignment vertical="center" wrapText="1"/>
    </xf>
    <xf numFmtId="167" fontId="13" fillId="4" borderId="0" xfId="11" applyFont="1" applyFill="1" applyAlignment="1">
      <alignment vertical="top"/>
    </xf>
    <xf numFmtId="0" fontId="9" fillId="4" borderId="0" xfId="0" applyFont="1" applyFill="1" applyAlignment="1">
      <alignment vertical="center" wrapText="1"/>
    </xf>
    <xf numFmtId="0" fontId="20" fillId="4" borderId="0" xfId="7" applyFont="1" applyFill="1" applyAlignment="1"/>
    <xf numFmtId="0" fontId="13" fillId="4" borderId="0" xfId="0" applyFont="1" applyFill="1" applyAlignment="1">
      <alignment vertical="top" wrapText="1"/>
    </xf>
    <xf numFmtId="167" fontId="13" fillId="4" borderId="0" xfId="11" applyFont="1" applyFill="1" applyAlignment="1">
      <alignment vertical="top" wrapText="1"/>
    </xf>
    <xf numFmtId="0" fontId="17" fillId="4" borderId="0" xfId="7" applyFont="1" applyFill="1" applyAlignment="1"/>
    <xf numFmtId="169" fontId="0" fillId="0" borderId="0" xfId="1" applyNumberFormat="1" applyFont="1" applyFill="1" applyBorder="1" applyAlignment="1">
      <alignment horizontal="left" vertical="center" indent="2"/>
    </xf>
    <xf numFmtId="169" fontId="0" fillId="0" borderId="0" xfId="1" applyNumberFormat="1" applyFont="1" applyFill="1" applyBorder="1" applyAlignment="1">
      <alignment horizontal="left" vertical="center" indent="3"/>
    </xf>
    <xf numFmtId="169" fontId="0" fillId="0" borderId="0" xfId="1" applyNumberFormat="1" applyFont="1" applyFill="1" applyBorder="1" applyAlignment="1">
      <alignment horizontal="left" vertical="center" indent="4"/>
    </xf>
    <xf numFmtId="170" fontId="0" fillId="0" borderId="0" xfId="15" applyNumberFormat="1" applyFont="1" applyFill="1" applyBorder="1" applyAlignment="1">
      <alignment horizontal="left" vertical="center" indent="4"/>
    </xf>
    <xf numFmtId="170" fontId="0" fillId="0" borderId="0" xfId="15" applyNumberFormat="1" applyFont="1" applyFill="1" applyBorder="1" applyAlignment="1">
      <alignment horizontal="left" vertical="center" indent="5"/>
    </xf>
    <xf numFmtId="10" fontId="13" fillId="4" borderId="4" xfId="3" applyFont="1" applyFill="1" applyBorder="1" applyAlignment="1">
      <alignment horizontal="left" vertical="center" indent="4"/>
    </xf>
    <xf numFmtId="170" fontId="21" fillId="4" borderId="4" xfId="15" applyNumberFormat="1" applyFont="1" applyFill="1" applyBorder="1" applyAlignment="1">
      <alignment horizontal="left" vertical="center" indent="4"/>
    </xf>
    <xf numFmtId="170" fontId="0" fillId="0" borderId="3" xfId="0" applyNumberFormat="1" applyBorder="1" applyAlignment="1">
      <alignment horizontal="left" vertical="center" indent="5"/>
    </xf>
    <xf numFmtId="10" fontId="13" fillId="4" borderId="4" xfId="3" applyFont="1" applyFill="1" applyBorder="1" applyAlignment="1">
      <alignment horizontal="left" vertical="center" indent="5"/>
    </xf>
    <xf numFmtId="170" fontId="21" fillId="4" borderId="4" xfId="15" applyNumberFormat="1" applyFont="1" applyFill="1" applyBorder="1" applyAlignment="1">
      <alignment horizontal="left" vertical="center" indent="5"/>
    </xf>
    <xf numFmtId="170" fontId="15" fillId="3" borderId="0" xfId="15" applyNumberFormat="1" applyFont="1" applyFill="1" applyBorder="1" applyAlignment="1">
      <alignment horizontal="left" vertical="center" indent="3"/>
    </xf>
    <xf numFmtId="170" fontId="15" fillId="3" borderId="0" xfId="15" applyNumberFormat="1" applyFont="1" applyFill="1" applyBorder="1" applyAlignment="1">
      <alignment horizontal="left" vertical="center" indent="4"/>
    </xf>
    <xf numFmtId="170" fontId="4" fillId="0" borderId="3" xfId="0" applyNumberFormat="1" applyFont="1" applyBorder="1" applyAlignment="1">
      <alignment horizontal="left" vertical="center" indent="4"/>
    </xf>
    <xf numFmtId="170" fontId="0" fillId="4" borderId="3" xfId="0" applyNumberFormat="1" applyFill="1" applyBorder="1" applyAlignment="1">
      <alignment horizontal="left" vertical="center" indent="4"/>
    </xf>
    <xf numFmtId="168" fontId="13" fillId="4" borderId="5" xfId="15" applyNumberFormat="1" applyFont="1" applyFill="1" applyBorder="1" applyAlignment="1">
      <alignment horizontal="left" vertical="center" indent="4"/>
    </xf>
    <xf numFmtId="0" fontId="18" fillId="4" borderId="0" xfId="0" applyFont="1" applyFill="1" applyAlignment="1">
      <alignment vertical="center" wrapText="1"/>
    </xf>
    <xf numFmtId="170" fontId="0" fillId="0" borderId="3" xfId="15" applyNumberFormat="1" applyFont="1" applyFill="1" applyBorder="1" applyAlignment="1">
      <alignment horizontal="left" vertical="center" indent="4"/>
    </xf>
    <xf numFmtId="0" fontId="19" fillId="3" borderId="0" xfId="5" applyFont="1" applyFill="1" applyAlignment="1">
      <alignment horizontal="center"/>
    </xf>
    <xf numFmtId="0" fontId="13" fillId="4" borderId="0" xfId="0" applyFont="1" applyFill="1" applyAlignment="1">
      <alignment horizontal="center" wrapText="1"/>
    </xf>
    <xf numFmtId="0" fontId="13" fillId="4" borderId="0" xfId="9" applyFont="1" applyFill="1">
      <alignment horizontal="center"/>
    </xf>
  </cellXfs>
  <cellStyles count="18">
    <cellStyle name="Comma" xfId="1" builtinId="3" customBuiltin="1"/>
    <cellStyle name="Currency" xfId="2" builtinId="4" customBuiltin="1"/>
    <cellStyle name="Currency [0]" xfId="15" builtinId="7" customBuiltin="1"/>
    <cellStyle name="Date" xfId="12" xr:uid="{00000000-0005-0000-0000-000003000000}"/>
    <cellStyle name="Explanatory Text" xfId="9" builtinId="53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6" builtinId="20" customBuiltin="1"/>
    <cellStyle name="Normal" xfId="0" builtinId="0" customBuiltin="1"/>
    <cellStyle name="Output" xfId="17" builtinId="21" customBuiltin="1"/>
    <cellStyle name="Percent" xfId="3" builtinId="5" customBuiltin="1"/>
    <cellStyle name="Phone" xfId="11" xr:uid="{00000000-0005-0000-0000-00000D000000}"/>
    <cellStyle name="Product Description" xfId="13" xr:uid="{00000000-0005-0000-0000-00000E000000}"/>
    <cellStyle name="Right Aligned" xfId="14" xr:uid="{00000000-0005-0000-0000-00000F000000}"/>
    <cellStyle name="Title" xfId="4" builtinId="15" customBuiltin="1"/>
    <cellStyle name="Total" xfId="10" builtinId="25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ckwell Nova Light"/>
        <family val="2"/>
        <scheme val="minor"/>
      </font>
      <numFmt numFmtId="170" formatCode="_([$$-409]* #,##0_);_([$$-409]* \(#,##0\);_([$$-409]* &quot;-&quot;??_);_(@_)"/>
      <fill>
        <patternFill patternType="none">
          <fgColor indexed="64"/>
          <bgColor indexed="65"/>
        </patternFill>
      </fill>
      <alignment horizontal="left" vertical="center" textRotation="0" wrapText="0" relativeIndent="-1" justifyLastLine="0" shrinkToFit="0" readingOrder="0"/>
      <border diagonalUp="0" diagonalDown="0" outline="0">
        <left/>
        <right/>
        <top/>
        <bottom style="thin">
          <color theme="1" tint="0.24994659260841701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/>
        <right/>
        <top/>
        <bottom style="thin">
          <color theme="1" tint="0.24994659260841701"/>
        </bottom>
      </border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right" vertical="center" textRotation="0" wrapText="0" indent="1" justifyLastLine="0" shrinkToFit="0" readingOrder="0"/>
      <border diagonalUp="0" diagonalDown="0" outline="0">
        <left/>
        <right/>
        <top/>
        <bottom style="thin">
          <color theme="1" tint="0.24994659260841701"/>
        </bottom>
      </border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ckwell Nova Light"/>
        <family val="2"/>
        <scheme val="minor"/>
      </font>
      <numFmt numFmtId="170" formatCode="_([$$-409]* #,##0_);_([$$-409]* \(#,##0\);_([$$-409]* &quot;-&quot;??_);_(@_)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/>
        <top/>
        <bottom style="thin">
          <color theme="1" tint="0.24994659260841701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/>
        <right/>
        <top/>
        <bottom style="thin">
          <color theme="1" tint="0.24994659260841701"/>
        </bottom>
      </border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>
          <bgColor theme="3" tint="-9.9948118533890809E-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  <border>
        <left/>
        <right/>
        <top style="thin">
          <color theme="1"/>
        </top>
        <bottom/>
        <vertical/>
      </border>
    </dxf>
    <dxf>
      <font>
        <b val="0"/>
        <i val="0"/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 xr9:uid="{00000000-0011-0000-FFFF-FFFF00000000}">
      <tableStyleElement type="wholeTable" dxfId="21"/>
      <tableStyleElement type="headerRow" dxfId="20"/>
      <tableStyleElement type="totalRow" dxfId="19"/>
      <tableStyleElement type="lastColumn" dxfId="18"/>
      <tableStyleElement type="firstRowStripe" dxfId="17"/>
      <tableStyleElement type="lastHeaderCell" dxfId="16"/>
      <tableStyleElement type="lastTotalCell" dxfId="15"/>
    </tableStyle>
    <tableStyle name="Table Style 1" pivot="0" count="3" xr9:uid="{705BD652-3A81-0A40-B6BA-E46BF112059E}">
      <tableStyleElement type="wholeTable" dxfId="14"/>
      <tableStyleElement type="headerRow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9D0271-63CF-48A5-BBFD-22E21EF170A7}" name="Invoice4" displayName="Invoice4" ref="B17:E26" totalsRowCount="1">
  <tableColumns count="4">
    <tableColumn id="1" xr3:uid="{9A1D0FD9-A508-4241-A786-278F9BFB04FB}" name="DESCRIPTION" totalsRowDxfId="11"/>
    <tableColumn id="2" xr3:uid="{FD67472B-6703-41E3-983F-81973608E38D}" name="QUANTITY" totalsRowDxfId="10"/>
    <tableColumn id="3" xr3:uid="{C18E4A37-2F2E-4D99-8136-0E2A2CD60AFF}" name="RATE" totalsRowLabel="SUBTOTAL" totalsRowDxfId="9"/>
    <tableColumn id="4" xr3:uid="{9E7B9983-71DA-4CB9-9FED-9C9B49F2FBC8}" name="AMOUNT" totalsRowFunction="sum" totalsRowDxfId="8">
      <calculatedColumnFormula>IFERROR(IF(Invoice4[[#This Row],[QUANTITY]]*Invoice4[[#This Row],[RATE]]=0,"",Invoice4[[#This Row],[QUANTITY]]*Invoice4[[#This Row],[RATE]]), "")</calculatedColumnFormula>
    </tableColumn>
  </tableColumns>
  <tableStyleInfo name="Table Style 1" showFirstColumn="0" showLastColumn="1" showRowStripes="1" showColumnStripes="0"/>
  <extLst>
    <ext xmlns:x14="http://schemas.microsoft.com/office/spreadsheetml/2009/9/main" uri="{504A1905-F514-4f6f-8877-14C23A59335A}">
      <x14:table altTextSummary="Enter Description, Hours, and Rate in this table. Amount and Subtotal are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E048F-6E46-427A-8C0C-F64B60E53FA1}" name="Invoice3" displayName="Invoice3" ref="B17:E26" totalsRowCount="1">
  <tableColumns count="4">
    <tableColumn id="1" xr3:uid="{F27659D2-3CFF-47B8-842F-372AD2CF897B}" name="DESCRIPTION" totalsRowDxfId="7"/>
    <tableColumn id="2" xr3:uid="{3F195106-58F4-4428-9F24-2D51B76F8D90}" name="QUANTITY" totalsRowDxfId="6"/>
    <tableColumn id="3" xr3:uid="{A60D87B3-4565-49F0-A140-ECA9B9F16450}" name="RATE" totalsRowLabel="SUBTOTAL" totalsRowDxfId="5"/>
    <tableColumn id="4" xr3:uid="{DD85065A-90F9-4023-8662-0459A6F16264}" name="AMOUNT" totalsRowFunction="sum" totalsRowDxfId="4">
      <calculatedColumnFormula>IFERROR(IF(Invoice3[[#This Row],[QUANTITY]]*Invoice3[[#This Row],[RATE]]=0,"",Invoice3[[#This Row],[QUANTITY]]*Invoice3[[#This Row],[RATE]]), "")</calculatedColumnFormula>
    </tableColumn>
  </tableColumns>
  <tableStyleInfo name="Table Style 1" showFirstColumn="0" showLastColumn="1" showRowStripes="1" showColumnStripes="0"/>
  <extLst>
    <ext xmlns:x14="http://schemas.microsoft.com/office/spreadsheetml/2009/9/main" uri="{504A1905-F514-4f6f-8877-14C23A59335A}">
      <x14:table altTextSummary="Enter Description, Hours, and Rate in this table. Amount and Subtotal are automatically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7:E26" totalsRowCount="1">
  <tableColumns count="4">
    <tableColumn id="1" xr3:uid="{00000000-0010-0000-0000-000001000000}" name="DESCRIPTION" totalsRowDxfId="3"/>
    <tableColumn id="2" xr3:uid="{00000000-0010-0000-0000-000002000000}" name="QUANTITY" totalsRowDxfId="2"/>
    <tableColumn id="3" xr3:uid="{00000000-0010-0000-0000-000003000000}" name="RATE" totalsRowLabel="SUBTOTAL" totalsRowDxfId="1"/>
    <tableColumn id="4" xr3:uid="{00000000-0010-0000-0000-000004000000}" name="AMOUNT" totalsRowFunction="sum" totalsRowDxfId="0" totalsRowCellStyle="Currency [0]">
      <calculatedColumnFormula>IFERROR(IF(Invoice[[#This Row],[QUANTITY]]*Invoice[[#This Row],[RATE]]=0,"",Invoice[[#This Row],[QUANTITY]]*Invoice[[#This Row],[RATE]]), "")</calculatedColumnFormula>
    </tableColumn>
  </tableColumns>
  <tableStyleInfo name="Table Style 1" showFirstColumn="0" showLastColumn="1" showRowStripes="1" showColumnStripes="0"/>
  <extLst>
    <ext xmlns:x14="http://schemas.microsoft.com/office/spreadsheetml/2009/9/main" uri="{504A1905-F514-4f6f-8877-14C23A59335A}">
      <x14:table altTextSummary="Enter Description, Hours, and Rate in this table. Amount and Subtotal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A6FD-E4F5-42F4-951A-42E52480AD0D}">
  <sheetPr>
    <tabColor theme="0" tint="-0.249977111117893"/>
    <pageSetUpPr fitToPage="1"/>
  </sheetPr>
  <dimension ref="A1:F38"/>
  <sheetViews>
    <sheetView showGridLines="0" zoomScale="70" zoomScaleNormal="70" workbookViewId="0">
      <selection activeCell="B38" sqref="B38"/>
    </sheetView>
  </sheetViews>
  <sheetFormatPr defaultColWidth="9" defaultRowHeight="30" customHeight="1" x14ac:dyDescent="0.2"/>
  <cols>
    <col min="1" max="1" width="7.44140625" style="3" customWidth="1"/>
    <col min="2" max="2" width="50.6640625" style="3" customWidth="1"/>
    <col min="3" max="4" width="17.33203125" style="3" customWidth="1"/>
    <col min="5" max="5" width="21.33203125" style="3" customWidth="1"/>
    <col min="6" max="6" width="7.33203125" style="3" customWidth="1"/>
    <col min="7" max="16384" width="9" style="3"/>
  </cols>
  <sheetData>
    <row r="1" spans="1:6" ht="50.1" customHeight="1" x14ac:dyDescent="0.2">
      <c r="A1" s="1"/>
      <c r="B1" s="2"/>
      <c r="C1" s="1"/>
      <c r="D1" s="1"/>
      <c r="E1" s="1"/>
      <c r="F1" s="1"/>
    </row>
    <row r="2" spans="1:6" ht="34.5" customHeight="1" x14ac:dyDescent="0.5">
      <c r="A2" s="1"/>
      <c r="B2" s="56" t="s">
        <v>0</v>
      </c>
      <c r="C2" s="4"/>
      <c r="D2" s="5"/>
      <c r="E2" s="17" t="s">
        <v>1</v>
      </c>
      <c r="F2" s="1"/>
    </row>
    <row r="3" spans="1:6" ht="33.950000000000003" customHeight="1" x14ac:dyDescent="0.2">
      <c r="A3" s="1"/>
      <c r="B3" s="56"/>
      <c r="C3" s="6"/>
      <c r="D3" s="6"/>
      <c r="E3" s="6"/>
      <c r="F3" s="1"/>
    </row>
    <row r="4" spans="1:6" ht="30" customHeight="1" x14ac:dyDescent="0.2">
      <c r="A4" s="1"/>
      <c r="B4" s="7"/>
      <c r="C4" s="1"/>
      <c r="D4" s="1"/>
      <c r="E4" s="1"/>
      <c r="F4" s="1"/>
    </row>
    <row r="5" spans="1:6" ht="15.95" customHeight="1" x14ac:dyDescent="0.3">
      <c r="A5" s="1"/>
      <c r="B5" s="32" t="s">
        <v>2</v>
      </c>
      <c r="C5" s="6"/>
      <c r="D5" s="38" t="s">
        <v>3</v>
      </c>
      <c r="E5" s="8">
        <v>45425</v>
      </c>
      <c r="F5" s="1"/>
    </row>
    <row r="6" spans="1:6" ht="15.95" customHeight="1" x14ac:dyDescent="0.3">
      <c r="A6" s="1"/>
      <c r="B6" s="32" t="s">
        <v>4</v>
      </c>
      <c r="C6" s="6"/>
      <c r="D6" s="38" t="s">
        <v>5</v>
      </c>
      <c r="E6" s="6" t="s">
        <v>6</v>
      </c>
      <c r="F6" s="1"/>
    </row>
    <row r="7" spans="1:6" ht="15.95" customHeight="1" x14ac:dyDescent="0.2">
      <c r="A7" s="1"/>
      <c r="B7" s="33" t="s">
        <v>7</v>
      </c>
      <c r="C7" s="6"/>
      <c r="D7" s="18"/>
      <c r="E7" s="9"/>
      <c r="F7" s="1"/>
    </row>
    <row r="8" spans="1:6" ht="30" customHeight="1" x14ac:dyDescent="0.2">
      <c r="A8" s="1"/>
      <c r="B8" s="32" t="s">
        <v>8</v>
      </c>
      <c r="C8" s="1"/>
      <c r="D8" s="1"/>
      <c r="E8" s="1"/>
      <c r="F8" s="1"/>
    </row>
    <row r="9" spans="1:6" ht="30" customHeight="1" x14ac:dyDescent="0.2">
      <c r="A9" s="1"/>
      <c r="B9" s="34"/>
      <c r="C9" s="1"/>
      <c r="D9" s="1"/>
      <c r="E9" s="1"/>
      <c r="F9" s="1"/>
    </row>
    <row r="10" spans="1:6" ht="15.95" customHeight="1" x14ac:dyDescent="0.3">
      <c r="A10" s="1"/>
      <c r="B10" s="35" t="s">
        <v>9</v>
      </c>
      <c r="C10" s="6"/>
      <c r="D10" s="6"/>
      <c r="E10" s="6"/>
      <c r="F10" s="1"/>
    </row>
    <row r="11" spans="1:6" ht="15.95" customHeight="1" x14ac:dyDescent="0.2">
      <c r="A11" s="1"/>
      <c r="B11" s="54" t="s">
        <v>10</v>
      </c>
      <c r="C11" s="6"/>
      <c r="D11" s="6"/>
      <c r="E11" s="6"/>
      <c r="F11" s="1"/>
    </row>
    <row r="12" spans="1:6" ht="15.95" customHeight="1" x14ac:dyDescent="0.2">
      <c r="A12" s="1"/>
      <c r="B12" s="36" t="s">
        <v>11</v>
      </c>
      <c r="C12" s="6"/>
      <c r="D12" s="6"/>
      <c r="E12" s="6"/>
      <c r="F12" s="1"/>
    </row>
    <row r="13" spans="1:6" ht="15.95" customHeight="1" x14ac:dyDescent="0.2">
      <c r="A13" s="1"/>
      <c r="B13" s="32" t="s">
        <v>12</v>
      </c>
      <c r="C13" s="6"/>
      <c r="D13" s="6"/>
      <c r="E13" s="6"/>
      <c r="F13" s="1"/>
    </row>
    <row r="14" spans="1:6" ht="15.95" customHeight="1" x14ac:dyDescent="0.2">
      <c r="A14" s="1"/>
      <c r="B14" s="37" t="s">
        <v>13</v>
      </c>
      <c r="C14" s="6"/>
      <c r="D14" s="6"/>
      <c r="E14" s="6"/>
      <c r="F14" s="1"/>
    </row>
    <row r="15" spans="1:6" ht="15.95" customHeight="1" x14ac:dyDescent="0.2">
      <c r="A15" s="1"/>
      <c r="B15" s="37"/>
      <c r="C15" s="6"/>
      <c r="D15" s="6"/>
      <c r="E15" s="6"/>
      <c r="F15" s="1"/>
    </row>
    <row r="16" spans="1:6" ht="30" customHeight="1" x14ac:dyDescent="0.2">
      <c r="A16" s="1"/>
      <c r="B16" s="7"/>
      <c r="C16" s="1"/>
      <c r="D16" s="1"/>
      <c r="E16" s="1"/>
      <c r="F16" s="1"/>
    </row>
    <row r="17" spans="1:6" ht="30" customHeight="1" x14ac:dyDescent="0.2">
      <c r="A17" s="1"/>
      <c r="B17" s="19" t="s">
        <v>14</v>
      </c>
      <c r="C17" s="20" t="s">
        <v>15</v>
      </c>
      <c r="D17" s="20" t="s">
        <v>16</v>
      </c>
      <c r="E17" s="20" t="s">
        <v>17</v>
      </c>
      <c r="F17" s="1"/>
    </row>
    <row r="18" spans="1:6" ht="26.1" customHeight="1" x14ac:dyDescent="0.2">
      <c r="A18" s="1"/>
      <c r="B18" s="30" t="s">
        <v>18</v>
      </c>
      <c r="C18" s="28">
        <v>200</v>
      </c>
      <c r="D18" s="41">
        <v>550</v>
      </c>
      <c r="E18" s="42">
        <f>IFERROR(IF(Invoice4[[#This Row],[QUANTITY]]*Invoice4[[#This Row],[RATE]]=0,"",Invoice4[[#This Row],[QUANTITY]]*Invoice4[[#This Row],[RATE]]), "")</f>
        <v>110000</v>
      </c>
      <c r="F18" s="1"/>
    </row>
    <row r="19" spans="1:6" ht="26.1" customHeight="1" x14ac:dyDescent="0.2">
      <c r="A19" s="1"/>
      <c r="B19" s="30" t="s">
        <v>19</v>
      </c>
      <c r="C19" s="28">
        <v>20</v>
      </c>
      <c r="D19" s="41">
        <v>1001.35</v>
      </c>
      <c r="E19" s="42">
        <f>IFERROR(IF(Invoice4[[#This Row],[QUANTITY]]*Invoice4[[#This Row],[RATE]]=0,"",Invoice4[[#This Row],[QUANTITY]]*Invoice4[[#This Row],[RATE]]), "")</f>
        <v>20027</v>
      </c>
      <c r="F19" s="1"/>
    </row>
    <row r="20" spans="1:6" ht="26.1" customHeight="1" x14ac:dyDescent="0.2">
      <c r="A20" s="1"/>
      <c r="B20" s="30" t="s">
        <v>20</v>
      </c>
      <c r="C20" s="28">
        <v>67</v>
      </c>
      <c r="D20" s="41">
        <v>3400</v>
      </c>
      <c r="E20" s="42">
        <f>IFERROR(IF(Invoice4[[#This Row],[QUANTITY]]*Invoice4[[#This Row],[RATE]]=0,"",Invoice4[[#This Row],[QUANTITY]]*Invoice4[[#This Row],[RATE]]), "")</f>
        <v>227800</v>
      </c>
      <c r="F20" s="1"/>
    </row>
    <row r="21" spans="1:6" ht="26.1" customHeight="1" x14ac:dyDescent="0.2">
      <c r="A21" s="1"/>
      <c r="B21" s="21"/>
      <c r="C21" s="22"/>
      <c r="D21" s="23"/>
      <c r="E21" s="24" t="str">
        <f>IFERROR(IF(Invoice4[[#This Row],[QUANTITY]]*Invoice4[[#This Row],[RATE]]=0,"",Invoice4[[#This Row],[QUANTITY]]*Invoice4[[#This Row],[RATE]]), "")</f>
        <v/>
      </c>
      <c r="F21" s="1"/>
    </row>
    <row r="22" spans="1:6" ht="26.1" customHeight="1" x14ac:dyDescent="0.2">
      <c r="A22" s="1"/>
      <c r="B22" s="21"/>
      <c r="C22" s="22"/>
      <c r="D22" s="23"/>
      <c r="E22" s="24" t="str">
        <f>IFERROR(IF(Invoice4[[#This Row],[QUANTITY]]*Invoice4[[#This Row],[RATE]]=0,"",Invoice4[[#This Row],[QUANTITY]]*Invoice4[[#This Row],[RATE]]), "")</f>
        <v/>
      </c>
      <c r="F22" s="1"/>
    </row>
    <row r="23" spans="1:6" ht="26.1" customHeight="1" x14ac:dyDescent="0.2">
      <c r="A23" s="1"/>
      <c r="B23" s="21"/>
      <c r="C23" s="22"/>
      <c r="D23" s="23"/>
      <c r="E23" s="24" t="str">
        <f>IFERROR(IF(Invoice4[[#This Row],[QUANTITY]]*Invoice4[[#This Row],[RATE]]=0,"",Invoice4[[#This Row],[QUANTITY]]*Invoice4[[#This Row],[RATE]]), "")</f>
        <v/>
      </c>
      <c r="F23" s="1"/>
    </row>
    <row r="24" spans="1:6" ht="26.1" customHeight="1" x14ac:dyDescent="0.2">
      <c r="A24" s="1"/>
      <c r="B24" s="21"/>
      <c r="C24" s="22"/>
      <c r="D24" s="23"/>
      <c r="E24" s="24" t="str">
        <f>IFERROR(IF(Invoice4[[#This Row],[QUANTITY]]*Invoice4[[#This Row],[RATE]]=0,"",Invoice4[[#This Row],[QUANTITY]]*Invoice4[[#This Row],[RATE]]), "")</f>
        <v/>
      </c>
      <c r="F24" s="1"/>
    </row>
    <row r="25" spans="1:6" ht="26.1" customHeight="1" x14ac:dyDescent="0.2">
      <c r="A25" s="1"/>
      <c r="B25" s="21"/>
      <c r="C25" s="22"/>
      <c r="D25" s="23"/>
      <c r="E25" s="24" t="str">
        <f>IFERROR(IF(Invoice4[[#This Row],[QUANTITY]]*Invoice4[[#This Row],[RATE]]=0,"",Invoice4[[#This Row],[QUANTITY]]*Invoice4[[#This Row],[RATE]]), "")</f>
        <v/>
      </c>
      <c r="F25" s="1"/>
    </row>
    <row r="26" spans="1:6" ht="26.1" customHeight="1" x14ac:dyDescent="0.2">
      <c r="A26" s="1"/>
      <c r="B26" s="25"/>
      <c r="C26" s="26"/>
      <c r="D26" s="27" t="s">
        <v>21</v>
      </c>
      <c r="E26" s="46">
        <f>SUBTOTAL(109,Invoice4[AMOUNT])</f>
        <v>357827</v>
      </c>
      <c r="F26" s="1"/>
    </row>
    <row r="27" spans="1:6" ht="26.1" customHeight="1" x14ac:dyDescent="0.2">
      <c r="A27" s="1"/>
      <c r="B27" s="6"/>
      <c r="C27" s="6"/>
      <c r="D27" s="10"/>
      <c r="E27" s="47"/>
      <c r="F27" s="1"/>
    </row>
    <row r="28" spans="1:6" ht="26.1" customHeight="1" x14ac:dyDescent="0.2">
      <c r="A28" s="1"/>
      <c r="B28" s="6"/>
      <c r="C28" s="6"/>
      <c r="D28" s="31" t="s">
        <v>22</v>
      </c>
      <c r="E28" s="48">
        <v>34673</v>
      </c>
      <c r="F28" s="1"/>
    </row>
    <row r="29" spans="1:6" ht="26.1" customHeight="1" x14ac:dyDescent="0.2">
      <c r="A29" s="1"/>
      <c r="B29" s="6"/>
      <c r="C29" s="6"/>
      <c r="D29" s="11"/>
      <c r="E29" s="12"/>
      <c r="F29" s="1"/>
    </row>
    <row r="30" spans="1:6" ht="30" customHeight="1" x14ac:dyDescent="0.2">
      <c r="A30" s="1"/>
      <c r="B30" s="13"/>
      <c r="C30" s="13"/>
      <c r="D30" s="14" t="s">
        <v>23</v>
      </c>
      <c r="E30" s="49">
        <f>IFERROR(SUM(E26,E28,E29), "")</f>
        <v>392500</v>
      </c>
      <c r="F30" s="1"/>
    </row>
    <row r="31" spans="1:6" ht="59.1" customHeight="1" x14ac:dyDescent="0.2">
      <c r="A31" s="1"/>
      <c r="B31" s="6"/>
      <c r="C31" s="6"/>
      <c r="D31" s="6"/>
      <c r="E31" s="6"/>
      <c r="F31" s="1"/>
    </row>
    <row r="32" spans="1:6" ht="59.1" customHeight="1" x14ac:dyDescent="0.2">
      <c r="A32" s="1"/>
      <c r="B32" s="6"/>
      <c r="C32" s="6"/>
      <c r="D32" s="6"/>
      <c r="E32" s="6"/>
      <c r="F32" s="1"/>
    </row>
    <row r="33" spans="1:6" s="16" customFormat="1" ht="15.95" customHeight="1" x14ac:dyDescent="0.25">
      <c r="A33" s="15"/>
      <c r="B33" s="57" t="str">
        <f>"Make all checks payable to "&amp;Company_Name&amp;"."</f>
        <v>Make all checks payable to Appleby Inc..</v>
      </c>
      <c r="C33" s="57"/>
      <c r="D33" s="57"/>
      <c r="E33" s="57"/>
      <c r="F33" s="15"/>
    </row>
    <row r="34" spans="1:6" s="16" customFormat="1" ht="15.95" customHeight="1" x14ac:dyDescent="0.25">
      <c r="A34" s="15"/>
      <c r="B34" s="57" t="s">
        <v>24</v>
      </c>
      <c r="C34" s="57"/>
      <c r="D34" s="57"/>
      <c r="E34" s="57"/>
      <c r="F34" s="15"/>
    </row>
    <row r="35" spans="1:6" ht="15.95" customHeight="1" x14ac:dyDescent="0.2">
      <c r="A35" s="1"/>
      <c r="B35" s="1"/>
      <c r="C35" s="1"/>
      <c r="D35" s="1"/>
      <c r="E35" s="1"/>
      <c r="F35" s="1"/>
    </row>
    <row r="36" spans="1:6" ht="15.95" customHeight="1" x14ac:dyDescent="0.2">
      <c r="A36" s="1"/>
      <c r="B36" s="1"/>
      <c r="C36" s="1"/>
      <c r="D36" s="1"/>
      <c r="E36" s="1"/>
      <c r="F36" s="1"/>
    </row>
    <row r="37" spans="1:6" s="16" customFormat="1" ht="15.95" customHeight="1" x14ac:dyDescent="0.25">
      <c r="A37" s="15"/>
      <c r="B37" s="58" t="s">
        <v>25</v>
      </c>
      <c r="C37" s="58"/>
      <c r="D37" s="58"/>
      <c r="E37" s="58"/>
      <c r="F37" s="15"/>
    </row>
    <row r="38" spans="1:6" ht="60" customHeight="1" x14ac:dyDescent="0.2">
      <c r="A38" s="1"/>
      <c r="B38" s="1"/>
      <c r="C38" s="1"/>
      <c r="D38" s="1"/>
      <c r="E38" s="1"/>
      <c r="F38" s="1"/>
    </row>
  </sheetData>
  <mergeCells count="4">
    <mergeCell ref="B2:B3"/>
    <mergeCell ref="B33:E33"/>
    <mergeCell ref="B34:E34"/>
    <mergeCell ref="B37:E37"/>
  </mergeCells>
  <dataValidations count="31">
    <dataValidation allowBlank="1" showInputMessage="1" showErrorMessage="1" prompt="Title of this worksheet is in this cell. Enter Invoice details in cells E5 through E7" sqref="E2" xr:uid="{D0E33DB6-CE27-4038-B721-CB8450ED43EE}"/>
    <dataValidation allowBlank="1" showInputMessage="1" showErrorMessage="1" prompt="Replace the number of days in which the balance is due and service charge percent per month in this cell" sqref="B34:E34" xr:uid="{0E7358FD-CFED-46A6-A83C-BDCD6BFFBB17}"/>
    <dataValidation allowBlank="1" showInputMessage="1" showErrorMessage="1" prompt="Amount is automatically calculated in this column under this heading" sqref="E17" xr:uid="{226D977D-D7BE-4566-BBFF-449D10C4557F}"/>
    <dataValidation allowBlank="1" showInputMessage="1" showErrorMessage="1" prompt="Enter Rate in this column under this heading" sqref="D17" xr:uid="{E10AEE2E-C72B-4B25-94A5-B75E93AC3740}"/>
    <dataValidation allowBlank="1" showInputMessage="1" showErrorMessage="1" prompt="Enter Hours in this column under this heading" sqref="C17" xr:uid="{84FCDAEE-0168-4CD2-AB8B-F62B6B5D9DF1}"/>
    <dataValidation allowBlank="1" showInputMessage="1" showErrorMessage="1" prompt="Create a Service Invoice with tax calculation in this worksheet. Enter company and customer details, and service details in Invoice table. Total due is automatically calculated" sqref="A1" xr:uid="{5FB504FA-5E61-4F64-9EE5-F802A635D07B}"/>
    <dataValidation allowBlank="1" showInputMessage="1" showErrorMessage="1" prompt="Enter invoicing Company Name in this cell and Slogan in cell below" sqref="B2" xr:uid="{FFA39B3A-0529-4298-9C06-762336E854FF}"/>
    <dataValidation allowBlank="1" showInputMessage="1" showErrorMessage="1" prompt="Enter invoicing company Street Address in this cell" sqref="B5" xr:uid="{EAA2F7DD-D1A0-4AD0-BBC4-AB290BA1F600}"/>
    <dataValidation allowBlank="1" showInputMessage="1" showErrorMessage="1" prompt="Enter City, State, and Zip Code in this cell" sqref="B6" xr:uid="{C24FFA57-8FAF-4924-8C36-D9F065EF8EC4}"/>
    <dataValidation allowBlank="1" showInputMessage="1" showErrorMessage="1" prompt="Enter Phone and Fax number in this cell" sqref="B7" xr:uid="{1C0768C2-B23F-432A-89BA-DBF06EEC2D7E}"/>
    <dataValidation allowBlank="1" showInputMessage="1" showErrorMessage="1" prompt="Enter Descriptions in this column under this heading. Use heading filters to find specific entries" sqref="B17" xr:uid="{F488B41C-6173-4E30-AE93-BF23530E6523}"/>
    <dataValidation allowBlank="1" showInputMessage="1" showErrorMessage="1" prompt="Enter invoice Date in this cell" sqref="E5" xr:uid="{A5C4737F-7229-4338-B735-F2C3342AA333}"/>
    <dataValidation allowBlank="1" showInputMessage="1" showErrorMessage="1" prompt="Enter invoice Date in cell at right" sqref="D5" xr:uid="{A4EA5A47-075A-41A3-AE30-146FB23BA5FC}"/>
    <dataValidation allowBlank="1" showInputMessage="1" showErrorMessage="1" prompt="Enter Invoice Number in cell at right" sqref="D6" xr:uid="{09974A75-4163-44D8-BD8F-3BB69B8FDBCA}"/>
    <dataValidation allowBlank="1" showInputMessage="1" showErrorMessage="1" prompt="Enter Invoice Number in this cell" sqref="E6" xr:uid="{9EC54750-F5FD-43C7-9BA3-41FA70596069}"/>
    <dataValidation allowBlank="1" showInputMessage="1" showErrorMessage="1" prompt="Enter invoice Project or Service description in this cell" sqref="E7" xr:uid="{08FC42C9-227F-4C4A-8FE0-10C5A569B44A}"/>
    <dataValidation allowBlank="1" showInputMessage="1" showErrorMessage="1" prompt="Enter invoice Project or Service description in cell at right" sqref="D7" xr:uid="{AE19846E-DE9E-4D38-A1B0-588CA81762DA}"/>
    <dataValidation allowBlank="1" showInputMessage="1" showErrorMessage="1" prompt="Enter customer Phone number in this cell" sqref="B14:B15" xr:uid="{6FF5B521-F0AE-45A4-A79B-E04AE90BEDFF}"/>
    <dataValidation allowBlank="1" showInputMessage="1" showErrorMessage="1" prompt="Enter customer City, State, and Zip Code in this cell" sqref="B13" xr:uid="{D585A254-A1E8-4C19-8CDB-E937A1F411BE}"/>
    <dataValidation allowBlank="1" showInputMessage="1" showErrorMessage="1" prompt="Enter customer Street Address in this cell" sqref="B12" xr:uid="{1BDAE837-BFB1-47F0-845E-5261F11C5704}"/>
    <dataValidation allowBlank="1" showInputMessage="1" showErrorMessage="1" prompt="Enter customer Name in this cell" sqref="B11" xr:uid="{02DE5E39-2C4C-4C9C-B3A2-115B0C723A6B}"/>
    <dataValidation allowBlank="1" showInputMessage="1" showErrorMessage="1" prompt="Enter customer Name, Company Name, Street Address, City, State, Zip Code, and Phone number in cells below" sqref="B10" xr:uid="{3C1D8A19-5393-42CF-AF24-6640EE9DA10A}"/>
    <dataValidation allowBlank="1" showInputMessage="1" showErrorMessage="1" prompt="Enter Tax Rate in this cell" sqref="E27" xr:uid="{3F22CF4E-7B68-4DD8-9B44-4C15473F1102}"/>
    <dataValidation allowBlank="1" showInputMessage="1" showErrorMessage="1" prompt="Enter Tax Rate in cell at right" sqref="D27" xr:uid="{953182DB-E124-4BB0-A52D-6388623B0450}"/>
    <dataValidation allowBlank="1" showInputMessage="1" showErrorMessage="1" prompt="Sales Tax amount is automatically calculated in this cell" sqref="E28" xr:uid="{5B806F7F-E319-4BE9-BD01-401568623423}"/>
    <dataValidation allowBlank="1" showInputMessage="1" showErrorMessage="1" prompt="Sales Tax amount is automatically calculated in cell at right" sqref="D28" xr:uid="{44020758-57AD-4E42-B8E3-C0639A555CC3}"/>
    <dataValidation allowBlank="1" showInputMessage="1" showErrorMessage="1" prompt="Enter Other amount in this cell" sqref="E29" xr:uid="{763BDFEC-BE7E-4264-BD84-2E31EB5C3ADE}"/>
    <dataValidation allowBlank="1" showInputMessage="1" showErrorMessage="1" prompt="Enter Other amount in cell at right" sqref="D29" xr:uid="{3E1E1911-ED72-4BBA-B352-5D1D7B8AAB14}"/>
    <dataValidation allowBlank="1" showInputMessage="1" showErrorMessage="1" prompt="Total due is automatically calculated in cell at right" sqref="D30" xr:uid="{E7A404D4-4B3B-43F3-8244-C0D96ACEC889}"/>
    <dataValidation allowBlank="1" showInputMessage="1" showErrorMessage="1" prompt="Total due is automatically calculated in this cell" sqref="E30" xr:uid="{BF4B0A59-991E-4343-83E0-2FE7445791F4}"/>
    <dataValidation allowBlank="1" showInputMessage="1" showErrorMessage="1" prompt="Company name is automatically appended in this cell" sqref="B33:E33" xr:uid="{244A4BA7-2175-4512-8D76-53DDBC503396}"/>
  </dataValidations>
  <pageMargins left="0.7" right="0.7" top="0.75" bottom="0.75" header="0.3" footer="0.3"/>
  <pageSetup paperSize="9" scale="63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0363-B70D-4ACA-AE4D-9A29602FB5D3}">
  <sheetPr>
    <tabColor theme="0" tint="-0.249977111117893"/>
    <pageSetUpPr fitToPage="1"/>
  </sheetPr>
  <dimension ref="A1:F38"/>
  <sheetViews>
    <sheetView showGridLines="0" zoomScale="70" zoomScaleNormal="70" workbookViewId="0">
      <selection activeCell="B14" sqref="B14"/>
    </sheetView>
  </sheetViews>
  <sheetFormatPr defaultColWidth="9" defaultRowHeight="30" customHeight="1" x14ac:dyDescent="0.2"/>
  <cols>
    <col min="1" max="1" width="7.44140625" style="3" customWidth="1"/>
    <col min="2" max="2" width="50.6640625" style="3" customWidth="1"/>
    <col min="3" max="4" width="17.33203125" style="3" customWidth="1"/>
    <col min="5" max="5" width="21.33203125" style="3" customWidth="1"/>
    <col min="6" max="6" width="7.33203125" style="3" customWidth="1"/>
    <col min="7" max="16384" width="9" style="3"/>
  </cols>
  <sheetData>
    <row r="1" spans="1:6" ht="50.1" customHeight="1" x14ac:dyDescent="0.2">
      <c r="A1" s="1"/>
      <c r="B1" s="2"/>
      <c r="C1" s="1"/>
      <c r="D1" s="1"/>
      <c r="E1" s="1"/>
      <c r="F1" s="1"/>
    </row>
    <row r="2" spans="1:6" ht="34.5" customHeight="1" x14ac:dyDescent="0.5">
      <c r="A2" s="1"/>
      <c r="B2" s="56" t="s">
        <v>0</v>
      </c>
      <c r="C2" s="4"/>
      <c r="D2" s="5"/>
      <c r="E2" s="17" t="s">
        <v>1</v>
      </c>
      <c r="F2" s="1"/>
    </row>
    <row r="3" spans="1:6" ht="33.950000000000003" customHeight="1" x14ac:dyDescent="0.2">
      <c r="A3" s="1"/>
      <c r="B3" s="56"/>
      <c r="C3" s="6"/>
      <c r="D3" s="6"/>
      <c r="E3" s="6"/>
      <c r="F3" s="1"/>
    </row>
    <row r="4" spans="1:6" ht="30" customHeight="1" x14ac:dyDescent="0.2">
      <c r="A4" s="1"/>
      <c r="B4" s="7"/>
      <c r="C4" s="1"/>
      <c r="D4" s="1"/>
      <c r="E4" s="1"/>
      <c r="F4" s="1"/>
    </row>
    <row r="5" spans="1:6" ht="15.95" customHeight="1" x14ac:dyDescent="0.3">
      <c r="A5" s="1"/>
      <c r="B5" s="32" t="s">
        <v>2</v>
      </c>
      <c r="C5" s="6"/>
      <c r="D5" s="38" t="s">
        <v>3</v>
      </c>
      <c r="E5" s="8">
        <v>45059</v>
      </c>
      <c r="F5" s="1"/>
    </row>
    <row r="6" spans="1:6" ht="15.95" customHeight="1" x14ac:dyDescent="0.3">
      <c r="A6" s="1"/>
      <c r="B6" s="32" t="s">
        <v>4</v>
      </c>
      <c r="C6" s="6"/>
      <c r="D6" s="38" t="s">
        <v>5</v>
      </c>
      <c r="E6" s="6" t="s">
        <v>26</v>
      </c>
      <c r="F6" s="1"/>
    </row>
    <row r="7" spans="1:6" ht="15.95" customHeight="1" x14ac:dyDescent="0.2">
      <c r="A7" s="1"/>
      <c r="B7" s="33" t="s">
        <v>7</v>
      </c>
      <c r="C7" s="6"/>
      <c r="D7" s="18"/>
      <c r="E7" s="9"/>
      <c r="F7" s="1"/>
    </row>
    <row r="8" spans="1:6" ht="30" customHeight="1" x14ac:dyDescent="0.2">
      <c r="A8" s="1"/>
      <c r="B8" s="32" t="s">
        <v>8</v>
      </c>
      <c r="C8" s="1"/>
      <c r="D8" s="1"/>
      <c r="E8" s="1"/>
      <c r="F8" s="1"/>
    </row>
    <row r="9" spans="1:6" ht="30" customHeight="1" x14ac:dyDescent="0.2">
      <c r="A9" s="1"/>
      <c r="B9" s="34"/>
      <c r="C9" s="1"/>
      <c r="D9" s="1"/>
      <c r="E9" s="1"/>
      <c r="F9" s="1"/>
    </row>
    <row r="10" spans="1:6" ht="15.95" customHeight="1" x14ac:dyDescent="0.3">
      <c r="A10" s="1"/>
      <c r="B10" s="35" t="s">
        <v>9</v>
      </c>
      <c r="C10" s="6"/>
      <c r="D10" s="6"/>
      <c r="E10" s="6"/>
      <c r="F10" s="1"/>
    </row>
    <row r="11" spans="1:6" ht="15.95" customHeight="1" x14ac:dyDescent="0.2">
      <c r="A11" s="1"/>
      <c r="B11" s="54" t="s">
        <v>27</v>
      </c>
      <c r="C11" s="6"/>
      <c r="D11" s="6"/>
      <c r="E11" s="6"/>
      <c r="F11" s="1"/>
    </row>
    <row r="12" spans="1:6" ht="15.95" customHeight="1" x14ac:dyDescent="0.2">
      <c r="A12" s="1"/>
      <c r="B12" s="36" t="s">
        <v>28</v>
      </c>
      <c r="C12" s="6"/>
      <c r="D12" s="6"/>
      <c r="E12" s="6"/>
      <c r="F12" s="1"/>
    </row>
    <row r="13" spans="1:6" ht="15.95" customHeight="1" x14ac:dyDescent="0.2">
      <c r="A13" s="1"/>
      <c r="B13" s="32" t="s">
        <v>29</v>
      </c>
      <c r="C13" s="6"/>
      <c r="D13" s="6"/>
      <c r="E13" s="6"/>
      <c r="F13" s="1"/>
    </row>
    <row r="14" spans="1:6" ht="15.95" customHeight="1" x14ac:dyDescent="0.2">
      <c r="A14" s="1"/>
      <c r="B14" s="37" t="s">
        <v>30</v>
      </c>
      <c r="C14" s="6"/>
      <c r="D14" s="6"/>
      <c r="E14" s="6"/>
      <c r="F14" s="1"/>
    </row>
    <row r="15" spans="1:6" ht="15.95" customHeight="1" x14ac:dyDescent="0.2">
      <c r="A15" s="1"/>
      <c r="B15" s="37"/>
      <c r="C15" s="6"/>
      <c r="D15" s="6"/>
      <c r="E15" s="6"/>
      <c r="F15" s="1"/>
    </row>
    <row r="16" spans="1:6" ht="30" customHeight="1" x14ac:dyDescent="0.2">
      <c r="A16" s="1"/>
      <c r="B16" s="7"/>
      <c r="C16" s="1"/>
      <c r="D16" s="1"/>
      <c r="E16" s="1"/>
      <c r="F16" s="1"/>
    </row>
    <row r="17" spans="1:6" ht="30" customHeight="1" x14ac:dyDescent="0.2">
      <c r="A17" s="1"/>
      <c r="B17" s="19" t="s">
        <v>14</v>
      </c>
      <c r="C17" s="20" t="s">
        <v>15</v>
      </c>
      <c r="D17" s="20" t="s">
        <v>16</v>
      </c>
      <c r="E17" s="20" t="s">
        <v>17</v>
      </c>
      <c r="F17" s="1"/>
    </row>
    <row r="18" spans="1:6" ht="26.1" customHeight="1" x14ac:dyDescent="0.2">
      <c r="A18" s="1"/>
      <c r="B18" t="s">
        <v>20</v>
      </c>
      <c r="C18" s="28">
        <v>100</v>
      </c>
      <c r="D18" s="40">
        <v>3000</v>
      </c>
      <c r="E18" s="43">
        <f>IFERROR(IF(Invoice3[[#This Row],[QUANTITY]]*Invoice3[[#This Row],[RATE]]=0,"",Invoice3[[#This Row],[QUANTITY]]*Invoice3[[#This Row],[RATE]]), "")</f>
        <v>300000</v>
      </c>
      <c r="F18" s="1"/>
    </row>
    <row r="19" spans="1:6" ht="26.1" customHeight="1" x14ac:dyDescent="0.2">
      <c r="A19" s="1"/>
      <c r="B19" s="29" t="s">
        <v>31</v>
      </c>
      <c r="C19" s="28">
        <v>45</v>
      </c>
      <c r="D19" s="40">
        <v>1285.04</v>
      </c>
      <c r="E19" s="43">
        <f>IFERROR(IF(Invoice3[[#This Row],[QUANTITY]]*Invoice3[[#This Row],[RATE]]=0,"",Invoice3[[#This Row],[QUANTITY]]*Invoice3[[#This Row],[RATE]]), "")</f>
        <v>57826.799999999996</v>
      </c>
      <c r="F19" s="1"/>
    </row>
    <row r="20" spans="1:6" ht="26.1" customHeight="1" x14ac:dyDescent="0.2">
      <c r="A20" s="1"/>
      <c r="B20" s="21"/>
      <c r="C20" s="22"/>
      <c r="D20" s="23"/>
      <c r="E20" s="24"/>
      <c r="F20" s="1"/>
    </row>
    <row r="21" spans="1:6" ht="26.1" customHeight="1" x14ac:dyDescent="0.2">
      <c r="A21" s="1"/>
      <c r="B21" s="21"/>
      <c r="C21" s="22"/>
      <c r="D21" s="23"/>
      <c r="E21" s="24" t="str">
        <f>IFERROR(IF(Invoice3[[#This Row],[QUANTITY]]*Invoice3[[#This Row],[RATE]]=0,"",Invoice3[[#This Row],[QUANTITY]]*Invoice3[[#This Row],[RATE]]), "")</f>
        <v/>
      </c>
      <c r="F21" s="1"/>
    </row>
    <row r="22" spans="1:6" ht="26.1" customHeight="1" x14ac:dyDescent="0.2">
      <c r="A22" s="1"/>
      <c r="B22" s="21"/>
      <c r="C22" s="22"/>
      <c r="D22" s="23"/>
      <c r="E22" s="24" t="str">
        <f>IFERROR(IF(Invoice3[[#This Row],[QUANTITY]]*Invoice3[[#This Row],[RATE]]=0,"",Invoice3[[#This Row],[QUANTITY]]*Invoice3[[#This Row],[RATE]]), "")</f>
        <v/>
      </c>
      <c r="F22" s="1"/>
    </row>
    <row r="23" spans="1:6" ht="26.1" customHeight="1" x14ac:dyDescent="0.2">
      <c r="A23" s="1"/>
      <c r="B23" s="21"/>
      <c r="C23" s="22"/>
      <c r="D23" s="23"/>
      <c r="E23" s="24" t="str">
        <f>IFERROR(IF(Invoice3[[#This Row],[QUANTITY]]*Invoice3[[#This Row],[RATE]]=0,"",Invoice3[[#This Row],[QUANTITY]]*Invoice3[[#This Row],[RATE]]), "")</f>
        <v/>
      </c>
      <c r="F23" s="1"/>
    </row>
    <row r="24" spans="1:6" ht="26.1" customHeight="1" x14ac:dyDescent="0.2">
      <c r="A24" s="1"/>
      <c r="B24" s="21"/>
      <c r="C24" s="22"/>
      <c r="D24" s="23"/>
      <c r="E24" s="24" t="str">
        <f>IFERROR(IF(Invoice3[[#This Row],[QUANTITY]]*Invoice3[[#This Row],[RATE]]=0,"",Invoice3[[#This Row],[QUANTITY]]*Invoice3[[#This Row],[RATE]]), "")</f>
        <v/>
      </c>
      <c r="F24" s="1"/>
    </row>
    <row r="25" spans="1:6" ht="26.1" customHeight="1" x14ac:dyDescent="0.2">
      <c r="A25" s="1"/>
      <c r="B25" s="21"/>
      <c r="C25" s="22"/>
      <c r="D25" s="23"/>
      <c r="E25" s="24" t="str">
        <f>IFERROR(IF(Invoice3[[#This Row],[QUANTITY]]*Invoice3[[#This Row],[RATE]]=0,"",Invoice3[[#This Row],[QUANTITY]]*Invoice3[[#This Row],[RATE]]), "")</f>
        <v/>
      </c>
      <c r="F25" s="1"/>
    </row>
    <row r="26" spans="1:6" ht="26.1" customHeight="1" x14ac:dyDescent="0.2">
      <c r="A26" s="1"/>
      <c r="B26" s="25"/>
      <c r="C26" s="26"/>
      <c r="D26" s="27" t="s">
        <v>21</v>
      </c>
      <c r="E26" s="51">
        <f>SUBTOTAL(109,Invoice3[AMOUNT])</f>
        <v>357826.8</v>
      </c>
      <c r="F26" s="1"/>
    </row>
    <row r="27" spans="1:6" ht="26.1" customHeight="1" x14ac:dyDescent="0.2">
      <c r="A27" s="1"/>
      <c r="B27" s="6"/>
      <c r="C27" s="6"/>
      <c r="D27" s="10"/>
      <c r="E27" s="44"/>
      <c r="F27" s="1"/>
    </row>
    <row r="28" spans="1:6" ht="26.1" customHeight="1" x14ac:dyDescent="0.2">
      <c r="A28" s="1"/>
      <c r="B28" s="6"/>
      <c r="C28" s="6"/>
      <c r="D28" s="31" t="s">
        <v>22</v>
      </c>
      <c r="E28" s="52">
        <v>34673</v>
      </c>
      <c r="F28" s="1"/>
    </row>
    <row r="29" spans="1:6" ht="26.1" customHeight="1" x14ac:dyDescent="0.2">
      <c r="A29" s="1"/>
      <c r="B29" s="6"/>
      <c r="C29" s="6"/>
      <c r="D29" s="11"/>
      <c r="E29" s="53"/>
      <c r="F29" s="1"/>
    </row>
    <row r="30" spans="1:6" ht="30" customHeight="1" x14ac:dyDescent="0.2">
      <c r="A30" s="1"/>
      <c r="B30" s="13"/>
      <c r="C30" s="13"/>
      <c r="D30" s="14" t="s">
        <v>23</v>
      </c>
      <c r="E30" s="50">
        <f>IFERROR(SUM(E26,E28,E29), "")</f>
        <v>392499.8</v>
      </c>
      <c r="F30" s="1"/>
    </row>
    <row r="31" spans="1:6" ht="59.1" customHeight="1" x14ac:dyDescent="0.2">
      <c r="A31" s="1"/>
      <c r="B31" s="6"/>
      <c r="C31" s="6"/>
      <c r="D31" s="6"/>
      <c r="E31" s="6"/>
      <c r="F31" s="1"/>
    </row>
    <row r="32" spans="1:6" ht="59.1" customHeight="1" x14ac:dyDescent="0.2">
      <c r="A32" s="1"/>
      <c r="B32" s="6"/>
      <c r="C32" s="6"/>
      <c r="D32" s="6"/>
      <c r="E32" s="6"/>
      <c r="F32" s="1"/>
    </row>
    <row r="33" spans="1:6" s="16" customFormat="1" ht="15.95" customHeight="1" x14ac:dyDescent="0.25">
      <c r="A33" s="15"/>
      <c r="B33" s="57" t="str">
        <f>"Make all checks payable to "&amp;Company_Name&amp;"."</f>
        <v>Make all checks payable to Appleby Inc..</v>
      </c>
      <c r="C33" s="57"/>
      <c r="D33" s="57"/>
      <c r="E33" s="57"/>
      <c r="F33" s="15"/>
    </row>
    <row r="34" spans="1:6" s="16" customFormat="1" ht="15.95" customHeight="1" x14ac:dyDescent="0.25">
      <c r="A34" s="15"/>
      <c r="B34" s="57" t="s">
        <v>24</v>
      </c>
      <c r="C34" s="57"/>
      <c r="D34" s="57"/>
      <c r="E34" s="57"/>
      <c r="F34" s="15"/>
    </row>
    <row r="35" spans="1:6" s="16" customFormat="1" ht="15.95" customHeight="1" x14ac:dyDescent="0.25">
      <c r="A35" s="15"/>
      <c r="B35" s="15"/>
      <c r="C35" s="15"/>
      <c r="D35" s="15"/>
      <c r="E35" s="15"/>
      <c r="F35" s="15"/>
    </row>
    <row r="36" spans="1:6" ht="15.95" customHeight="1" x14ac:dyDescent="0.2">
      <c r="A36" s="1"/>
      <c r="B36" s="1"/>
      <c r="C36" s="1"/>
      <c r="D36" s="1"/>
      <c r="E36" s="1"/>
      <c r="F36" s="1"/>
    </row>
    <row r="37" spans="1:6" s="16" customFormat="1" ht="15.95" customHeight="1" x14ac:dyDescent="0.25">
      <c r="A37" s="15"/>
      <c r="B37" s="58" t="s">
        <v>25</v>
      </c>
      <c r="C37" s="58"/>
      <c r="D37" s="58"/>
      <c r="E37" s="58"/>
      <c r="F37" s="15"/>
    </row>
    <row r="38" spans="1:6" ht="60" customHeight="1" x14ac:dyDescent="0.2">
      <c r="A38" s="1"/>
      <c r="B38" s="1"/>
      <c r="C38" s="1"/>
      <c r="D38" s="1"/>
      <c r="E38" s="1"/>
      <c r="F38" s="1"/>
    </row>
  </sheetData>
  <mergeCells count="4">
    <mergeCell ref="B2:B3"/>
    <mergeCell ref="B33:E33"/>
    <mergeCell ref="B34:E34"/>
    <mergeCell ref="B37:E37"/>
  </mergeCells>
  <dataValidations count="31">
    <dataValidation allowBlank="1" showInputMessage="1" showErrorMessage="1" prompt="Title of this worksheet is in this cell. Enter Invoice details in cells E5 through E7" sqref="E2" xr:uid="{FD4A5441-301B-4BDA-8F62-97ADC9A2222C}"/>
    <dataValidation allowBlank="1" showInputMessage="1" showErrorMessage="1" prompt="Replace the number of days in which the balance is due and service charge percent per month in this cell" sqref="B34:E35" xr:uid="{11677649-8077-40E9-8724-E883B92AAC21}"/>
    <dataValidation allowBlank="1" showInputMessage="1" showErrorMessage="1" prompt="Amount is automatically calculated in this column under this heading" sqref="E17" xr:uid="{100376F3-7DEB-4B28-8B5A-340E5F2BA3BF}"/>
    <dataValidation allowBlank="1" showInputMessage="1" showErrorMessage="1" prompt="Enter Rate in this column under this heading" sqref="D17" xr:uid="{0A124C97-B2C1-430A-9C09-FF1CB5A32669}"/>
    <dataValidation allowBlank="1" showInputMessage="1" showErrorMessage="1" prompt="Enter Hours in this column under this heading" sqref="C17" xr:uid="{1F634885-F44B-4C2A-80B1-64BE4A3A47DF}"/>
    <dataValidation allowBlank="1" showInputMessage="1" showErrorMessage="1" prompt="Create a Service Invoice with tax calculation in this worksheet. Enter company and customer details, and service details in Invoice table. Total due is automatically calculated" sqref="A1" xr:uid="{C05E83A7-458A-4D60-947D-ECCA0087C59A}"/>
    <dataValidation allowBlank="1" showInputMessage="1" showErrorMessage="1" prompt="Enter invoicing Company Name in this cell and Slogan in cell below" sqref="B2" xr:uid="{D5FDC1B0-193E-41E3-99DE-78A36DCBC8AA}"/>
    <dataValidation allowBlank="1" showInputMessage="1" showErrorMessage="1" prompt="Enter invoicing company Street Address in this cell" sqref="B5" xr:uid="{DF6160CA-4DEE-45CC-B0E7-F2A8FF455CF5}"/>
    <dataValidation allowBlank="1" showInputMessage="1" showErrorMessage="1" prompt="Enter City, State, and Zip Code in this cell" sqref="B6" xr:uid="{DCDC32EE-5763-4A0D-8ED3-4035786B0878}"/>
    <dataValidation allowBlank="1" showInputMessage="1" showErrorMessage="1" prompt="Enter Phone and Fax number in this cell" sqref="B7" xr:uid="{DF4FA6A6-3345-4554-92F5-5F88B0E0BB45}"/>
    <dataValidation allowBlank="1" showInputMessage="1" showErrorMessage="1" prompt="Enter Descriptions in this column under this heading. Use heading filters to find specific entries" sqref="B17" xr:uid="{3291CB40-BCFF-4C67-9DCF-325D4FD97497}"/>
    <dataValidation allowBlank="1" showInputMessage="1" showErrorMessage="1" prompt="Enter invoice Date in this cell" sqref="E5" xr:uid="{77AE7365-5C84-4E50-AABD-3D3E479D87FF}"/>
    <dataValidation allowBlank="1" showInputMessage="1" showErrorMessage="1" prompt="Enter invoice Date in cell at right" sqref="D5" xr:uid="{EB0A132C-FCDE-4FBA-A791-0B4B9E646251}"/>
    <dataValidation allowBlank="1" showInputMessage="1" showErrorMessage="1" prompt="Enter Invoice Number in cell at right" sqref="D6" xr:uid="{616F4935-9591-4B06-8849-C9CD00D5F664}"/>
    <dataValidation allowBlank="1" showInputMessage="1" showErrorMessage="1" prompt="Enter Invoice Number in this cell" sqref="E6" xr:uid="{64FD8541-4C56-48D2-B55A-29310DCB5C57}"/>
    <dataValidation allowBlank="1" showInputMessage="1" showErrorMessage="1" prompt="Enter invoice Project or Service description in this cell" sqref="E7" xr:uid="{51E05055-CA7C-44DC-B418-6496CDA55A17}"/>
    <dataValidation allowBlank="1" showInputMessage="1" showErrorMessage="1" prompt="Enter invoice Project or Service description in cell at right" sqref="D7" xr:uid="{B59BDF8A-3E54-4E9E-A808-6FD3D9CFCBBD}"/>
    <dataValidation allowBlank="1" showInputMessage="1" showErrorMessage="1" prompt="Enter customer Phone number in this cell" sqref="B14:B15" xr:uid="{66498621-0D0D-43C9-AA68-C61620BBC598}"/>
    <dataValidation allowBlank="1" showInputMessage="1" showErrorMessage="1" prompt="Enter customer City, State, and Zip Code in this cell" sqref="B13" xr:uid="{16EDAB71-86D6-48B7-98C3-D0FDAC0692D6}"/>
    <dataValidation allowBlank="1" showInputMessage="1" showErrorMessage="1" prompt="Enter customer Street Address in this cell" sqref="B12" xr:uid="{E5E85897-9B73-4F68-A653-8598E7C6711E}"/>
    <dataValidation allowBlank="1" showInputMessage="1" showErrorMessage="1" prompt="Enter customer Name in this cell" sqref="B11" xr:uid="{AA94A48B-6B67-42DC-8E06-2BC6C70BA551}"/>
    <dataValidation allowBlank="1" showInputMessage="1" showErrorMessage="1" prompt="Enter customer Name, Company Name, Street Address, City, State, Zip Code, and Phone number in cells below" sqref="B10" xr:uid="{008FF9AF-4B85-489D-AD2F-683C94D2EE0B}"/>
    <dataValidation allowBlank="1" showInputMessage="1" showErrorMessage="1" prompt="Enter Tax Rate in this cell" sqref="E27" xr:uid="{5B1453C6-DD73-428B-8819-8F03A9F94837}"/>
    <dataValidation allowBlank="1" showInputMessage="1" showErrorMessage="1" prompt="Enter Tax Rate in cell at right" sqref="D27" xr:uid="{293A8696-AEC9-4965-93A8-0A940729B352}"/>
    <dataValidation allowBlank="1" showInputMessage="1" showErrorMessage="1" prompt="Sales Tax amount is automatically calculated in this cell" sqref="E28" xr:uid="{E9F30006-4507-45BA-93B9-4FE8E840F555}"/>
    <dataValidation allowBlank="1" showInputMessage="1" showErrorMessage="1" prompt="Sales Tax amount is automatically calculated in cell at right" sqref="D28" xr:uid="{11EB89EF-098A-423A-AC3F-2BE3FE33E864}"/>
    <dataValidation allowBlank="1" showInputMessage="1" showErrorMessage="1" prompt="Enter Other amount in this cell" sqref="E29" xr:uid="{A1BECCFF-6C25-4577-A38D-843435A2AD07}"/>
    <dataValidation allowBlank="1" showInputMessage="1" showErrorMessage="1" prompt="Enter Other amount in cell at right" sqref="D29" xr:uid="{C4BCDE60-1729-45C0-8C2B-6CA7DF83A2AB}"/>
    <dataValidation allowBlank="1" showInputMessage="1" showErrorMessage="1" prompt="Total due is automatically calculated in cell at right" sqref="D30" xr:uid="{4174F94F-F37C-4673-8489-FE0F540A3416}"/>
    <dataValidation allowBlank="1" showInputMessage="1" showErrorMessage="1" prompt="Total due is automatically calculated in this cell" sqref="E30" xr:uid="{29ECA0A4-B7D0-4126-A2E9-8A2279962AD0}"/>
    <dataValidation allowBlank="1" showInputMessage="1" showErrorMessage="1" prompt="Company name is automatically appended in this cell" sqref="B33:E33" xr:uid="{462789C7-2F4C-4ECE-8E67-9BDEA3ADA2D1}"/>
  </dataValidations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headerFooter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A1:F38"/>
  <sheetViews>
    <sheetView showGridLines="0" tabSelected="1" zoomScale="70" zoomScaleNormal="70" workbookViewId="0">
      <selection activeCell="B35" sqref="B35"/>
    </sheetView>
  </sheetViews>
  <sheetFormatPr defaultColWidth="9" defaultRowHeight="30" customHeight="1" x14ac:dyDescent="0.2"/>
  <cols>
    <col min="1" max="1" width="7.44140625" style="3" customWidth="1"/>
    <col min="2" max="2" width="50.6640625" style="3" customWidth="1"/>
    <col min="3" max="4" width="17.33203125" style="3" customWidth="1"/>
    <col min="5" max="5" width="21.33203125" style="3" customWidth="1"/>
    <col min="6" max="6" width="7.33203125" style="3" customWidth="1"/>
    <col min="7" max="16384" width="9" style="3"/>
  </cols>
  <sheetData>
    <row r="1" spans="1:6" ht="50.1" customHeight="1" x14ac:dyDescent="0.2">
      <c r="A1" s="1"/>
      <c r="B1" s="2"/>
      <c r="C1" s="1"/>
      <c r="D1" s="1"/>
      <c r="E1" s="1"/>
      <c r="F1" s="1"/>
    </row>
    <row r="2" spans="1:6" ht="34.5" customHeight="1" x14ac:dyDescent="0.5">
      <c r="A2" s="1"/>
      <c r="B2" s="56" t="s">
        <v>0</v>
      </c>
      <c r="C2" s="4"/>
      <c r="D2" s="5"/>
      <c r="E2" s="17" t="s">
        <v>1</v>
      </c>
      <c r="F2" s="1"/>
    </row>
    <row r="3" spans="1:6" ht="33.950000000000003" customHeight="1" x14ac:dyDescent="0.2">
      <c r="A3" s="1"/>
      <c r="B3" s="56"/>
      <c r="C3" s="6"/>
      <c r="D3" s="6"/>
      <c r="E3" s="6"/>
      <c r="F3" s="1"/>
    </row>
    <row r="4" spans="1:6" ht="30" customHeight="1" x14ac:dyDescent="0.2">
      <c r="A4" s="1"/>
      <c r="B4" s="7"/>
      <c r="C4" s="1"/>
      <c r="D4" s="1"/>
      <c r="E4" s="1"/>
      <c r="F4" s="1"/>
    </row>
    <row r="5" spans="1:6" ht="15.95" customHeight="1" x14ac:dyDescent="0.3">
      <c r="A5" s="1"/>
      <c r="B5" s="32" t="s">
        <v>2</v>
      </c>
      <c r="C5" s="6"/>
      <c r="D5" s="38" t="s">
        <v>3</v>
      </c>
      <c r="E5" s="8">
        <v>44657</v>
      </c>
      <c r="F5" s="1"/>
    </row>
    <row r="6" spans="1:6" ht="15.95" customHeight="1" x14ac:dyDescent="0.3">
      <c r="A6" s="1"/>
      <c r="B6" s="32" t="s">
        <v>4</v>
      </c>
      <c r="C6" s="6"/>
      <c r="D6" s="38" t="s">
        <v>5</v>
      </c>
      <c r="E6" s="6" t="s">
        <v>32</v>
      </c>
      <c r="F6" s="1"/>
    </row>
    <row r="7" spans="1:6" ht="15.95" customHeight="1" x14ac:dyDescent="0.2">
      <c r="A7" s="1"/>
      <c r="B7" s="33" t="s">
        <v>7</v>
      </c>
      <c r="C7" s="6"/>
      <c r="D7" s="18"/>
      <c r="E7" s="9"/>
      <c r="F7" s="1"/>
    </row>
    <row r="8" spans="1:6" ht="15.75" x14ac:dyDescent="0.2">
      <c r="A8" s="1"/>
      <c r="B8" s="32" t="s">
        <v>8</v>
      </c>
      <c r="C8" s="1"/>
      <c r="D8" s="1"/>
      <c r="E8" s="1"/>
      <c r="F8" s="1"/>
    </row>
    <row r="9" spans="1:6" ht="30" customHeight="1" x14ac:dyDescent="0.2">
      <c r="A9" s="1"/>
      <c r="B9" s="34"/>
      <c r="C9" s="1"/>
      <c r="D9" s="1"/>
      <c r="E9" s="1"/>
      <c r="F9" s="1"/>
    </row>
    <row r="10" spans="1:6" ht="15.95" customHeight="1" x14ac:dyDescent="0.3">
      <c r="A10" s="1"/>
      <c r="B10" s="35" t="s">
        <v>9</v>
      </c>
      <c r="C10" s="6"/>
      <c r="D10" s="6"/>
      <c r="E10" s="6"/>
      <c r="F10" s="1"/>
    </row>
    <row r="11" spans="1:6" ht="15.95" customHeight="1" x14ac:dyDescent="0.2">
      <c r="A11" s="1"/>
      <c r="B11" s="54" t="s">
        <v>33</v>
      </c>
      <c r="C11" s="6"/>
      <c r="D11" s="6"/>
      <c r="E11" s="6"/>
      <c r="F11" s="1"/>
    </row>
    <row r="12" spans="1:6" ht="15.95" customHeight="1" x14ac:dyDescent="0.2">
      <c r="A12" s="1"/>
      <c r="B12" s="36" t="s">
        <v>34</v>
      </c>
      <c r="C12" s="6"/>
      <c r="D12" s="6"/>
      <c r="E12" s="6"/>
      <c r="F12" s="1"/>
    </row>
    <row r="13" spans="1:6" ht="15.95" customHeight="1" x14ac:dyDescent="0.2">
      <c r="A13" s="1"/>
      <c r="B13" s="32" t="s">
        <v>35</v>
      </c>
      <c r="C13" s="6"/>
      <c r="D13" s="6"/>
      <c r="E13" s="6"/>
      <c r="F13" s="1"/>
    </row>
    <row r="14" spans="1:6" ht="15.95" customHeight="1" x14ac:dyDescent="0.2">
      <c r="A14" s="1"/>
      <c r="B14" s="37" t="s">
        <v>36</v>
      </c>
      <c r="C14" s="6"/>
      <c r="D14" s="6"/>
      <c r="E14" s="6"/>
      <c r="F14" s="1"/>
    </row>
    <row r="15" spans="1:6" ht="30" customHeight="1" x14ac:dyDescent="0.2">
      <c r="A15" s="1"/>
      <c r="B15" s="7"/>
      <c r="C15" s="1"/>
      <c r="D15" s="1"/>
      <c r="E15" s="1"/>
      <c r="F15" s="1"/>
    </row>
    <row r="16" spans="1:6" ht="30" customHeight="1" x14ac:dyDescent="0.2">
      <c r="A16" s="1"/>
      <c r="B16" s="7"/>
      <c r="C16" s="1"/>
      <c r="D16" s="1"/>
      <c r="E16" s="1"/>
      <c r="F16" s="1"/>
    </row>
    <row r="17" spans="1:6" ht="30" customHeight="1" x14ac:dyDescent="0.2">
      <c r="A17" s="1"/>
      <c r="B17" s="19" t="s">
        <v>14</v>
      </c>
      <c r="C17" s="20" t="s">
        <v>15</v>
      </c>
      <c r="D17" s="20" t="s">
        <v>16</v>
      </c>
      <c r="E17" s="20" t="s">
        <v>17</v>
      </c>
      <c r="F17" s="1"/>
    </row>
    <row r="18" spans="1:6" ht="26.1" customHeight="1" x14ac:dyDescent="0.2">
      <c r="A18" s="1"/>
      <c r="B18" t="s">
        <v>37</v>
      </c>
      <c r="C18" s="28">
        <v>100</v>
      </c>
      <c r="D18" s="39">
        <v>3578.27</v>
      </c>
      <c r="E18" s="42">
        <f>IFERROR(IF(Invoice[[#This Row],[QUANTITY]]*Invoice[[#This Row],[RATE]]=0,"",Invoice[[#This Row],[QUANTITY]]*Invoice[[#This Row],[RATE]]), "")</f>
        <v>357827</v>
      </c>
      <c r="F18" s="1"/>
    </row>
    <row r="19" spans="1:6" ht="26.1" customHeight="1" x14ac:dyDescent="0.2">
      <c r="A19" s="1"/>
      <c r="B19" s="21"/>
      <c r="C19" s="22"/>
      <c r="D19" s="23"/>
      <c r="E19" s="24" t="str">
        <f>IFERROR(IF(Invoice[[#This Row],[QUANTITY]]*Invoice[[#This Row],[RATE]]=0,"",Invoice[[#This Row],[QUANTITY]]*Invoice[[#This Row],[RATE]]), "")</f>
        <v/>
      </c>
      <c r="F19" s="1"/>
    </row>
    <row r="20" spans="1:6" ht="26.1" customHeight="1" x14ac:dyDescent="0.2">
      <c r="A20" s="1"/>
      <c r="B20" s="21"/>
      <c r="C20" s="22"/>
      <c r="D20" s="23"/>
      <c r="E20" s="24"/>
      <c r="F20" s="1"/>
    </row>
    <row r="21" spans="1:6" ht="26.1" customHeight="1" x14ac:dyDescent="0.2">
      <c r="A21" s="1"/>
      <c r="B21" s="21"/>
      <c r="C21" s="22"/>
      <c r="D21" s="23"/>
      <c r="E21" s="24" t="str">
        <f>IFERROR(IF(Invoice[[#This Row],[QUANTITY]]*Invoice[[#This Row],[RATE]]=0,"",Invoice[[#This Row],[QUANTITY]]*Invoice[[#This Row],[RATE]]), "")</f>
        <v/>
      </c>
      <c r="F21" s="1"/>
    </row>
    <row r="22" spans="1:6" ht="26.1" customHeight="1" x14ac:dyDescent="0.2">
      <c r="A22" s="1"/>
      <c r="B22" s="21"/>
      <c r="C22" s="22"/>
      <c r="D22" s="23"/>
      <c r="E22" s="24" t="str">
        <f>IFERROR(IF(Invoice[[#This Row],[QUANTITY]]*Invoice[[#This Row],[RATE]]=0,"",Invoice[[#This Row],[QUANTITY]]*Invoice[[#This Row],[RATE]]), "")</f>
        <v/>
      </c>
      <c r="F22" s="1"/>
    </row>
    <row r="23" spans="1:6" ht="26.1" customHeight="1" x14ac:dyDescent="0.2">
      <c r="A23" s="1"/>
      <c r="B23" s="21"/>
      <c r="C23" s="22"/>
      <c r="D23" s="23"/>
      <c r="E23" s="24" t="str">
        <f>IFERROR(IF(Invoice[[#This Row],[QUANTITY]]*Invoice[[#This Row],[RATE]]=0,"",Invoice[[#This Row],[QUANTITY]]*Invoice[[#This Row],[RATE]]), "")</f>
        <v/>
      </c>
      <c r="F23" s="1"/>
    </row>
    <row r="24" spans="1:6" ht="26.1" customHeight="1" x14ac:dyDescent="0.2">
      <c r="A24" s="1"/>
      <c r="B24" s="21"/>
      <c r="C24" s="22"/>
      <c r="D24" s="23"/>
      <c r="E24" s="24" t="str">
        <f>IFERROR(IF(Invoice[[#This Row],[QUANTITY]]*Invoice[[#This Row],[RATE]]=0,"",Invoice[[#This Row],[QUANTITY]]*Invoice[[#This Row],[RATE]]), "")</f>
        <v/>
      </c>
      <c r="F24" s="1"/>
    </row>
    <row r="25" spans="1:6" ht="26.1" customHeight="1" x14ac:dyDescent="0.2">
      <c r="A25" s="1"/>
      <c r="B25" s="21"/>
      <c r="C25" s="22"/>
      <c r="D25" s="23"/>
      <c r="E25" s="24" t="str">
        <f>IFERROR(IF(Invoice[[#This Row],[QUANTITY]]*Invoice[[#This Row],[RATE]]=0,"",Invoice[[#This Row],[QUANTITY]]*Invoice[[#This Row],[RATE]]), "")</f>
        <v/>
      </c>
      <c r="F25" s="1"/>
    </row>
    <row r="26" spans="1:6" ht="26.1" customHeight="1" x14ac:dyDescent="0.2">
      <c r="A26" s="1"/>
      <c r="B26" s="25"/>
      <c r="C26" s="26"/>
      <c r="D26" s="27" t="s">
        <v>21</v>
      </c>
      <c r="E26" s="55">
        <f>SUBTOTAL(109,Invoice[AMOUNT])</f>
        <v>357827</v>
      </c>
      <c r="F26" s="1"/>
    </row>
    <row r="27" spans="1:6" ht="26.1" customHeight="1" x14ac:dyDescent="0.2">
      <c r="A27" s="1"/>
      <c r="B27" s="6"/>
      <c r="C27" s="6"/>
      <c r="D27" s="10"/>
      <c r="E27" s="44"/>
      <c r="F27" s="1"/>
    </row>
    <row r="28" spans="1:6" ht="26.1" customHeight="1" x14ac:dyDescent="0.2">
      <c r="A28" s="1"/>
      <c r="B28" s="6"/>
      <c r="C28" s="6"/>
      <c r="D28" s="31" t="s">
        <v>22</v>
      </c>
      <c r="E28" s="45">
        <v>34673</v>
      </c>
      <c r="F28" s="1"/>
    </row>
    <row r="29" spans="1:6" ht="26.1" customHeight="1" x14ac:dyDescent="0.2">
      <c r="A29" s="1"/>
      <c r="B29" s="6"/>
      <c r="C29" s="6"/>
      <c r="D29" s="11"/>
      <c r="E29" s="53"/>
      <c r="F29" s="1"/>
    </row>
    <row r="30" spans="1:6" ht="30" customHeight="1" x14ac:dyDescent="0.2">
      <c r="A30" s="1"/>
      <c r="B30" s="13"/>
      <c r="C30" s="13"/>
      <c r="D30" s="14" t="s">
        <v>23</v>
      </c>
      <c r="E30" s="50">
        <f>IFERROR(SUM(E26,E28,E29), "")</f>
        <v>392500</v>
      </c>
      <c r="F30" s="1"/>
    </row>
    <row r="31" spans="1:6" ht="59.1" customHeight="1" x14ac:dyDescent="0.2">
      <c r="A31" s="1"/>
      <c r="B31" s="6"/>
      <c r="C31" s="6"/>
      <c r="D31" s="6"/>
      <c r="E31" s="6"/>
      <c r="F31" s="1"/>
    </row>
    <row r="32" spans="1:6" ht="59.1" customHeight="1" x14ac:dyDescent="0.2">
      <c r="A32" s="1"/>
      <c r="B32" s="6"/>
      <c r="C32" s="6"/>
      <c r="D32" s="6"/>
      <c r="E32" s="6"/>
      <c r="F32" s="1"/>
    </row>
    <row r="33" spans="1:6" s="16" customFormat="1" ht="15.95" customHeight="1" x14ac:dyDescent="0.25">
      <c r="A33" s="15"/>
      <c r="B33" s="57" t="str">
        <f>"Make all checks payable to "&amp;Company_Name&amp;"."</f>
        <v>Make all checks payable to Appleby Inc..</v>
      </c>
      <c r="C33" s="57"/>
      <c r="D33" s="57"/>
      <c r="E33" s="57"/>
      <c r="F33" s="15"/>
    </row>
    <row r="34" spans="1:6" s="16" customFormat="1" ht="15.95" customHeight="1" x14ac:dyDescent="0.25">
      <c r="A34" s="15"/>
      <c r="B34" s="57" t="s">
        <v>24</v>
      </c>
      <c r="C34" s="57"/>
      <c r="D34" s="57"/>
      <c r="E34" s="57"/>
      <c r="F34" s="15"/>
    </row>
    <row r="35" spans="1:6" s="16" customFormat="1" ht="15.95" customHeight="1" x14ac:dyDescent="0.25">
      <c r="A35" s="15"/>
      <c r="B35" s="15"/>
      <c r="C35" s="15"/>
      <c r="D35" s="15"/>
      <c r="E35" s="15"/>
      <c r="F35" s="15"/>
    </row>
    <row r="36" spans="1:6" ht="15.95" customHeight="1" x14ac:dyDescent="0.2">
      <c r="A36" s="1"/>
      <c r="B36" s="1"/>
      <c r="C36" s="1"/>
      <c r="D36" s="1"/>
      <c r="E36" s="1"/>
      <c r="F36" s="1"/>
    </row>
    <row r="37" spans="1:6" s="16" customFormat="1" ht="15.95" customHeight="1" x14ac:dyDescent="0.25">
      <c r="A37" s="15"/>
      <c r="B37" s="58" t="s">
        <v>25</v>
      </c>
      <c r="C37" s="58"/>
      <c r="D37" s="58"/>
      <c r="E37" s="58"/>
      <c r="F37" s="15"/>
    </row>
    <row r="38" spans="1:6" ht="60" customHeight="1" x14ac:dyDescent="0.2">
      <c r="A38" s="1"/>
      <c r="B38" s="1"/>
      <c r="C38" s="1"/>
      <c r="D38" s="1"/>
      <c r="E38" s="1"/>
      <c r="F38" s="1"/>
    </row>
  </sheetData>
  <mergeCells count="4">
    <mergeCell ref="B37:E37"/>
    <mergeCell ref="B34:E34"/>
    <mergeCell ref="B33:E33"/>
    <mergeCell ref="B2:B3"/>
  </mergeCells>
  <phoneticPr fontId="1" type="noConversion"/>
  <dataValidations count="31">
    <dataValidation allowBlank="1" showInputMessage="1" showErrorMessage="1" prompt="Company name is automatically appended in this cell" sqref="B33:E33" xr:uid="{00000000-0002-0000-0000-000000000000}"/>
    <dataValidation allowBlank="1" showInputMessage="1" showErrorMessage="1" prompt="Total due is automatically calculated in this cell" sqref="E30" xr:uid="{00000000-0002-0000-0000-000001000000}"/>
    <dataValidation allowBlank="1" showInputMessage="1" showErrorMessage="1" prompt="Total due is automatically calculated in cell at right" sqref="D30" xr:uid="{00000000-0002-0000-0000-000002000000}"/>
    <dataValidation allowBlank="1" showInputMessage="1" showErrorMessage="1" prompt="Enter Other amount in cell at right" sqref="D29" xr:uid="{00000000-0002-0000-0000-000003000000}"/>
    <dataValidation allowBlank="1" showInputMessage="1" showErrorMessage="1" prompt="Enter Other amount in this cell" sqref="E29" xr:uid="{00000000-0002-0000-0000-000004000000}"/>
    <dataValidation allowBlank="1" showInputMessage="1" showErrorMessage="1" prompt="Sales Tax amount is automatically calculated in cell at right" sqref="D28" xr:uid="{00000000-0002-0000-0000-000005000000}"/>
    <dataValidation allowBlank="1" showInputMessage="1" showErrorMessage="1" prompt="Sales Tax amount is automatically calculated in this cell" sqref="E28" xr:uid="{00000000-0002-0000-0000-000006000000}"/>
    <dataValidation allowBlank="1" showInputMessage="1" showErrorMessage="1" prompt="Enter Tax Rate in cell at right" sqref="D27" xr:uid="{00000000-0002-0000-0000-000007000000}"/>
    <dataValidation allowBlank="1" showInputMessage="1" showErrorMessage="1" prompt="Enter Tax Rate in this cell" sqref="E27" xr:uid="{00000000-0002-0000-0000-000008000000}"/>
    <dataValidation allowBlank="1" showInputMessage="1" showErrorMessage="1" prompt="Enter customer Name, Company Name, Street Address, City, State, Zip Code, and Phone number in cells below" sqref="B10" xr:uid="{00000000-0002-0000-0000-000009000000}"/>
    <dataValidation allowBlank="1" showInputMessage="1" showErrorMessage="1" prompt="Enter customer Name in this cell" sqref="B11" xr:uid="{00000000-0002-0000-0000-00000A000000}"/>
    <dataValidation allowBlank="1" showInputMessage="1" showErrorMessage="1" prompt="Enter customer Street Address in this cell" sqref="B12" xr:uid="{00000000-0002-0000-0000-00000C000000}"/>
    <dataValidation allowBlank="1" showInputMessage="1" showErrorMessage="1" prompt="Enter customer City, State, and Zip Code in this cell" sqref="B13" xr:uid="{00000000-0002-0000-0000-00000D000000}"/>
    <dataValidation allowBlank="1" showInputMessage="1" showErrorMessage="1" prompt="Enter customer Phone number in this cell" sqref="B14" xr:uid="{00000000-0002-0000-0000-00000E000000}"/>
    <dataValidation allowBlank="1" showInputMessage="1" showErrorMessage="1" prompt="Enter invoice Project or Service description in cell at right" sqref="D7" xr:uid="{00000000-0002-0000-0000-00000F000000}"/>
    <dataValidation allowBlank="1" showInputMessage="1" showErrorMessage="1" prompt="Enter invoice Project or Service description in this cell" sqref="E7" xr:uid="{00000000-0002-0000-0000-000010000000}"/>
    <dataValidation allowBlank="1" showInputMessage="1" showErrorMessage="1" prompt="Enter Invoice Number in this cell" sqref="E6" xr:uid="{00000000-0002-0000-0000-000011000000}"/>
    <dataValidation allowBlank="1" showInputMessage="1" showErrorMessage="1" prompt="Enter Invoice Number in cell at right" sqref="D6" xr:uid="{00000000-0002-0000-0000-000012000000}"/>
    <dataValidation allowBlank="1" showInputMessage="1" showErrorMessage="1" prompt="Enter invoice Date in cell at right" sqref="D5" xr:uid="{00000000-0002-0000-0000-000013000000}"/>
    <dataValidation allowBlank="1" showInputMessage="1" showErrorMessage="1" prompt="Enter invoice Date in this cell" sqref="E5" xr:uid="{00000000-0002-0000-0000-000014000000}"/>
    <dataValidation allowBlank="1" showInputMessage="1" showErrorMessage="1" prompt="Enter Descriptions in this column under this heading. Use heading filters to find specific entries" sqref="B17" xr:uid="{00000000-0002-0000-0000-000015000000}"/>
    <dataValidation allowBlank="1" showInputMessage="1" showErrorMessage="1" prompt="Enter Phone and Fax number in this cell" sqref="B7" xr:uid="{00000000-0002-0000-0000-000016000000}"/>
    <dataValidation allowBlank="1" showInputMessage="1" showErrorMessage="1" prompt="Enter City, State, and Zip Code in this cell" sqref="B6" xr:uid="{00000000-0002-0000-0000-000017000000}"/>
    <dataValidation allowBlank="1" showInputMessage="1" showErrorMessage="1" prompt="Enter invoicing company Street Address in this cell" sqref="B5" xr:uid="{00000000-0002-0000-0000-000018000000}"/>
    <dataValidation allowBlank="1" showInputMessage="1" showErrorMessage="1" prompt="Enter invoicing Company Name in this cell and Slogan in cell below" sqref="B2" xr:uid="{00000000-0002-0000-0000-00001A000000}"/>
    <dataValidation allowBlank="1" showInputMessage="1" showErrorMessage="1" prompt="Create a Service Invoice with tax calculation in this worksheet. Enter company and customer details, and service details in Invoice table. Total due is automatically calculated" sqref="A1" xr:uid="{00000000-0002-0000-0000-00001B000000}"/>
    <dataValidation allowBlank="1" showInputMessage="1" showErrorMessage="1" prompt="Enter Hours in this column under this heading" sqref="C17" xr:uid="{00000000-0002-0000-0000-00001C000000}"/>
    <dataValidation allowBlank="1" showInputMessage="1" showErrorMessage="1" prompt="Enter Rate in this column under this heading" sqref="D17" xr:uid="{00000000-0002-0000-0000-00001D000000}"/>
    <dataValidation allowBlank="1" showInputMessage="1" showErrorMessage="1" prompt="Amount is automatically calculated in this column under this heading" sqref="E17" xr:uid="{00000000-0002-0000-0000-00001E000000}"/>
    <dataValidation allowBlank="1" showInputMessage="1" showErrorMessage="1" prompt="Replace the number of days in which the balance is due and service charge percent per month in this cell" sqref="B34:E35" xr:uid="{00000000-0002-0000-0000-000020000000}"/>
    <dataValidation allowBlank="1" showInputMessage="1" showErrorMessage="1" prompt="Title of this worksheet is in this cell. Enter Invoice details in cells E5 through E7" sqref="E2" xr:uid="{0AB81F38-138C-4D69-BAE5-26355634DB50}"/>
  </dataValidations>
  <pageMargins left="0.51181102362204722" right="0.51181102362204722" top="0.51181102362204722" bottom="0.51181102362204722" header="0.51181102362204722" footer="0.51181102362204722"/>
  <pageSetup paperSize="9" scale="67" fitToHeight="0" orientation="portrait" r:id="rId1"/>
  <headerFooter differentFirst="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3a9498-45e1-4121-9cf9-83f762cff582" xsi:nil="true"/>
    <lcf76f155ced4ddcb4097134ff3c332f xmlns="a3ee3419-f813-43ff-8070-dce059c64b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28A872-4E4C-405B-ABB4-4C7BCB5AF193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1e3a9498-45e1-4121-9cf9-83f762cff582"/>
    <ds:schemaRef ds:uri="a3ee3419-f813-43ff-8070-dce059c64b7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1F150D-E4E5-4321-9F88-78CB942A0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6B314E-45E0-48AF-8056-52D186B62C5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TM16400625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81966-24 APIN</vt:lpstr>
      <vt:lpstr>82139-23 APIN</vt:lpstr>
      <vt:lpstr>82196-22 APIN</vt:lpstr>
      <vt:lpstr>'81966-24 APIN'!Company_Name</vt:lpstr>
      <vt:lpstr>'82139-23 APIN'!Company_Name</vt:lpstr>
      <vt:lpstr>Company_Name</vt:lpstr>
      <vt:lpstr>'81966-24 APIN'!Print_Titles</vt:lpstr>
      <vt:lpstr>'82139-23 APIN'!Print_Titles</vt:lpstr>
      <vt:lpstr>'82196-22 APIN'!Print_Titles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2023-09-06T11:00:04Z</dcterms:created>
  <dcterms:modified xsi:type="dcterms:W3CDTF">2024-10-08T10:45:08Z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