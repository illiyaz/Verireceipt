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IRFAN/"/>
    </mc:Choice>
  </mc:AlternateContent>
  <xr:revisionPtr revIDLastSave="882" documentId="8_{03DFC810-42BF-4B6A-BA4F-43947BCB17D6}" xr6:coauthVersionLast="47" xr6:coauthVersionMax="47" xr10:uidLastSave="{CFDE8944-9026-4D50-B79D-A2361BEB1574}"/>
  <bookViews>
    <workbookView xWindow="-108" yWindow="-108" windowWidth="23256" windowHeight="12456" firstSheet="1" activeTab="12" xr2:uid="{00000000-000D-0000-FFFF-FFFF00000000}"/>
  </bookViews>
  <sheets>
    <sheet name=" ABC Exp-1" sheetId="2" r:id="rId1"/>
    <sheet name=" ABC Exp- 2" sheetId="16" r:id="rId2"/>
    <sheet name=" ABC Exp- 3" sheetId="17" r:id="rId3"/>
    <sheet name=" ABC Exp- 4" sheetId="18" r:id="rId4"/>
    <sheet name=" ABC Exp- 5" sheetId="19" r:id="rId5"/>
    <sheet name=" ABC Exp- 6" sheetId="20" r:id="rId6"/>
    <sheet name=" ABC Exp- 7" sheetId="21" r:id="rId7"/>
    <sheet name=" ABC Exp- 8" sheetId="22" r:id="rId8"/>
    <sheet name=" ABC Exp- 9" sheetId="23" r:id="rId9"/>
    <sheet name=" ABC Exp- 10" sheetId="24" r:id="rId10"/>
    <sheet name="82300-24" sheetId="25" r:id="rId11"/>
    <sheet name="82290-24" sheetId="14" r:id="rId12"/>
    <sheet name="82488-24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E6" i="25"/>
  <c r="E17" i="25" s="1"/>
  <c r="E18" i="25" s="1"/>
  <c r="G20" i="2"/>
  <c r="G13" i="24"/>
  <c r="G14" i="24" s="1"/>
  <c r="G13" i="23"/>
  <c r="G14" i="23" s="1"/>
  <c r="G13" i="22"/>
  <c r="G14" i="22" s="1"/>
  <c r="G13" i="21"/>
  <c r="G14" i="21" s="1"/>
  <c r="G13" i="20"/>
  <c r="G14" i="20" s="1"/>
  <c r="G13" i="19"/>
  <c r="G14" i="19" s="1"/>
  <c r="G13" i="18"/>
  <c r="G14" i="18" s="1"/>
  <c r="G13" i="17"/>
  <c r="G14" i="17" s="1"/>
  <c r="G13" i="16"/>
  <c r="G14" i="16" s="1"/>
  <c r="E17" i="14"/>
  <c r="E17" i="15"/>
  <c r="E18" i="15" s="1"/>
  <c r="E20" i="25" l="1"/>
  <c r="E18" i="14"/>
  <c r="E21" i="15"/>
  <c r="E20" i="14" l="1"/>
  <c r="G15" i="2" l="1"/>
</calcChain>
</file>

<file path=xl/sharedStrings.xml><?xml version="1.0" encoding="utf-8"?>
<sst xmlns="http://schemas.openxmlformats.org/spreadsheetml/2006/main" count="341" uniqueCount="99">
  <si>
    <t xml:space="preserve"> ABC Express Limited</t>
  </si>
  <si>
    <t xml:space="preserve"> H.No. 44, Bakshi Circle, Thoothukudi, </t>
  </si>
  <si>
    <t>Karnataka, India, 866617</t>
  </si>
  <si>
    <t>Contact Number   +91 734589021</t>
  </si>
  <si>
    <t>Invoice</t>
  </si>
  <si>
    <t>Steel Horse Auto Assembly Chennai Ltd</t>
  </si>
  <si>
    <r>
      <rPr>
        <b/>
        <sz val="14"/>
        <color rgb="FF000000"/>
        <rFont val="Arial"/>
        <family val="2"/>
      </rPr>
      <t>INVOICE NO:</t>
    </r>
    <r>
      <rPr>
        <sz val="14"/>
        <color rgb="FF000000"/>
        <rFont val="Arial"/>
        <family val="2"/>
      </rPr>
      <t xml:space="preserve"> 81475-23</t>
    </r>
  </si>
  <si>
    <t>House No 249,Road No 11,Rajiv Gandhi Nagar,</t>
  </si>
  <si>
    <r>
      <rPr>
        <b/>
        <sz val="14"/>
        <color rgb="FF000000"/>
        <rFont val="Arial"/>
        <family val="2"/>
      </rPr>
      <t xml:space="preserve">DATE: </t>
    </r>
    <r>
      <rPr>
        <sz val="14"/>
        <color rgb="FF000000"/>
        <rFont val="Arial"/>
        <family val="2"/>
      </rPr>
      <t xml:space="preserve"> 8/15/2023</t>
    </r>
  </si>
  <si>
    <t>Chennai,Tamil Nadu,India</t>
  </si>
  <si>
    <r>
      <rPr>
        <b/>
        <sz val="14"/>
        <color rgb="FF000000"/>
        <rFont val="Arial"/>
        <family val="2"/>
      </rPr>
      <t>INVOICE DUE DATE</t>
    </r>
    <r>
      <rPr>
        <sz val="14"/>
        <color rgb="FF000000"/>
        <rFont val="Arial"/>
        <family val="2"/>
      </rPr>
      <t xml:space="preserve"> : 9/15/2023</t>
    </r>
  </si>
  <si>
    <t>Contact Number. 91206303593</t>
  </si>
  <si>
    <t>Email Id: shanantapur@gmail.com</t>
  </si>
  <si>
    <t>ITEMS</t>
  </si>
  <si>
    <t>DESCRIPTION</t>
  </si>
  <si>
    <t>QUANTITY</t>
  </si>
  <si>
    <t>PRICE</t>
  </si>
  <si>
    <t>TAX</t>
  </si>
  <si>
    <t>AMOUNT</t>
  </si>
  <si>
    <t>Exclusive membership  
(Pay per month and obtain unlimited deliveries between two of your choosen locations)</t>
  </si>
  <si>
    <t xml:space="preserve">Total </t>
  </si>
  <si>
    <t>Amount in Words: Twelve Thousand</t>
  </si>
  <si>
    <t>Taxes</t>
  </si>
  <si>
    <t>Five Hundred only</t>
  </si>
  <si>
    <t>Balance Due</t>
  </si>
  <si>
    <t>Note:</t>
  </si>
  <si>
    <t xml:space="preserve">GRAND TOTAL </t>
  </si>
  <si>
    <t>Please inspect all goods upon delivery.</t>
  </si>
  <si>
    <r>
      <rPr>
        <b/>
        <u/>
        <sz val="14"/>
        <color rgb="FF000000"/>
        <rFont val="Arial"/>
        <family val="2"/>
      </rPr>
      <t xml:space="preserve">Declaration
</t>
    </r>
    <r>
      <rPr>
        <sz val="14"/>
        <color rgb="FF000000"/>
        <rFont val="Arial"/>
        <family val="2"/>
      </rPr>
      <t>1) Delivery times are estimated and not guaranteed. 
2) We are not liable for delays caused by customs or unforseen circumstances</t>
    </r>
  </si>
  <si>
    <t>Thanks for your business!!</t>
  </si>
  <si>
    <t>Steel Horse Auto Assembly Anantpur Ltd</t>
  </si>
  <si>
    <r>
      <rPr>
        <b/>
        <sz val="14"/>
        <color rgb="FF000000"/>
        <rFont val="Arial"/>
        <family val="2"/>
      </rPr>
      <t>INVOICE NO:</t>
    </r>
    <r>
      <rPr>
        <sz val="14"/>
        <color rgb="FF000000"/>
        <rFont val="Arial"/>
        <family val="2"/>
      </rPr>
      <t xml:space="preserve"> 82020-23</t>
    </r>
  </si>
  <si>
    <t xml:space="preserve">123 MG Road, Anantapur, </t>
  </si>
  <si>
    <r>
      <rPr>
        <b/>
        <sz val="14"/>
        <color rgb="FF000000"/>
        <rFont val="Arial"/>
        <family val="2"/>
      </rPr>
      <t xml:space="preserve">DATE: </t>
    </r>
    <r>
      <rPr>
        <sz val="14"/>
        <color rgb="FF000000"/>
        <rFont val="Arial"/>
        <family val="2"/>
      </rPr>
      <t xml:space="preserve"> 9/15/2023</t>
    </r>
  </si>
  <si>
    <t>Contact Number. +91 91331 99696</t>
  </si>
  <si>
    <r>
      <rPr>
        <b/>
        <sz val="14"/>
        <color rgb="FF000000"/>
        <rFont val="Arial"/>
        <family val="2"/>
      </rPr>
      <t>INVOICE DUE DATE</t>
    </r>
    <r>
      <rPr>
        <sz val="14"/>
        <color rgb="FF000000"/>
        <rFont val="Arial"/>
        <family val="2"/>
      </rPr>
      <t xml:space="preserve"> : 10/15/2023</t>
    </r>
  </si>
  <si>
    <t>Steel Horse Motors Chennai Pvt Ltd.</t>
  </si>
  <si>
    <r>
      <rPr>
        <b/>
        <sz val="14"/>
        <color rgb="FF000000"/>
        <rFont val="Arial"/>
        <family val="2"/>
      </rPr>
      <t>INVOICE NO:</t>
    </r>
    <r>
      <rPr>
        <sz val="14"/>
        <color rgb="FF000000"/>
        <rFont val="Arial"/>
        <family val="2"/>
      </rPr>
      <t xml:space="preserve"> 82078-23</t>
    </r>
  </si>
  <si>
    <t xml:space="preserve">	55 Mount Road, Chennai,</t>
  </si>
  <si>
    <r>
      <rPr>
        <b/>
        <sz val="14"/>
        <color rgb="FF000000"/>
        <rFont val="Arial"/>
        <family val="2"/>
      </rPr>
      <t xml:space="preserve">DATE: </t>
    </r>
    <r>
      <rPr>
        <sz val="14"/>
        <color rgb="FF000000"/>
        <rFont val="Arial"/>
        <family val="2"/>
      </rPr>
      <t xml:space="preserve"> 10/15/2023</t>
    </r>
  </si>
  <si>
    <r>
      <rPr>
        <b/>
        <sz val="14"/>
        <color rgb="FF000000"/>
        <rFont val="Arial"/>
        <family val="2"/>
      </rPr>
      <t>INVOICE DUE DATE :</t>
    </r>
    <r>
      <rPr>
        <sz val="14"/>
        <color rgb="FF000000"/>
        <rFont val="Arial"/>
        <family val="2"/>
      </rPr>
      <t xml:space="preserve"> 11/15/2023</t>
    </r>
  </si>
  <si>
    <t>Contact Number. 96555 67890</t>
  </si>
  <si>
    <r>
      <rPr>
        <b/>
        <sz val="14"/>
        <color rgb="FF000000"/>
        <rFont val="Arial"/>
        <family val="2"/>
      </rPr>
      <t>INVOICE NO:</t>
    </r>
    <r>
      <rPr>
        <sz val="14"/>
        <color rgb="FF000000"/>
        <rFont val="Arial"/>
        <family val="2"/>
      </rPr>
      <t xml:space="preserve"> 82155-23</t>
    </r>
  </si>
  <si>
    <r>
      <rPr>
        <b/>
        <sz val="14"/>
        <color rgb="FF000000"/>
        <rFont val="Arial"/>
        <family val="2"/>
      </rPr>
      <t xml:space="preserve">DATE: </t>
    </r>
    <r>
      <rPr>
        <sz val="14"/>
        <color rgb="FF000000"/>
        <rFont val="Arial"/>
        <family val="2"/>
      </rPr>
      <t xml:space="preserve"> 11/15/2023</t>
    </r>
  </si>
  <si>
    <r>
      <rPr>
        <b/>
        <sz val="14"/>
        <color rgb="FF000000"/>
        <rFont val="Arial"/>
        <family val="2"/>
      </rPr>
      <t>INVOICE DUE DATE</t>
    </r>
    <r>
      <rPr>
        <sz val="14"/>
        <color rgb="FF000000"/>
        <rFont val="Arial"/>
        <family val="2"/>
      </rPr>
      <t xml:space="preserve"> : 12/15/2023</t>
    </r>
  </si>
  <si>
    <t>Steel Horse Motors Vegas Inc.</t>
  </si>
  <si>
    <r>
      <rPr>
        <b/>
        <sz val="14"/>
        <color rgb="FF000000"/>
        <rFont val="Arial"/>
        <family val="2"/>
      </rPr>
      <t>INVOICE NO:</t>
    </r>
    <r>
      <rPr>
        <sz val="14"/>
        <color rgb="FF000000"/>
        <rFont val="Arial"/>
        <family val="2"/>
      </rPr>
      <t xml:space="preserve"> 82174-23</t>
    </r>
  </si>
  <si>
    <t>3770 South Las Vegas Boulevard</t>
  </si>
  <si>
    <r>
      <rPr>
        <b/>
        <sz val="14"/>
        <color rgb="FF000000"/>
        <rFont val="Arial"/>
        <family val="2"/>
      </rPr>
      <t xml:space="preserve">DATE: </t>
    </r>
    <r>
      <rPr>
        <sz val="14"/>
        <color rgb="FF000000"/>
        <rFont val="Arial"/>
        <family val="2"/>
      </rPr>
      <t xml:space="preserve"> 12/15/2023</t>
    </r>
  </si>
  <si>
    <t>Las Vegas, USA, 89109</t>
  </si>
  <si>
    <r>
      <rPr>
        <b/>
        <sz val="14"/>
        <color rgb="FF000000"/>
        <rFont val="Arial"/>
        <family val="2"/>
      </rPr>
      <t>INVOICE DUE DATE</t>
    </r>
    <r>
      <rPr>
        <sz val="14"/>
        <color rgb="FF000000"/>
        <rFont val="Arial"/>
        <family val="2"/>
      </rPr>
      <t xml:space="preserve"> : 01/01/2024</t>
    </r>
  </si>
  <si>
    <t>Contact Number. 702 555 234</t>
  </si>
  <si>
    <r>
      <rPr>
        <b/>
        <sz val="14"/>
        <color rgb="FF000000"/>
        <rFont val="Arial"/>
        <family val="2"/>
      </rPr>
      <t>INVOICE NO:</t>
    </r>
    <r>
      <rPr>
        <sz val="14"/>
        <color rgb="FF000000"/>
        <rFont val="Arial"/>
        <family val="2"/>
      </rPr>
      <t xml:space="preserve"> 82233-24</t>
    </r>
  </si>
  <si>
    <r>
      <rPr>
        <b/>
        <sz val="14"/>
        <color rgb="FF000000"/>
        <rFont val="Arial"/>
        <family val="2"/>
      </rPr>
      <t xml:space="preserve">DATE: </t>
    </r>
    <r>
      <rPr>
        <sz val="14"/>
        <color rgb="FF000000"/>
        <rFont val="Arial"/>
        <family val="2"/>
      </rPr>
      <t xml:space="preserve"> 01/01/2024</t>
    </r>
  </si>
  <si>
    <r>
      <rPr>
        <b/>
        <sz val="14"/>
        <color rgb="FF000000"/>
        <rFont val="Arial"/>
        <family val="2"/>
      </rPr>
      <t>INVOICE DUE DATE</t>
    </r>
    <r>
      <rPr>
        <sz val="14"/>
        <color rgb="FF000000"/>
        <rFont val="Arial"/>
        <family val="2"/>
      </rPr>
      <t xml:space="preserve"> : 02/01/2024</t>
    </r>
  </si>
  <si>
    <t xml:space="preserve">Balance Due </t>
  </si>
  <si>
    <t>Steel Horse Motors NY Inc.</t>
  </si>
  <si>
    <r>
      <rPr>
        <b/>
        <sz val="14"/>
        <color rgb="FF000000"/>
        <rFont val="Arial"/>
        <family val="2"/>
      </rPr>
      <t>INVOICE NO:</t>
    </r>
    <r>
      <rPr>
        <sz val="14"/>
        <color rgb="FF000000"/>
        <rFont val="Arial"/>
        <family val="2"/>
      </rPr>
      <t xml:space="preserve"> 82266-24</t>
    </r>
  </si>
  <si>
    <t>350 5th Avenue, New York</t>
  </si>
  <si>
    <r>
      <t xml:space="preserve">DATE: </t>
    </r>
    <r>
      <rPr>
        <sz val="14"/>
        <color rgb="FF000000"/>
        <rFont val="Arial"/>
        <family val="2"/>
      </rPr>
      <t>02/01/2024</t>
    </r>
  </si>
  <si>
    <t>USA, 10118</t>
  </si>
  <si>
    <r>
      <rPr>
        <b/>
        <sz val="14"/>
        <color rgb="FF000000"/>
        <rFont val="Arial"/>
        <family val="2"/>
      </rPr>
      <t>INVOICE DUE DATE</t>
    </r>
    <r>
      <rPr>
        <sz val="14"/>
        <color rgb="FF000000"/>
        <rFont val="Arial"/>
        <family val="2"/>
      </rPr>
      <t xml:space="preserve"> : 03/01/2024</t>
    </r>
  </si>
  <si>
    <t>Contact Number. 22 987 6543</t>
  </si>
  <si>
    <r>
      <rPr>
        <b/>
        <sz val="14"/>
        <color rgb="FF000000"/>
        <rFont val="Arial"/>
        <family val="2"/>
      </rPr>
      <t xml:space="preserve">INVOICE NO: </t>
    </r>
    <r>
      <rPr>
        <sz val="14"/>
        <color rgb="FF000000"/>
        <rFont val="Arial"/>
        <family val="2"/>
      </rPr>
      <t>82497-24</t>
    </r>
  </si>
  <si>
    <r>
      <rPr>
        <b/>
        <sz val="14"/>
        <color rgb="FF000000"/>
        <rFont val="Arial"/>
        <family val="2"/>
      </rPr>
      <t xml:space="preserve">DATE: </t>
    </r>
    <r>
      <rPr>
        <sz val="14"/>
        <color rgb="FF000000"/>
        <rFont val="Arial"/>
        <family val="2"/>
      </rPr>
      <t xml:space="preserve"> 03/01/2024</t>
    </r>
  </si>
  <si>
    <r>
      <rPr>
        <b/>
        <sz val="14"/>
        <color rgb="FF000000"/>
        <rFont val="Arial"/>
        <family val="2"/>
      </rPr>
      <t>INVOICE DUE DATE</t>
    </r>
    <r>
      <rPr>
        <sz val="14"/>
        <color rgb="FF000000"/>
        <rFont val="Arial"/>
        <family val="2"/>
      </rPr>
      <t xml:space="preserve"> : 04/01/2024</t>
    </r>
  </si>
  <si>
    <r>
      <rPr>
        <b/>
        <sz val="14"/>
        <color rgb="FF000000"/>
        <rFont val="Arial"/>
        <family val="2"/>
      </rPr>
      <t>INVOICE NO:</t>
    </r>
    <r>
      <rPr>
        <sz val="14"/>
        <color rgb="FF000000"/>
        <rFont val="Arial"/>
        <family val="2"/>
      </rPr>
      <t xml:space="preserve"> 82523-24</t>
    </r>
  </si>
  <si>
    <r>
      <t xml:space="preserve">DATE: </t>
    </r>
    <r>
      <rPr>
        <sz val="14"/>
        <color rgb="FF000000"/>
        <rFont val="Arial"/>
        <family val="2"/>
      </rPr>
      <t>04/01/2024</t>
    </r>
  </si>
  <si>
    <r>
      <rPr>
        <b/>
        <sz val="14"/>
        <color rgb="FF000000"/>
        <rFont val="Arial"/>
        <family val="2"/>
      </rPr>
      <t>INVOICE DUE DATE</t>
    </r>
    <r>
      <rPr>
        <sz val="14"/>
        <color rgb="FF000000"/>
        <rFont val="Arial"/>
        <family val="2"/>
      </rPr>
      <t xml:space="preserve"> : 05/01/2024</t>
    </r>
  </si>
  <si>
    <t>INVOICE NO: 82541-24</t>
  </si>
  <si>
    <r>
      <t xml:space="preserve">DATE: </t>
    </r>
    <r>
      <rPr>
        <sz val="14"/>
        <color rgb="FF000000"/>
        <rFont val="Arial"/>
        <family val="2"/>
      </rPr>
      <t>05/01/2024</t>
    </r>
  </si>
  <si>
    <r>
      <rPr>
        <b/>
        <sz val="14"/>
        <color rgb="FF000000"/>
        <rFont val="Arial"/>
        <family val="2"/>
      </rPr>
      <t>INVOICE DUE DATE</t>
    </r>
    <r>
      <rPr>
        <sz val="14"/>
        <color rgb="FF000000"/>
        <rFont val="Arial"/>
        <family val="2"/>
      </rPr>
      <t xml:space="preserve"> : 06/01/2024</t>
    </r>
  </si>
  <si>
    <t>Contact Number. 9120630359</t>
  </si>
  <si>
    <t xml:space="preserve">                    INVOICE</t>
  </si>
  <si>
    <r>
      <rPr>
        <sz val="26"/>
        <color rgb="FFC22114"/>
        <rFont val="Arial"/>
        <family val="2"/>
      </rPr>
      <t xml:space="preserve">Udupi Restaurant
</t>
    </r>
    <r>
      <rPr>
        <sz val="12"/>
        <color rgb="FFC22114"/>
        <rFont val="Arial"/>
        <family val="2"/>
      </rPr>
      <t>8341 Brigade Road, Nasik,
 Maharashtra- 625620</t>
    </r>
  </si>
  <si>
    <t xml:space="preserve">Adnan Shikshin 
C/o Steel Horse Auto Assembly Chennai Ltd 
House No 249,Road No 11,Rajiv Gandhi Nagar,Chennai,Tamil Nadu. </t>
  </si>
  <si>
    <t>INVOICE NO : 82300-24
DATE :09-03-2024</t>
  </si>
  <si>
    <t>Description</t>
  </si>
  <si>
    <t>Qty</t>
  </si>
  <si>
    <t>Rate</t>
  </si>
  <si>
    <t>Discount</t>
  </si>
  <si>
    <t>Amount</t>
  </si>
  <si>
    <t>BUFFET (VEG)</t>
  </si>
  <si>
    <t>Total</t>
  </si>
  <si>
    <t>THANK YOU FOR YOUR VISIT</t>
  </si>
  <si>
    <t>Add : GST @ 9.69%</t>
  </si>
  <si>
    <t>Balance Due :</t>
  </si>
  <si>
    <t>Grand Total</t>
  </si>
  <si>
    <t xml:space="preserve">                   INVOICE</t>
  </si>
  <si>
    <r>
      <rPr>
        <sz val="26"/>
        <color rgb="FFC22114"/>
        <rFont val="Arial"/>
        <family val="2"/>
      </rPr>
      <t xml:space="preserve">Udupi Restaurant
</t>
    </r>
    <r>
      <rPr>
        <sz val="12"/>
        <color rgb="FFC22114"/>
        <rFont val="Arial"/>
        <family val="2"/>
      </rPr>
      <t xml:space="preserve">8341 Brigade Road, Nasik,
 Maharashtra- 625620
</t>
    </r>
  </si>
  <si>
    <t>INVOICE NO : 82290-24
DATE : 13-01-2024</t>
  </si>
  <si>
    <t>INVOICE NO : 82488-24
DATE : 14-06-2024</t>
  </si>
  <si>
    <r>
      <rPr>
        <sz val="18"/>
        <color theme="3"/>
        <rFont val="Arial"/>
        <family val="2"/>
      </rPr>
      <t xml:space="preserve">       </t>
    </r>
    <r>
      <rPr>
        <sz val="22"/>
        <color theme="3"/>
        <rFont val="Arial"/>
        <family val="2"/>
      </rPr>
      <t>Ayurvedic Wellness</t>
    </r>
    <r>
      <rPr>
        <sz val="14"/>
        <color theme="3"/>
        <rFont val="Arial"/>
        <family val="2"/>
      </rPr>
      <t xml:space="preserve">
     8341 Brigade Road, PUNE- 625620</t>
    </r>
  </si>
  <si>
    <t>TAX Amount</t>
  </si>
  <si>
    <t>SKINCARE WELLNESS PACK</t>
  </si>
  <si>
    <t>Payment Method : Cash</t>
  </si>
  <si>
    <t>ROUND OFF</t>
  </si>
  <si>
    <t xml:space="preserve"> Paid :</t>
  </si>
  <si>
    <t>This is a computer Generated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</si>
</sst>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m/d/yy"/>
    <numFmt numFmtId="165" formatCode="_ [$₹-4009]\ * #,##0.00_ ;_ [$₹-4009]\ * \-#,##0.00_ ;_ [$₹-4009]\ * &quot;-&quot;??_ ;_ @_ "/>
    <numFmt numFmtId="166" formatCode="&quot;$&quot;\ #,##0.00"/>
    <numFmt numFmtId="167" formatCode="[$₹-439]#,##0.00"/>
    <numFmt numFmtId="168" formatCode="[$₹-44A]#,##0.00"/>
    <numFmt numFmtId="169" formatCode="_ [$₹-439]* #,##0.00_ ;_ [$₹-439]* \-#,##0.00_ ;_ [$₹-439]* &quot;-&quot;??_ ;_ @_ "/>
    <numFmt numFmtId="170" formatCode="[$₹-439]#,##0"/>
  </numFmts>
  <fonts count="34">
    <font>
      <sz val="10"/>
      <color rgb="FF000000"/>
      <name val="Arial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2"/>
      <color theme="5" tint="-0.499984740745262"/>
      <name val="Arial"/>
      <family val="2"/>
    </font>
    <font>
      <b/>
      <sz val="14"/>
      <color theme="5" tint="-0.499984740745262"/>
      <name val="Arial"/>
      <family val="2"/>
    </font>
    <font>
      <b/>
      <sz val="11"/>
      <color theme="0"/>
      <name val="Arial"/>
      <family val="2"/>
    </font>
    <font>
      <b/>
      <sz val="22"/>
      <color theme="0"/>
      <name val="Arial"/>
      <family val="2"/>
    </font>
    <font>
      <sz val="12"/>
      <color theme="1"/>
      <name val="Arial"/>
      <family val="2"/>
    </font>
    <font>
      <sz val="26"/>
      <color rgb="FFC22114"/>
      <name val="Arial"/>
      <family val="2"/>
    </font>
    <font>
      <sz val="12"/>
      <color rgb="FFC221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sz val="14"/>
      <color rgb="FFFFFFFF"/>
      <name val="Arial"/>
      <family val="2"/>
    </font>
    <font>
      <b/>
      <u/>
      <sz val="14"/>
      <color rgb="FF000000"/>
      <name val="Arial"/>
      <family val="2"/>
    </font>
    <font>
      <sz val="14"/>
      <color theme="3"/>
      <name val="Arial"/>
      <family val="2"/>
    </font>
    <font>
      <sz val="18"/>
      <color theme="3"/>
      <name val="Arial"/>
      <family val="2"/>
    </font>
    <font>
      <sz val="22"/>
      <color theme="3"/>
      <name val="Arial"/>
      <family val="2"/>
    </font>
    <font>
      <b/>
      <sz val="12"/>
      <color rgb="FF404040"/>
      <name val="Arial"/>
      <family val="2"/>
    </font>
    <font>
      <b/>
      <sz val="18"/>
      <color rgb="FFFFFFFF"/>
      <name val="Arial"/>
      <family val="2"/>
    </font>
    <font>
      <i/>
      <sz val="12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0"/>
      <color theme="5" tint="-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rgb="FF1F65A6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rgb="FFBBDEF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/>
  </cellStyleXfs>
  <cellXfs count="232">
    <xf numFmtId="0" fontId="0" fillId="0" borderId="0" xfId="0"/>
    <xf numFmtId="0" fontId="5" fillId="0" borderId="0" xfId="1"/>
    <xf numFmtId="0" fontId="3" fillId="0" borderId="9" xfId="1" applyFont="1" applyBorder="1" applyAlignment="1">
      <alignment vertical="center"/>
    </xf>
    <xf numFmtId="0" fontId="3" fillId="9" borderId="17" xfId="1" applyFont="1" applyFill="1" applyBorder="1" applyAlignment="1">
      <alignment vertical="center"/>
    </xf>
    <xf numFmtId="0" fontId="3" fillId="0" borderId="18" xfId="1" applyFont="1" applyBorder="1" applyAlignment="1">
      <alignment vertical="center"/>
    </xf>
    <xf numFmtId="43" fontId="8" fillId="0" borderId="10" xfId="2" applyFont="1" applyFill="1" applyBorder="1" applyAlignment="1">
      <alignment horizontal="right" vertical="center"/>
    </xf>
    <xf numFmtId="0" fontId="4" fillId="0" borderId="18" xfId="1" applyFont="1" applyBorder="1" applyAlignment="1">
      <alignment vertical="center"/>
    </xf>
    <xf numFmtId="166" fontId="3" fillId="0" borderId="10" xfId="2" applyNumberFormat="1" applyFont="1" applyFill="1" applyBorder="1" applyAlignment="1">
      <alignment horizontal="right" vertical="center"/>
    </xf>
    <xf numFmtId="167" fontId="3" fillId="0" borderId="18" xfId="1" applyNumberFormat="1" applyFont="1" applyBorder="1" applyAlignment="1">
      <alignment horizontal="center" vertical="center"/>
    </xf>
    <xf numFmtId="167" fontId="3" fillId="0" borderId="10" xfId="2" applyNumberFormat="1" applyFont="1" applyFill="1" applyBorder="1" applyAlignment="1">
      <alignment horizontal="right" vertical="center"/>
    </xf>
    <xf numFmtId="167" fontId="3" fillId="0" borderId="8" xfId="2" applyNumberFormat="1" applyFont="1" applyFill="1" applyBorder="1" applyAlignment="1">
      <alignment horizontal="right" vertical="center"/>
    </xf>
    <xf numFmtId="0" fontId="3" fillId="11" borderId="20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20" fillId="0" borderId="0" xfId="0" applyFont="1"/>
    <xf numFmtId="0" fontId="20" fillId="3" borderId="0" xfId="0" applyFont="1" applyFill="1"/>
    <xf numFmtId="0" fontId="3" fillId="11" borderId="27" xfId="1" applyFont="1" applyFill="1" applyBorder="1" applyAlignment="1">
      <alignment horizontal="center" vertical="center"/>
    </xf>
    <xf numFmtId="4" fontId="3" fillId="11" borderId="28" xfId="1" applyNumberFormat="1" applyFont="1" applyFill="1" applyBorder="1" applyAlignment="1">
      <alignment horizontal="center" vertical="center"/>
    </xf>
    <xf numFmtId="167" fontId="3" fillId="0" borderId="26" xfId="2" applyNumberFormat="1" applyFont="1" applyFill="1" applyBorder="1" applyAlignment="1">
      <alignment horizontal="right" vertical="center"/>
    </xf>
    <xf numFmtId="0" fontId="4" fillId="0" borderId="29" xfId="1" applyFont="1" applyBorder="1" applyAlignment="1">
      <alignment vertical="center"/>
    </xf>
    <xf numFmtId="43" fontId="4" fillId="0" borderId="26" xfId="2" applyFont="1" applyFill="1" applyBorder="1" applyAlignment="1">
      <alignment horizontal="right" vertical="center"/>
    </xf>
    <xf numFmtId="0" fontId="3" fillId="0" borderId="29" xfId="1" applyFont="1" applyBorder="1" applyAlignment="1">
      <alignment vertical="center"/>
    </xf>
    <xf numFmtId="43" fontId="8" fillId="0" borderId="26" xfId="2" applyFont="1" applyFill="1" applyBorder="1" applyAlignment="1">
      <alignment horizontal="right" vertical="center"/>
    </xf>
    <xf numFmtId="43" fontId="3" fillId="0" borderId="26" xfId="2" applyFont="1" applyFill="1" applyBorder="1" applyAlignment="1">
      <alignment horizontal="right" vertical="center"/>
    </xf>
    <xf numFmtId="0" fontId="3" fillId="0" borderId="30" xfId="1" applyFont="1" applyBorder="1" applyAlignment="1">
      <alignment vertical="center"/>
    </xf>
    <xf numFmtId="168" fontId="3" fillId="9" borderId="31" xfId="2" applyNumberFormat="1" applyFont="1" applyFill="1" applyBorder="1" applyAlignment="1">
      <alignment horizontal="right" vertical="center"/>
    </xf>
    <xf numFmtId="168" fontId="3" fillId="0" borderId="33" xfId="2" applyNumberFormat="1" applyFont="1" applyFill="1" applyBorder="1" applyAlignment="1">
      <alignment horizontal="right" vertical="center"/>
    </xf>
    <xf numFmtId="168" fontId="3" fillId="0" borderId="26" xfId="2" applyNumberFormat="1" applyFont="1" applyFill="1" applyBorder="1" applyAlignment="1">
      <alignment horizontal="right" vertical="center"/>
    </xf>
    <xf numFmtId="168" fontId="6" fillId="12" borderId="36" xfId="2" applyNumberFormat="1" applyFont="1" applyFill="1" applyBorder="1" applyAlignment="1">
      <alignment horizontal="right" vertical="center"/>
    </xf>
    <xf numFmtId="0" fontId="9" fillId="9" borderId="29" xfId="1" applyFont="1" applyFill="1" applyBorder="1" applyAlignment="1">
      <alignment horizontal="left" vertical="center"/>
    </xf>
    <xf numFmtId="0" fontId="9" fillId="9" borderId="9" xfId="1" applyFont="1" applyFill="1" applyBorder="1"/>
    <xf numFmtId="167" fontId="3" fillId="0" borderId="40" xfId="1" applyNumberFormat="1" applyFont="1" applyBorder="1" applyAlignment="1">
      <alignment horizontal="center" vertical="center"/>
    </xf>
    <xf numFmtId="0" fontId="9" fillId="9" borderId="9" xfId="1" applyFont="1" applyFill="1" applyBorder="1" applyAlignment="1">
      <alignment horizontal="left" vertical="center"/>
    </xf>
    <xf numFmtId="0" fontId="1" fillId="0" borderId="0" xfId="0" applyFont="1"/>
    <xf numFmtId="0" fontId="19" fillId="2" borderId="23" xfId="0" applyFont="1" applyFill="1" applyBorder="1"/>
    <xf numFmtId="0" fontId="20" fillId="0" borderId="0" xfId="0" applyFont="1" applyAlignment="1">
      <alignment horizontal="left" vertical="center"/>
    </xf>
    <xf numFmtId="0" fontId="33" fillId="6" borderId="20" xfId="1" applyFont="1" applyFill="1" applyBorder="1" applyAlignment="1">
      <alignment horizontal="center" vertical="center"/>
    </xf>
    <xf numFmtId="0" fontId="33" fillId="6" borderId="21" xfId="1" applyFont="1" applyFill="1" applyBorder="1" applyAlignment="1">
      <alignment horizontal="left" vertical="center"/>
    </xf>
    <xf numFmtId="4" fontId="33" fillId="6" borderId="19" xfId="1" applyNumberFormat="1" applyFont="1" applyFill="1" applyBorder="1" applyAlignment="1">
      <alignment horizontal="center" vertical="center"/>
    </xf>
    <xf numFmtId="0" fontId="31" fillId="9" borderId="14" xfId="1" applyFont="1" applyFill="1" applyBorder="1" applyAlignment="1">
      <alignment horizontal="right"/>
    </xf>
    <xf numFmtId="167" fontId="3" fillId="9" borderId="62" xfId="2" applyNumberFormat="1" applyFont="1" applyFill="1" applyBorder="1" applyAlignment="1">
      <alignment horizontal="right" vertical="center"/>
    </xf>
    <xf numFmtId="0" fontId="20" fillId="0" borderId="9" xfId="0" applyFont="1" applyBorder="1"/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/>
    <xf numFmtId="0" fontId="19" fillId="2" borderId="67" xfId="0" applyFont="1" applyFill="1" applyBorder="1"/>
    <xf numFmtId="0" fontId="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0" fontId="20" fillId="0" borderId="1" xfId="0" applyNumberFormat="1" applyFont="1" applyBorder="1" applyAlignment="1">
      <alignment horizontal="right" vertical="center"/>
    </xf>
    <xf numFmtId="0" fontId="2" fillId="0" borderId="68" xfId="0" applyFont="1" applyBorder="1" applyAlignment="1">
      <alignment horizontal="center"/>
    </xf>
    <xf numFmtId="0" fontId="20" fillId="0" borderId="68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0" fontId="20" fillId="0" borderId="20" xfId="0" applyNumberFormat="1" applyFont="1" applyBorder="1" applyAlignment="1">
      <alignment horizontal="right" vertical="center"/>
    </xf>
    <xf numFmtId="0" fontId="20" fillId="0" borderId="21" xfId="0" applyFont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170" fontId="6" fillId="7" borderId="12" xfId="2" applyNumberFormat="1" applyFont="1" applyFill="1" applyBorder="1" applyAlignment="1">
      <alignment horizontal="right" vertical="center"/>
    </xf>
    <xf numFmtId="0" fontId="3" fillId="9" borderId="76" xfId="1" applyFont="1" applyFill="1" applyBorder="1" applyAlignment="1">
      <alignment horizontal="right"/>
    </xf>
    <xf numFmtId="170" fontId="3" fillId="0" borderId="40" xfId="1" applyNumberFormat="1" applyFont="1" applyBorder="1" applyAlignment="1">
      <alignment horizontal="center" vertical="center"/>
    </xf>
    <xf numFmtId="170" fontId="3" fillId="9" borderId="62" xfId="2" applyNumberFormat="1" applyFont="1" applyFill="1" applyBorder="1" applyAlignment="1">
      <alignment horizontal="right" vertical="center"/>
    </xf>
    <xf numFmtId="170" fontId="3" fillId="0" borderId="8" xfId="2" applyNumberFormat="1" applyFont="1" applyFill="1" applyBorder="1" applyAlignment="1">
      <alignment horizontal="right" vertical="center"/>
    </xf>
    <xf numFmtId="170" fontId="3" fillId="0" borderId="10" xfId="2" applyNumberFormat="1" applyFont="1" applyFill="1" applyBorder="1" applyAlignment="1">
      <alignment horizontal="right" vertical="center"/>
    </xf>
    <xf numFmtId="0" fontId="19" fillId="2" borderId="7" xfId="0" applyFont="1" applyFill="1" applyBorder="1" applyAlignment="1">
      <alignment horizontal="right"/>
    </xf>
    <xf numFmtId="0" fontId="19" fillId="2" borderId="8" xfId="0" applyFont="1" applyFill="1" applyBorder="1" applyAlignment="1">
      <alignment horizontal="right"/>
    </xf>
    <xf numFmtId="0" fontId="21" fillId="2" borderId="0" xfId="0" applyFont="1" applyFill="1" applyAlignment="1">
      <alignment horizontal="right"/>
    </xf>
    <xf numFmtId="0" fontId="21" fillId="2" borderId="10" xfId="0" applyFont="1" applyFill="1" applyBorder="1" applyAlignment="1">
      <alignment horizontal="right"/>
    </xf>
    <xf numFmtId="164" fontId="20" fillId="0" borderId="0" xfId="0" applyNumberFormat="1" applyFont="1" applyAlignment="1">
      <alignment horizontal="left" vertical="center"/>
    </xf>
    <xf numFmtId="164" fontId="20" fillId="0" borderId="10" xfId="0" applyNumberFormat="1" applyFont="1" applyBorder="1" applyAlignment="1">
      <alignment horizontal="left" vertical="center"/>
    </xf>
    <xf numFmtId="0" fontId="27" fillId="2" borderId="9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165" fontId="17" fillId="5" borderId="0" xfId="0" applyNumberFormat="1" applyFont="1" applyFill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2" fillId="0" borderId="70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7" xfId="0" applyFont="1" applyBorder="1" applyAlignment="1">
      <alignment horizontal="left" vertical="center"/>
    </xf>
    <xf numFmtId="0" fontId="17" fillId="0" borderId="0" xfId="0" applyFont="1" applyAlignment="1">
      <alignment horizontal="right" vertical="center"/>
    </xf>
    <xf numFmtId="165" fontId="17" fillId="0" borderId="4" xfId="0" applyNumberFormat="1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5" fontId="20" fillId="0" borderId="1" xfId="0" applyNumberFormat="1" applyFont="1" applyBorder="1" applyAlignment="1">
      <alignment horizontal="center" vertical="center"/>
    </xf>
    <xf numFmtId="165" fontId="20" fillId="0" borderId="69" xfId="0" applyNumberFormat="1" applyFont="1" applyBorder="1" applyAlignment="1">
      <alignment horizontal="center" vertical="center"/>
    </xf>
    <xf numFmtId="0" fontId="17" fillId="5" borderId="68" xfId="0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right" vertical="center"/>
    </xf>
    <xf numFmtId="0" fontId="17" fillId="0" borderId="0" xfId="0" applyFont="1" applyAlignment="1">
      <alignment vertical="center"/>
    </xf>
    <xf numFmtId="165" fontId="17" fillId="0" borderId="2" xfId="0" applyNumberFormat="1" applyFont="1" applyBorder="1" applyAlignment="1">
      <alignment vertical="center"/>
    </xf>
    <xf numFmtId="0" fontId="17" fillId="0" borderId="62" xfId="0" applyFont="1" applyBorder="1" applyAlignment="1">
      <alignment vertical="center"/>
    </xf>
    <xf numFmtId="0" fontId="17" fillId="0" borderId="42" xfId="0" applyFont="1" applyBorder="1" applyAlignment="1">
      <alignment horizontal="right" vertical="center"/>
    </xf>
    <xf numFmtId="165" fontId="17" fillId="0" borderId="62" xfId="0" applyNumberFormat="1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6" fillId="0" borderId="9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66" xfId="0" applyFont="1" applyBorder="1" applyAlignment="1">
      <alignment horizontal="left" vertical="top" wrapText="1"/>
    </xf>
    <xf numFmtId="0" fontId="26" fillId="0" borderId="42" xfId="0" applyFont="1" applyBorder="1" applyAlignment="1">
      <alignment horizontal="left" vertical="top" wrapText="1"/>
    </xf>
    <xf numFmtId="169" fontId="21" fillId="2" borderId="42" xfId="0" applyNumberFormat="1" applyFont="1" applyFill="1" applyBorder="1" applyAlignment="1">
      <alignment horizontal="center"/>
    </xf>
    <xf numFmtId="169" fontId="21" fillId="2" borderId="55" xfId="0" applyNumberFormat="1" applyFont="1" applyFill="1" applyBorder="1" applyAlignment="1">
      <alignment horizontal="center"/>
    </xf>
    <xf numFmtId="0" fontId="19" fillId="2" borderId="46" xfId="0" applyFont="1" applyFill="1" applyBorder="1" applyAlignment="1">
      <alignment horizontal="center"/>
    </xf>
    <xf numFmtId="0" fontId="19" fillId="2" borderId="42" xfId="0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165" fontId="20" fillId="0" borderId="20" xfId="0" applyNumberFormat="1" applyFont="1" applyBorder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165" fontId="17" fillId="5" borderId="1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26" fillId="4" borderId="72" xfId="0" applyFont="1" applyFill="1" applyBorder="1" applyAlignment="1">
      <alignment horizontal="left" vertical="top" wrapText="1"/>
    </xf>
    <xf numFmtId="0" fontId="26" fillId="4" borderId="38" xfId="0" applyFont="1" applyFill="1" applyBorder="1" applyAlignment="1">
      <alignment horizontal="left" vertical="top" wrapText="1"/>
    </xf>
    <xf numFmtId="169" fontId="21" fillId="2" borderId="48" xfId="0" applyNumberFormat="1" applyFont="1" applyFill="1" applyBorder="1" applyAlignment="1">
      <alignment horizontal="center" vertical="top"/>
    </xf>
    <xf numFmtId="169" fontId="21" fillId="2" borderId="49" xfId="0" applyNumberFormat="1" applyFont="1" applyFill="1" applyBorder="1" applyAlignment="1">
      <alignment horizontal="center" vertical="top"/>
    </xf>
    <xf numFmtId="169" fontId="21" fillId="2" borderId="73" xfId="0" applyNumberFormat="1" applyFont="1" applyFill="1" applyBorder="1" applyAlignment="1">
      <alignment horizontal="center" vertical="top"/>
    </xf>
    <xf numFmtId="0" fontId="2" fillId="0" borderId="9" xfId="0" applyFont="1" applyBorder="1" applyAlignment="1">
      <alignment horizontal="left" vertical="center"/>
    </xf>
    <xf numFmtId="0" fontId="20" fillId="0" borderId="41" xfId="0" applyFont="1" applyBorder="1" applyAlignment="1">
      <alignment horizontal="left" vertical="center"/>
    </xf>
    <xf numFmtId="0" fontId="17" fillId="0" borderId="3" xfId="0" applyFont="1" applyBorder="1" applyAlignment="1">
      <alignment horizontal="right" vertical="center"/>
    </xf>
    <xf numFmtId="0" fontId="26" fillId="4" borderId="9" xfId="0" applyFont="1" applyFill="1" applyBorder="1" applyAlignment="1">
      <alignment horizontal="left" vertical="top" wrapText="1"/>
    </xf>
    <xf numFmtId="0" fontId="26" fillId="4" borderId="0" xfId="0" applyFont="1" applyFill="1" applyAlignment="1">
      <alignment horizontal="left" vertical="top" wrapText="1"/>
    </xf>
    <xf numFmtId="0" fontId="19" fillId="2" borderId="23" xfId="0" applyFont="1" applyFill="1" applyBorder="1" applyAlignment="1">
      <alignment horizontal="center"/>
    </xf>
    <xf numFmtId="0" fontId="19" fillId="2" borderId="67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7" fillId="5" borderId="21" xfId="0" applyFont="1" applyFill="1" applyBorder="1" applyAlignment="1">
      <alignment horizontal="right" vertical="center"/>
    </xf>
    <xf numFmtId="0" fontId="17" fillId="5" borderId="20" xfId="0" applyFont="1" applyFill="1" applyBorder="1" applyAlignment="1">
      <alignment horizontal="right" vertical="center"/>
    </xf>
    <xf numFmtId="165" fontId="17" fillId="5" borderId="20" xfId="0" applyNumberFormat="1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0" fontId="26" fillId="4" borderId="66" xfId="0" applyFont="1" applyFill="1" applyBorder="1" applyAlignment="1">
      <alignment horizontal="left" vertical="top" wrapText="1"/>
    </xf>
    <xf numFmtId="0" fontId="26" fillId="4" borderId="42" xfId="0" applyFont="1" applyFill="1" applyBorder="1" applyAlignment="1">
      <alignment horizontal="left" vertical="top" wrapText="1"/>
    </xf>
    <xf numFmtId="169" fontId="21" fillId="2" borderId="42" xfId="0" applyNumberFormat="1" applyFont="1" applyFill="1" applyBorder="1" applyAlignment="1">
      <alignment horizontal="center" vertical="top"/>
    </xf>
    <xf numFmtId="169" fontId="21" fillId="2" borderId="55" xfId="0" applyNumberFormat="1" applyFont="1" applyFill="1" applyBorder="1" applyAlignment="1">
      <alignment horizontal="center" vertical="top"/>
    </xf>
    <xf numFmtId="165" fontId="17" fillId="0" borderId="11" xfId="0" applyNumberFormat="1" applyFont="1" applyBorder="1" applyAlignment="1">
      <alignment vertical="center"/>
    </xf>
    <xf numFmtId="165" fontId="17" fillId="0" borderId="74" xfId="0" applyNumberFormat="1" applyFont="1" applyBorder="1" applyAlignment="1">
      <alignment vertical="center"/>
    </xf>
    <xf numFmtId="0" fontId="19" fillId="2" borderId="0" xfId="0" applyFont="1" applyFill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5" fontId="17" fillId="0" borderId="44" xfId="0" applyNumberFormat="1" applyFont="1" applyBorder="1" applyAlignment="1">
      <alignment vertical="center"/>
    </xf>
    <xf numFmtId="165" fontId="17" fillId="0" borderId="75" xfId="0" applyNumberFormat="1" applyFont="1" applyBorder="1" applyAlignment="1">
      <alignment vertical="center"/>
    </xf>
    <xf numFmtId="0" fontId="3" fillId="0" borderId="63" xfId="1" applyFont="1" applyBorder="1" applyAlignment="1">
      <alignment horizontal="center" vertical="center"/>
    </xf>
    <xf numFmtId="0" fontId="3" fillId="0" borderId="64" xfId="1" applyFont="1" applyBorder="1" applyAlignment="1">
      <alignment horizontal="center" vertical="center"/>
    </xf>
    <xf numFmtId="0" fontId="3" fillId="0" borderId="65" xfId="1" applyFont="1" applyBorder="1" applyAlignment="1">
      <alignment horizontal="center" vertical="center"/>
    </xf>
    <xf numFmtId="0" fontId="7" fillId="9" borderId="16" xfId="1" applyFont="1" applyFill="1" applyBorder="1" applyAlignment="1">
      <alignment horizontal="center" vertical="center" wrapText="1"/>
    </xf>
    <xf numFmtId="0" fontId="7" fillId="9" borderId="15" xfId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2" fillId="7" borderId="14" xfId="1" applyFont="1" applyFill="1" applyBorder="1" applyAlignment="1">
      <alignment vertical="center"/>
    </xf>
    <xf numFmtId="0" fontId="32" fillId="7" borderId="13" xfId="1" applyFont="1" applyFill="1" applyBorder="1" applyAlignment="1">
      <alignment vertical="center"/>
    </xf>
    <xf numFmtId="0" fontId="13" fillId="10" borderId="50" xfId="1" applyFont="1" applyFill="1" applyBorder="1" applyAlignment="1">
      <alignment horizontal="center" vertical="center" wrapText="1"/>
    </xf>
    <xf numFmtId="0" fontId="13" fillId="10" borderId="51" xfId="1" applyFont="1" applyFill="1" applyBorder="1" applyAlignment="1">
      <alignment horizontal="center" vertical="center" wrapText="1"/>
    </xf>
    <xf numFmtId="0" fontId="12" fillId="10" borderId="51" xfId="1" applyFont="1" applyFill="1" applyBorder="1" applyAlignment="1">
      <alignment horizontal="center" vertical="center" wrapText="1"/>
    </xf>
    <xf numFmtId="0" fontId="12" fillId="10" borderId="52" xfId="1" applyFont="1" applyFill="1" applyBorder="1" applyAlignment="1">
      <alignment horizontal="center" vertical="center" wrapText="1"/>
    </xf>
    <xf numFmtId="0" fontId="11" fillId="8" borderId="2" xfId="1" applyFont="1" applyFill="1" applyBorder="1" applyAlignment="1">
      <alignment horizontal="left" vertical="center" wrapText="1"/>
    </xf>
    <xf numFmtId="0" fontId="11" fillId="8" borderId="58" xfId="1" applyFont="1" applyFill="1" applyBorder="1" applyAlignment="1">
      <alignment horizontal="left" vertical="center" wrapText="1"/>
    </xf>
    <xf numFmtId="0" fontId="10" fillId="8" borderId="56" xfId="1" applyFont="1" applyFill="1" applyBorder="1" applyAlignment="1">
      <alignment horizontal="left" vertical="center" wrapText="1"/>
    </xf>
    <xf numFmtId="0" fontId="10" fillId="8" borderId="3" xfId="1" applyFont="1" applyFill="1" applyBorder="1" applyAlignment="1">
      <alignment horizontal="left" vertical="center" wrapText="1"/>
    </xf>
    <xf numFmtId="0" fontId="10" fillId="8" borderId="57" xfId="1" applyFont="1" applyFill="1" applyBorder="1" applyAlignment="1">
      <alignment horizontal="left" vertical="center" wrapText="1"/>
    </xf>
    <xf numFmtId="0" fontId="10" fillId="8" borderId="59" xfId="1" applyFont="1" applyFill="1" applyBorder="1" applyAlignment="1">
      <alignment horizontal="left" vertical="center" wrapText="1"/>
    </xf>
    <xf numFmtId="0" fontId="10" fillId="8" borderId="60" xfId="1" applyFont="1" applyFill="1" applyBorder="1" applyAlignment="1">
      <alignment horizontal="left" vertical="center" wrapText="1"/>
    </xf>
    <xf numFmtId="0" fontId="10" fillId="8" borderId="61" xfId="1" applyFont="1" applyFill="1" applyBorder="1" applyAlignment="1">
      <alignment horizontal="left" vertical="center" wrapText="1"/>
    </xf>
    <xf numFmtId="0" fontId="15" fillId="9" borderId="53" xfId="1" applyFont="1" applyFill="1" applyBorder="1" applyAlignment="1">
      <alignment horizontal="center" vertical="top" wrapText="1"/>
    </xf>
    <xf numFmtId="0" fontId="15" fillId="9" borderId="46" xfId="1" applyFont="1" applyFill="1" applyBorder="1" applyAlignment="1">
      <alignment horizontal="center" vertical="top" wrapText="1"/>
    </xf>
    <xf numFmtId="0" fontId="15" fillId="9" borderId="54" xfId="1" applyFont="1" applyFill="1" applyBorder="1" applyAlignment="1">
      <alignment horizontal="center" vertical="top" wrapText="1"/>
    </xf>
    <xf numFmtId="0" fontId="7" fillId="9" borderId="16" xfId="1" applyFont="1" applyFill="1" applyBorder="1" applyAlignment="1">
      <alignment horizontal="left" vertical="center" wrapText="1"/>
    </xf>
    <xf numFmtId="0" fontId="7" fillId="9" borderId="15" xfId="1" applyFont="1" applyFill="1" applyBorder="1" applyAlignment="1">
      <alignment horizontal="left" vertical="center" wrapText="1"/>
    </xf>
    <xf numFmtId="0" fontId="11" fillId="8" borderId="14" xfId="1" applyFont="1" applyFill="1" applyBorder="1" applyAlignment="1">
      <alignment horizontal="left" vertical="center" wrapText="1"/>
    </xf>
    <xf numFmtId="0" fontId="10" fillId="8" borderId="45" xfId="1" applyFont="1" applyFill="1" applyBorder="1" applyAlignment="1">
      <alignment horizontal="left" vertical="center" wrapText="1"/>
    </xf>
    <xf numFmtId="0" fontId="10" fillId="8" borderId="46" xfId="1" applyFont="1" applyFill="1" applyBorder="1" applyAlignment="1">
      <alignment horizontal="left" vertical="center" wrapText="1"/>
    </xf>
    <xf numFmtId="0" fontId="10" fillId="8" borderId="54" xfId="1" applyFont="1" applyFill="1" applyBorder="1" applyAlignment="1">
      <alignment horizontal="left" vertical="center" wrapText="1"/>
    </xf>
    <xf numFmtId="0" fontId="10" fillId="8" borderId="47" xfId="1" applyFont="1" applyFill="1" applyBorder="1" applyAlignment="1">
      <alignment horizontal="left" vertical="center" wrapText="1"/>
    </xf>
    <xf numFmtId="0" fontId="10" fillId="8" borderId="42" xfId="1" applyFont="1" applyFill="1" applyBorder="1" applyAlignment="1">
      <alignment horizontal="left" vertical="center" wrapText="1"/>
    </xf>
    <xf numFmtId="0" fontId="10" fillId="8" borderId="55" xfId="1" applyFont="1" applyFill="1" applyBorder="1" applyAlignment="1">
      <alignment horizontal="left" vertical="center" wrapText="1"/>
    </xf>
    <xf numFmtId="0" fontId="28" fillId="0" borderId="25" xfId="1" applyFont="1" applyBorder="1" applyAlignment="1">
      <alignment horizontal="center" wrapText="1"/>
    </xf>
    <xf numFmtId="0" fontId="28" fillId="0" borderId="0" xfId="1" applyFont="1" applyAlignment="1">
      <alignment horizontal="center" wrapText="1"/>
    </xf>
    <xf numFmtId="0" fontId="28" fillId="0" borderId="26" xfId="1" applyFont="1" applyBorder="1" applyAlignment="1">
      <alignment horizontal="center" wrapText="1"/>
    </xf>
    <xf numFmtId="0" fontId="28" fillId="0" borderId="37" xfId="1" applyFont="1" applyBorder="1" applyAlignment="1">
      <alignment horizontal="center" wrapText="1"/>
    </xf>
    <xf numFmtId="0" fontId="28" fillId="0" borderId="38" xfId="1" applyFont="1" applyBorder="1" applyAlignment="1">
      <alignment horizontal="center" wrapText="1"/>
    </xf>
    <xf numFmtId="0" fontId="28" fillId="0" borderId="39" xfId="1" applyFont="1" applyBorder="1" applyAlignment="1">
      <alignment horizontal="center" wrapText="1"/>
    </xf>
    <xf numFmtId="0" fontId="13" fillId="11" borderId="22" xfId="1" applyFont="1" applyFill="1" applyBorder="1" applyAlignment="1">
      <alignment horizontal="center" vertical="center" wrapText="1"/>
    </xf>
    <xf numFmtId="0" fontId="13" fillId="11" borderId="23" xfId="1" applyFont="1" applyFill="1" applyBorder="1" applyAlignment="1">
      <alignment horizontal="center" vertical="center" wrapText="1"/>
    </xf>
    <xf numFmtId="0" fontId="29" fillId="11" borderId="23" xfId="1" applyFont="1" applyFill="1" applyBorder="1" applyAlignment="1">
      <alignment horizontal="center" vertical="center" wrapText="1"/>
    </xf>
    <xf numFmtId="0" fontId="30" fillId="11" borderId="24" xfId="1" applyFont="1" applyFill="1" applyBorder="1" applyAlignment="1">
      <alignment horizontal="center" vertical="center" wrapText="1"/>
    </xf>
    <xf numFmtId="0" fontId="17" fillId="12" borderId="25" xfId="1" applyFont="1" applyFill="1" applyBorder="1" applyAlignment="1">
      <alignment horizontal="left" vertical="center" wrapText="1"/>
    </xf>
    <xf numFmtId="0" fontId="14" fillId="12" borderId="0" xfId="1" applyFont="1" applyFill="1" applyAlignment="1">
      <alignment horizontal="left" vertical="center" wrapText="1"/>
    </xf>
    <xf numFmtId="0" fontId="14" fillId="12" borderId="26" xfId="1" applyFont="1" applyFill="1" applyBorder="1" applyAlignment="1">
      <alignment horizontal="left" vertical="center" wrapText="1"/>
    </xf>
    <xf numFmtId="0" fontId="7" fillId="12" borderId="32" xfId="1" applyFont="1" applyFill="1" applyBorder="1" applyAlignment="1">
      <alignment horizontal="left" vertical="center" wrapText="1"/>
    </xf>
    <xf numFmtId="0" fontId="7" fillId="12" borderId="34" xfId="1" applyFont="1" applyFill="1" applyBorder="1" applyAlignment="1">
      <alignment horizontal="left" vertical="center" wrapText="1"/>
    </xf>
    <xf numFmtId="0" fontId="7" fillId="12" borderId="35" xfId="1" applyFont="1" applyFill="1" applyBorder="1" applyAlignment="1">
      <alignment horizontal="left" vertical="center" wrapText="1"/>
    </xf>
    <xf numFmtId="0" fontId="6" fillId="12" borderId="14" xfId="1" applyFont="1" applyFill="1" applyBorder="1" applyAlignment="1">
      <alignment vertical="center"/>
    </xf>
    <xf numFmtId="0" fontId="6" fillId="12" borderId="13" xfId="1" applyFont="1" applyFill="1" applyBorder="1" applyAlignment="1">
      <alignment vertical="center"/>
    </xf>
    <xf numFmtId="0" fontId="23" fillId="9" borderId="25" xfId="1" applyFont="1" applyFill="1" applyBorder="1" applyAlignment="1">
      <alignment horizontal="center" vertical="top" wrapText="1"/>
    </xf>
    <xf numFmtId="0" fontId="23" fillId="9" borderId="0" xfId="1" applyFont="1" applyFill="1" applyAlignment="1">
      <alignment horizontal="center" vertical="top"/>
    </xf>
    <xf numFmtId="0" fontId="23" fillId="9" borderId="26" xfId="1" applyFont="1" applyFill="1" applyBorder="1" applyAlignment="1">
      <alignment horizontal="center" vertical="top"/>
    </xf>
    <xf numFmtId="0" fontId="11" fillId="8" borderId="53" xfId="1" applyFont="1" applyFill="1" applyBorder="1" applyAlignment="1">
      <alignment horizontal="left" vertical="center" wrapText="1"/>
    </xf>
    <xf numFmtId="0" fontId="18" fillId="2" borderId="6" xfId="0" applyFont="1" applyFill="1" applyBorder="1" applyAlignment="1"/>
    <xf numFmtId="0" fontId="18" fillId="2" borderId="7" xfId="0" applyFont="1" applyFill="1" applyBorder="1" applyAlignment="1"/>
    <xf numFmtId="0" fontId="18" fillId="2" borderId="9" xfId="0" applyFont="1" applyFill="1" applyBorder="1" applyAlignment="1"/>
    <xf numFmtId="0" fontId="18" fillId="2" borderId="0" xfId="0" applyFont="1" applyFill="1" applyAlignment="1"/>
    <xf numFmtId="0" fontId="20" fillId="0" borderId="9" xfId="0" applyFont="1" applyBorder="1" applyAlignment="1"/>
    <xf numFmtId="0" fontId="20" fillId="0" borderId="0" xfId="0" applyFont="1" applyAlignment="1"/>
    <xf numFmtId="0" fontId="2" fillId="0" borderId="9" xfId="0" applyFont="1" applyBorder="1" applyAlignment="1"/>
    <xf numFmtId="0" fontId="2" fillId="0" borderId="0" xfId="0" applyFont="1" applyAlignment="1"/>
    <xf numFmtId="0" fontId="2" fillId="0" borderId="5" xfId="0" applyFont="1" applyBorder="1" applyAlignment="1"/>
    <xf numFmtId="0" fontId="20" fillId="0" borderId="71" xfId="0" applyFont="1" applyBorder="1" applyAlignment="1"/>
    <xf numFmtId="0" fontId="20" fillId="0" borderId="60" xfId="0" applyFont="1" applyBorder="1" applyAlignment="1"/>
    <xf numFmtId="0" fontId="20" fillId="0" borderId="61" xfId="0" applyFont="1" applyBorder="1" applyAlignment="1"/>
    <xf numFmtId="0" fontId="2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1" xfId="0" applyFont="1" applyBorder="1" applyAlignment="1"/>
    <xf numFmtId="0" fontId="20" fillId="0" borderId="66" xfId="0" applyFont="1" applyBorder="1" applyAlignment="1"/>
    <xf numFmtId="0" fontId="20" fillId="0" borderId="42" xfId="0" applyFont="1" applyBorder="1" applyAlignment="1"/>
    <xf numFmtId="0" fontId="20" fillId="0" borderId="43" xfId="0" applyFont="1" applyBorder="1" applyAlignment="1"/>
    <xf numFmtId="0" fontId="15" fillId="9" borderId="53" xfId="1" applyFont="1" applyFill="1" applyBorder="1" applyAlignment="1">
      <alignment horizontal="center" vertical="center" wrapText="1"/>
    </xf>
    <xf numFmtId="0" fontId="15" fillId="9" borderId="46" xfId="1" applyFont="1" applyFill="1" applyBorder="1" applyAlignment="1">
      <alignment horizontal="center" vertical="center" wrapText="1"/>
    </xf>
    <xf numFmtId="0" fontId="15" fillId="9" borderId="54" xfId="1" applyFont="1" applyFill="1" applyBorder="1" applyAlignment="1">
      <alignment horizontal="center" vertical="center" wrapText="1"/>
    </xf>
  </cellXfs>
  <cellStyles count="3">
    <cellStyle name="Comma 2" xfId="2" xr:uid="{79D79E0C-7BE6-4943-A65C-F3268A33CB02}"/>
    <cellStyle name="Normal" xfId="0" builtinId="0"/>
    <cellStyle name="Normal 2" xfId="1" xr:uid="{4DB921C6-DE45-4885-A163-DD08CB28E0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11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8057FBE4-82B7-437C-A060-74E4868952A5}"/>
            </a:ext>
          </a:extLst>
        </xdr:cNvPr>
        <xdr:cNvGrpSpPr/>
      </xdr:nvGrpSpPr>
      <xdr:grpSpPr>
        <a:xfrm>
          <a:off x="1" y="2476500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957C9E-D46B-ECB5-E688-67C390C43F41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E35635EE-C546-4B8B-8369-BF139251557D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7AF587D-7BA2-100B-2B8D-05BD4E078869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DACCEC3A-704A-4741-8A77-D4426E3134B8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F23D3F13-6942-B6A3-0450-40E0E7DCE111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11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5F2194F1-8CB9-4C93-AC4D-524AAB2BF81F}"/>
            </a:ext>
          </a:extLst>
        </xdr:cNvPr>
        <xdr:cNvGrpSpPr/>
      </xdr:nvGrpSpPr>
      <xdr:grpSpPr>
        <a:xfrm>
          <a:off x="1" y="2476500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AC6A92B4-0033-B2C5-6404-DD069BB1F9B3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9C032336-E3F5-462C-A538-C1F4B8C249DD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35F5AFA-12CA-95EC-3B2F-9A74B1447246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1BB4BF6A-D039-4FC1-BE3D-21057B3D71C0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9586EFB3-996F-C38E-72FC-648A3B575DD8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647794DE-EB27-4082-B87C-B0226ED28693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E01FA4AC-8419-0CB5-A3ED-ED32A4FFD689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11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970D667-894A-48B8-A5FD-3BFE07CACD63}"/>
            </a:ext>
          </a:extLst>
        </xdr:cNvPr>
        <xdr:cNvGrpSpPr/>
      </xdr:nvGrpSpPr>
      <xdr:grpSpPr>
        <a:xfrm>
          <a:off x="1" y="2476500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CEA8614D-6144-B7BF-F3D1-C6A33CC78041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BA43936F-9724-435A-9EEE-A1A1546C5CAD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79F09431-EE93-BEA4-0FA8-7A63B69A5A3C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5F9CEED2-09FF-4098-9D8B-B46F0F6ECED1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15A9B1A4-CDFB-75D4-4124-714161865145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961283C5-27D1-4153-B4DA-EB528FD60C03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029E68BF-AABB-0B68-4AA7-24B95EA98683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1384864A-DBDC-46DB-BBA4-179F53C4858B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073D6FE4-8DC6-1E67-7390-E9833730D645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2" name="Shape 2" title="Drawing">
          <a:extLst>
            <a:ext uri="{FF2B5EF4-FFF2-40B4-BE49-F238E27FC236}">
              <a16:creationId xmlns:a16="http://schemas.microsoft.com/office/drawing/2014/main" id="{F5E85324-9045-4DCC-8B9A-14381355E4F1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3" name="Shape 3">
            <a:extLst>
              <a:ext uri="{FF2B5EF4-FFF2-40B4-BE49-F238E27FC236}">
                <a16:creationId xmlns:a16="http://schemas.microsoft.com/office/drawing/2014/main" id="{199DDEBD-E619-EEC9-3BA8-A829FE33D423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5</xdr:row>
      <xdr:rowOff>0</xdr:rowOff>
    </xdr:from>
    <xdr:ext cx="6088379" cy="251460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D101B43A-E6B5-4507-8DA6-E0182EA2DBBE}"/>
            </a:ext>
          </a:extLst>
        </xdr:cNvPr>
        <xdr:cNvGrpSpPr/>
      </xdr:nvGrpSpPr>
      <xdr:grpSpPr>
        <a:xfrm>
          <a:off x="0" y="1162050"/>
          <a:ext cx="6088379" cy="251460"/>
          <a:chOff x="-9700" y="678775"/>
          <a:chExt cx="6390000" cy="0"/>
        </a:xfrm>
      </xdr:grpSpPr>
      <xdr:cxnSp macro="">
        <xdr:nvCxnSpPr>
          <xdr:cNvPr id="15" name="Shape 3">
            <a:extLst>
              <a:ext uri="{FF2B5EF4-FFF2-40B4-BE49-F238E27FC236}">
                <a16:creationId xmlns:a16="http://schemas.microsoft.com/office/drawing/2014/main" id="{3D3AE62F-B245-9DE0-C560-6A5974297E83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951DFB49-B611-48E1-949D-ADC5E09395CA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CC9B47B5-BA9A-AF7C-4C6E-32BCD2216894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49BBC997-171F-4982-A665-D4A760FF68A4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E20F3A53-CF52-C0D8-66A6-CF34E4797028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6FA723B-052B-4F2F-8DE9-5422205BB7CD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D526CB33-78CF-6C6E-FE3C-BBB0DAB0B6DB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07D7843F-3378-40B7-B656-3D2FB3BE0A65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6EE02123-1CF5-987F-4C74-6AA4FAD79021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2" name="Shape 2" title="Drawing">
          <a:extLst>
            <a:ext uri="{FF2B5EF4-FFF2-40B4-BE49-F238E27FC236}">
              <a16:creationId xmlns:a16="http://schemas.microsoft.com/office/drawing/2014/main" id="{1330546F-46A9-461B-9A49-102460C9E16D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3" name="Shape 3">
            <a:extLst>
              <a:ext uri="{FF2B5EF4-FFF2-40B4-BE49-F238E27FC236}">
                <a16:creationId xmlns:a16="http://schemas.microsoft.com/office/drawing/2014/main" id="{8F00FB62-604D-0CA5-9959-054A2815BF5D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457200</xdr:colOff>
      <xdr:row>19</xdr:row>
      <xdr:rowOff>0</xdr:rowOff>
    </xdr:from>
    <xdr:ext cx="5966459" cy="190500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4B92C9F6-C642-4908-9987-5D8C0B8AD542}"/>
            </a:ext>
          </a:extLst>
        </xdr:cNvPr>
        <xdr:cNvGrpSpPr/>
      </xdr:nvGrpSpPr>
      <xdr:grpSpPr>
        <a:xfrm>
          <a:off x="457200" y="4924425"/>
          <a:ext cx="5966459" cy="190500"/>
          <a:chOff x="-9700" y="678775"/>
          <a:chExt cx="6390000" cy="0"/>
        </a:xfrm>
      </xdr:grpSpPr>
      <xdr:cxnSp macro="">
        <xdr:nvCxnSpPr>
          <xdr:cNvPr id="15" name="Shape 3">
            <a:extLst>
              <a:ext uri="{FF2B5EF4-FFF2-40B4-BE49-F238E27FC236}">
                <a16:creationId xmlns:a16="http://schemas.microsoft.com/office/drawing/2014/main" id="{E71BDE72-5204-0895-D956-E64017799CD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11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D7398885-F531-43C4-BB95-3C1D3945A90F}"/>
            </a:ext>
          </a:extLst>
        </xdr:cNvPr>
        <xdr:cNvGrpSpPr/>
      </xdr:nvGrpSpPr>
      <xdr:grpSpPr>
        <a:xfrm>
          <a:off x="1" y="2476500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2586982B-D064-775F-5C4F-8DA7C4E2AAF4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F7B5D10F-8B19-44BE-AE13-6920F07F708E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F18F6B55-4A90-BF56-ADAE-7FDD8502810C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BE7A487A-D16C-4264-B5B9-F0A1FF5B8C26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E48B0F8A-6559-59BE-3EA9-A6C31519829E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E3B52BDD-E770-46FB-B1C6-3F4FBD18B0FC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8582F2F6-9339-B2E5-0C1E-74C1E88C300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98A1C0E4-CC58-4C93-99D6-C4F29E183DF0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32F4278E-3D45-BFBE-86C5-42F8ABD052D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2" name="Shape 2" title="Drawing">
          <a:extLst>
            <a:ext uri="{FF2B5EF4-FFF2-40B4-BE49-F238E27FC236}">
              <a16:creationId xmlns:a16="http://schemas.microsoft.com/office/drawing/2014/main" id="{CDF69369-1CDC-49C2-9956-1403CEB935BE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3" name="Shape 3">
            <a:extLst>
              <a:ext uri="{FF2B5EF4-FFF2-40B4-BE49-F238E27FC236}">
                <a16:creationId xmlns:a16="http://schemas.microsoft.com/office/drawing/2014/main" id="{9A266BD2-356A-DBE8-6AB4-5832A11FFDED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7E8C8EAB-E4E6-4A22-900F-23FCE0E76395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5" name="Shape 3">
            <a:extLst>
              <a:ext uri="{FF2B5EF4-FFF2-40B4-BE49-F238E27FC236}">
                <a16:creationId xmlns:a16="http://schemas.microsoft.com/office/drawing/2014/main" id="{AC896FF7-07B1-310C-EA31-91F21F9F089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11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5C499D89-24E7-49C1-AEC4-B64450B99F92}"/>
            </a:ext>
          </a:extLst>
        </xdr:cNvPr>
        <xdr:cNvGrpSpPr/>
      </xdr:nvGrpSpPr>
      <xdr:grpSpPr>
        <a:xfrm>
          <a:off x="1" y="2476500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B44C24BD-392E-8DCC-D3F9-FF0E1B598338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7426F0F-4E33-42F7-BDD2-68B209D81FB1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DBB3D45D-088F-715A-5142-38044E030F49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105F6934-0FC1-444C-8346-B8294DE79E93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2A1B7D5A-F061-2D25-4240-3AA98F24AB7A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82688078-08F9-403A-BDCB-4760A52511EF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B20D159F-7FEF-F51D-AA65-666072F9A4C3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1CFB5B77-1257-48F1-A2D5-9A1CCD2EF7BF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C0D821AC-FCCD-FD74-3577-8A8784BA2359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2" name="Shape 2" title="Drawing">
          <a:extLst>
            <a:ext uri="{FF2B5EF4-FFF2-40B4-BE49-F238E27FC236}">
              <a16:creationId xmlns:a16="http://schemas.microsoft.com/office/drawing/2014/main" id="{95AD47DB-0326-4A6C-928A-AA41ABEF2AFE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3" name="Shape 3">
            <a:extLst>
              <a:ext uri="{FF2B5EF4-FFF2-40B4-BE49-F238E27FC236}">
                <a16:creationId xmlns:a16="http://schemas.microsoft.com/office/drawing/2014/main" id="{0CDA7AEB-6BD4-E07A-3743-5ACA3097EB61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8E71D1E2-BF2C-41F5-BB31-9EC9972815D2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5" name="Shape 3">
            <a:extLst>
              <a:ext uri="{FF2B5EF4-FFF2-40B4-BE49-F238E27FC236}">
                <a16:creationId xmlns:a16="http://schemas.microsoft.com/office/drawing/2014/main" id="{60BAB613-A692-F020-A050-860C9FF55967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6" name="Shape 2" title="Drawing">
          <a:extLst>
            <a:ext uri="{FF2B5EF4-FFF2-40B4-BE49-F238E27FC236}">
              <a16:creationId xmlns:a16="http://schemas.microsoft.com/office/drawing/2014/main" id="{6BAC5D94-3197-439B-93B8-3C28312395A1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7" name="Shape 3">
            <a:extLst>
              <a:ext uri="{FF2B5EF4-FFF2-40B4-BE49-F238E27FC236}">
                <a16:creationId xmlns:a16="http://schemas.microsoft.com/office/drawing/2014/main" id="{A20B8703-CC37-032E-128D-BF9E369D888C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11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AA838572-DEC7-4BD4-8A46-C489D1A3B326}"/>
            </a:ext>
          </a:extLst>
        </xdr:cNvPr>
        <xdr:cNvGrpSpPr/>
      </xdr:nvGrpSpPr>
      <xdr:grpSpPr>
        <a:xfrm>
          <a:off x="1" y="2476500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D894506F-5BCD-9868-94E8-23CB15A3BD64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FC0A8E6A-B9B8-40A6-9CF3-1E8991956C19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1CF4127A-250A-D3B2-E7EE-79905E7A3E8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08F6B260-582F-4AFA-AAC0-26BC5908464B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3F4F01DF-93F5-7092-F8F0-C2048A6E02AD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5920A1F8-DAE0-4367-979B-409CE60BEE40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E0BE227B-DA6A-496A-7566-0494DC4B67EB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E00CECDA-0997-4C96-AC9D-D19E869F1E00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5B4B5522-4527-D68E-3BB1-6D836B10ED55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2" name="Shape 2" title="Drawing">
          <a:extLst>
            <a:ext uri="{FF2B5EF4-FFF2-40B4-BE49-F238E27FC236}">
              <a16:creationId xmlns:a16="http://schemas.microsoft.com/office/drawing/2014/main" id="{B8BA5F44-279F-4C80-BDD4-CBC9780C9CCB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3" name="Shape 3">
            <a:extLst>
              <a:ext uri="{FF2B5EF4-FFF2-40B4-BE49-F238E27FC236}">
                <a16:creationId xmlns:a16="http://schemas.microsoft.com/office/drawing/2014/main" id="{666EF12B-39DD-6F8F-35B0-3B0A38420D49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F52057FC-EFD5-4684-9DA8-FE727B2B79DB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5" name="Shape 3">
            <a:extLst>
              <a:ext uri="{FF2B5EF4-FFF2-40B4-BE49-F238E27FC236}">
                <a16:creationId xmlns:a16="http://schemas.microsoft.com/office/drawing/2014/main" id="{23C97832-5937-3049-C3AE-D2B11199694A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6" name="Shape 2" title="Drawing">
          <a:extLst>
            <a:ext uri="{FF2B5EF4-FFF2-40B4-BE49-F238E27FC236}">
              <a16:creationId xmlns:a16="http://schemas.microsoft.com/office/drawing/2014/main" id="{8A3479E5-7E8C-4FB0-82F8-B283B698F8A0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7" name="Shape 3">
            <a:extLst>
              <a:ext uri="{FF2B5EF4-FFF2-40B4-BE49-F238E27FC236}">
                <a16:creationId xmlns:a16="http://schemas.microsoft.com/office/drawing/2014/main" id="{9DE73E29-25C3-0328-3490-F75F13AB486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>
    <xdr:from>
      <xdr:col>0</xdr:col>
      <xdr:colOff>0</xdr:colOff>
      <xdr:row>5</xdr:row>
      <xdr:rowOff>0</xdr:rowOff>
    </xdr:from>
    <xdr:to>
      <xdr:col>5</xdr:col>
      <xdr:colOff>335279</xdr:colOff>
      <xdr:row>5</xdr:row>
      <xdr:rowOff>0</xdr:rowOff>
    </xdr:to>
    <xdr:cxnSp macro="">
      <xdr:nvCxnSpPr>
        <xdr:cNvPr id="18" name="Shape 3">
          <a:extLst>
            <a:ext uri="{FF2B5EF4-FFF2-40B4-BE49-F238E27FC236}">
              <a16:creationId xmlns:a16="http://schemas.microsoft.com/office/drawing/2014/main" id="{FCD1AD93-421F-435A-8AF7-500D7445CA1C}"/>
            </a:ext>
          </a:extLst>
        </xdr:cNvPr>
        <xdr:cNvCxnSpPr/>
      </xdr:nvCxnSpPr>
      <xdr:spPr>
        <a:xfrm>
          <a:off x="0" y="1209675"/>
          <a:ext cx="6088379" cy="0"/>
        </a:xfrm>
        <a:prstGeom prst="straightConnector1">
          <a:avLst/>
        </a:prstGeom>
        <a:noFill/>
        <a:ln w="9525" cap="flat" cmpd="sng">
          <a:solidFill>
            <a:srgbClr val="CCCCCC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11</xdr:row>
      <xdr:rowOff>0</xdr:rowOff>
    </xdr:from>
    <xdr:ext cx="6088379" cy="25146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E80B4081-D30C-4314-8A91-A4AC6499D568}"/>
            </a:ext>
          </a:extLst>
        </xdr:cNvPr>
        <xdr:cNvGrpSpPr/>
      </xdr:nvGrpSpPr>
      <xdr:grpSpPr>
        <a:xfrm>
          <a:off x="1" y="2476500"/>
          <a:ext cx="6088379" cy="25146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ABA0A83D-0BBC-BBAD-FFF0-0129297D150D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F46527EF-5DDF-43FD-8FA6-F0F1966A6D5B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F8A2EB7E-447F-E9DF-4FD8-86263971EA4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6" name="Shape 2" title="Drawing">
          <a:extLst>
            <a:ext uri="{FF2B5EF4-FFF2-40B4-BE49-F238E27FC236}">
              <a16:creationId xmlns:a16="http://schemas.microsoft.com/office/drawing/2014/main" id="{50ED2F73-2B13-49EA-8A2E-B8EEF1476BA1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CD4BEDCA-CC4E-DA99-5BF6-A2EF4595F57B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8A2F6EAD-1D7B-4CBC-B046-3BAC02E1F45E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F8B1E6D2-AC75-C6C7-DDE0-37BA4174FAA7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9C876B9E-1753-4416-8590-EE63525CD7AB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6CC2EC5B-53A0-E9C6-60DE-8114BB2BB7FC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2" name="Shape 2" title="Drawing">
          <a:extLst>
            <a:ext uri="{FF2B5EF4-FFF2-40B4-BE49-F238E27FC236}">
              <a16:creationId xmlns:a16="http://schemas.microsoft.com/office/drawing/2014/main" id="{A124A281-B990-4BBC-B855-666CDC73790A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3" name="Shape 3">
            <a:extLst>
              <a:ext uri="{FF2B5EF4-FFF2-40B4-BE49-F238E27FC236}">
                <a16:creationId xmlns:a16="http://schemas.microsoft.com/office/drawing/2014/main" id="{40738160-027A-1E99-AD1D-767E9CF9945E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A2D44E55-B763-401B-BD25-EE2C8B9F4E97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5" name="Shape 3">
            <a:extLst>
              <a:ext uri="{FF2B5EF4-FFF2-40B4-BE49-F238E27FC236}">
                <a16:creationId xmlns:a16="http://schemas.microsoft.com/office/drawing/2014/main" id="{84C95913-3317-A48F-6357-EEACA03B8452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6" name="Shape 2" title="Drawing">
          <a:extLst>
            <a:ext uri="{FF2B5EF4-FFF2-40B4-BE49-F238E27FC236}">
              <a16:creationId xmlns:a16="http://schemas.microsoft.com/office/drawing/2014/main" id="{58579DF8-461E-4106-AF54-DF2DF876F760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7" name="Shape 3">
            <a:extLst>
              <a:ext uri="{FF2B5EF4-FFF2-40B4-BE49-F238E27FC236}">
                <a16:creationId xmlns:a16="http://schemas.microsoft.com/office/drawing/2014/main" id="{B82689AE-587B-1E47-7C5B-B18020465DCF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0</xdr:colOff>
      <xdr:row>19</xdr:row>
      <xdr:rowOff>0</xdr:rowOff>
    </xdr:from>
    <xdr:ext cx="5966459" cy="190500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B3DF8872-480C-4C59-9FB4-13909E9512F3}"/>
            </a:ext>
          </a:extLst>
        </xdr:cNvPr>
        <xdr:cNvGrpSpPr/>
      </xdr:nvGrpSpPr>
      <xdr:grpSpPr>
        <a:xfrm>
          <a:off x="0" y="4924425"/>
          <a:ext cx="5966459" cy="190500"/>
          <a:chOff x="-9700" y="678775"/>
          <a:chExt cx="6390000" cy="0"/>
        </a:xfrm>
      </xdr:grpSpPr>
      <xdr:cxnSp macro="">
        <xdr:nvCxnSpPr>
          <xdr:cNvPr id="19" name="Shape 3">
            <a:extLst>
              <a:ext uri="{FF2B5EF4-FFF2-40B4-BE49-F238E27FC236}">
                <a16:creationId xmlns:a16="http://schemas.microsoft.com/office/drawing/2014/main" id="{C2238E19-7CAF-9522-FD11-6CDE319A1DC3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0</xdr:col>
      <xdr:colOff>1409700</xdr:colOff>
      <xdr:row>1</xdr:row>
      <xdr:rowOff>1000125</xdr:rowOff>
    </xdr:to>
    <xdr:pic>
      <xdr:nvPicPr>
        <xdr:cNvPr id="3" name="Picture 2" descr="Minimalist colorful WELLNESS AYURVEDIC logo design Stock Vector Image ...">
          <a:extLst>
            <a:ext uri="{FF2B5EF4-FFF2-40B4-BE49-F238E27FC236}">
              <a16:creationId xmlns:a16="http://schemas.microsoft.com/office/drawing/2014/main" id="{4226A754-9155-4056-B257-22E585E963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718"/>
        <a:stretch/>
      </xdr:blipFill>
      <xdr:spPr bwMode="auto">
        <a:xfrm>
          <a:off x="28575" y="28575"/>
          <a:ext cx="138112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DECF-2B7B-46AE-87BE-79E39B12B8FC}">
  <sheetPr>
    <tabColor rgb="FFFF0000"/>
    <pageSetUpPr fitToPage="1"/>
  </sheetPr>
  <dimension ref="A1:H35"/>
  <sheetViews>
    <sheetView view="pageBreakPreview" zoomScale="60" zoomScaleNormal="100" workbookViewId="0">
      <selection activeCell="C10" sqref="A10:D10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42" t="s">
        <v>5</v>
      </c>
      <c r="E6" s="72" t="s">
        <v>6</v>
      </c>
      <c r="F6" s="72"/>
      <c r="G6" s="72"/>
      <c r="H6" s="73"/>
    </row>
    <row r="7" spans="1:8">
      <c r="A7" s="42" t="s">
        <v>7</v>
      </c>
      <c r="E7" s="72" t="s">
        <v>8</v>
      </c>
      <c r="F7" s="72"/>
      <c r="G7" s="72"/>
      <c r="H7" s="73"/>
    </row>
    <row r="8" spans="1:8">
      <c r="A8" s="42" t="s">
        <v>9</v>
      </c>
      <c r="E8" s="72" t="s">
        <v>10</v>
      </c>
      <c r="F8" s="72"/>
      <c r="G8" s="72"/>
      <c r="H8" s="73"/>
    </row>
    <row r="9" spans="1:8">
      <c r="A9" s="42" t="s">
        <v>11</v>
      </c>
      <c r="E9" s="36"/>
      <c r="F9" s="36"/>
      <c r="G9" s="36"/>
      <c r="H9" s="43"/>
    </row>
    <row r="10" spans="1:8">
      <c r="A10" s="210" t="s">
        <v>12</v>
      </c>
      <c r="B10" s="211"/>
      <c r="C10" s="211"/>
      <c r="D10" s="211"/>
      <c r="H10" s="44"/>
    </row>
    <row r="11" spans="1:8">
      <c r="A11" s="210"/>
      <c r="B11" s="211"/>
      <c r="C11" s="211"/>
      <c r="D11" s="211"/>
      <c r="E11" s="67"/>
      <c r="F11" s="67"/>
      <c r="G11" s="67"/>
      <c r="H11" s="68"/>
    </row>
    <row r="12" spans="1:8">
      <c r="A12" s="82"/>
      <c r="B12" s="83"/>
      <c r="C12" s="83"/>
      <c r="D12" s="83"/>
      <c r="E12" s="84"/>
      <c r="F12" s="84"/>
      <c r="G12" s="84"/>
      <c r="H12" s="85"/>
    </row>
    <row r="13" spans="1:8" ht="22.15" customHeight="1">
      <c r="A13" s="50" t="s">
        <v>13</v>
      </c>
      <c r="B13" s="86" t="s">
        <v>14</v>
      </c>
      <c r="C13" s="87"/>
      <c r="D13" s="46" t="s">
        <v>15</v>
      </c>
      <c r="E13" s="46" t="s">
        <v>16</v>
      </c>
      <c r="F13" s="46" t="s">
        <v>17</v>
      </c>
      <c r="G13" s="86" t="s">
        <v>18</v>
      </c>
      <c r="H13" s="88"/>
    </row>
    <row r="14" spans="1:8" ht="72.599999999999994" customHeight="1">
      <c r="A14" s="51">
        <v>1</v>
      </c>
      <c r="B14" s="89" t="s">
        <v>19</v>
      </c>
      <c r="C14" s="90"/>
      <c r="D14" s="47">
        <v>1</v>
      </c>
      <c r="E14" s="48">
        <v>11396</v>
      </c>
      <c r="F14" s="49">
        <v>0.18</v>
      </c>
      <c r="G14" s="91">
        <f>D14*E14</f>
        <v>11396</v>
      </c>
      <c r="H14" s="92"/>
    </row>
    <row r="15" spans="1:8">
      <c r="A15" s="93" t="s">
        <v>20</v>
      </c>
      <c r="B15" s="94"/>
      <c r="C15" s="94"/>
      <c r="D15" s="94"/>
      <c r="E15" s="94"/>
      <c r="F15" s="94"/>
      <c r="G15" s="74">
        <f>SUM(G14:H14)</f>
        <v>11396</v>
      </c>
      <c r="H15" s="75"/>
    </row>
    <row r="16" spans="1:8">
      <c r="A16" s="76" t="s">
        <v>21</v>
      </c>
      <c r="B16" s="77"/>
      <c r="C16" s="78"/>
      <c r="D16" s="79" t="s">
        <v>22</v>
      </c>
      <c r="E16" s="79"/>
      <c r="F16" s="79"/>
      <c r="G16" s="80">
        <v>1104</v>
      </c>
      <c r="H16" s="81"/>
    </row>
    <row r="17" spans="1:8">
      <c r="A17" s="212" t="s">
        <v>23</v>
      </c>
      <c r="B17" s="213"/>
      <c r="C17" s="214"/>
      <c r="D17" s="95"/>
      <c r="E17" s="95"/>
      <c r="F17" s="95"/>
      <c r="G17" s="96"/>
      <c r="H17" s="97"/>
    </row>
    <row r="18" spans="1:8">
      <c r="A18" s="215"/>
      <c r="B18" s="216"/>
      <c r="C18" s="217"/>
      <c r="D18" s="98" t="s">
        <v>24</v>
      </c>
      <c r="E18" s="98"/>
      <c r="F18" s="98"/>
      <c r="G18" s="96">
        <v>12500</v>
      </c>
      <c r="H18" s="99"/>
    </row>
    <row r="19" spans="1:8">
      <c r="A19" s="106" t="s">
        <v>25</v>
      </c>
      <c r="B19" s="107"/>
      <c r="C19" s="107"/>
      <c r="D19" s="112" t="s">
        <v>26</v>
      </c>
      <c r="E19" s="112"/>
      <c r="F19" s="112"/>
      <c r="G19" s="35"/>
      <c r="H19" s="45"/>
    </row>
    <row r="20" spans="1:8">
      <c r="A20" s="108" t="s">
        <v>27</v>
      </c>
      <c r="B20" s="109"/>
      <c r="C20" s="109"/>
      <c r="D20" s="113"/>
      <c r="E20" s="113"/>
      <c r="F20" s="113"/>
      <c r="G20" s="110">
        <f>12500</f>
        <v>12500</v>
      </c>
      <c r="H20" s="111"/>
    </row>
    <row r="21" spans="1:8">
      <c r="A21" s="218" t="s">
        <v>28</v>
      </c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>
      <c r="A23" s="102"/>
      <c r="B23" s="100"/>
      <c r="C23" s="100"/>
      <c r="D23" s="100"/>
      <c r="E23" s="100"/>
      <c r="F23" s="100"/>
      <c r="G23" s="100"/>
      <c r="H23" s="101"/>
    </row>
    <row r="24" spans="1:8">
      <c r="A24" s="103"/>
      <c r="B24" s="104"/>
      <c r="C24" s="104"/>
      <c r="D24" s="104"/>
      <c r="E24" s="104"/>
      <c r="F24" s="104"/>
      <c r="G24" s="104"/>
      <c r="H24" s="105"/>
    </row>
    <row r="25" spans="1:8" ht="18" customHeight="1">
      <c r="A25" s="219" t="s">
        <v>29</v>
      </c>
      <c r="B25" s="220"/>
      <c r="C25" s="220"/>
      <c r="D25" s="220"/>
      <c r="E25" s="220"/>
      <c r="F25" s="220"/>
      <c r="G25" s="220"/>
      <c r="H25" s="221"/>
    </row>
    <row r="26" spans="1:8">
      <c r="A26" s="222"/>
      <c r="B26" s="223"/>
      <c r="C26" s="223"/>
      <c r="D26" s="223"/>
      <c r="E26" s="223"/>
      <c r="F26" s="223"/>
      <c r="G26" s="223"/>
      <c r="H26" s="224"/>
    </row>
    <row r="28" spans="1:8">
      <c r="A28" s="34"/>
    </row>
    <row r="29" spans="1:8">
      <c r="A29" s="34"/>
    </row>
    <row r="30" spans="1:8">
      <c r="A30" s="34"/>
    </row>
    <row r="33" spans="1:1">
      <c r="A33" s="34"/>
    </row>
    <row r="34" spans="1:1">
      <c r="A34" s="34"/>
    </row>
    <row r="35" spans="1:1">
      <c r="A35" s="34"/>
    </row>
  </sheetData>
  <mergeCells count="35">
    <mergeCell ref="A21:H24"/>
    <mergeCell ref="A25:H26"/>
    <mergeCell ref="A19:C19"/>
    <mergeCell ref="A20:C20"/>
    <mergeCell ref="G20:H20"/>
    <mergeCell ref="D19:F20"/>
    <mergeCell ref="A17:C17"/>
    <mergeCell ref="D17:F17"/>
    <mergeCell ref="G17:H17"/>
    <mergeCell ref="A18:C18"/>
    <mergeCell ref="D18:F18"/>
    <mergeCell ref="G18:H18"/>
    <mergeCell ref="G15:H15"/>
    <mergeCell ref="A16:C16"/>
    <mergeCell ref="D16:F16"/>
    <mergeCell ref="G16:H16"/>
    <mergeCell ref="A12:D12"/>
    <mergeCell ref="E12:H12"/>
    <mergeCell ref="B13:C13"/>
    <mergeCell ref="G13:H13"/>
    <mergeCell ref="B14:C14"/>
    <mergeCell ref="G14:H14"/>
    <mergeCell ref="A15:F15"/>
    <mergeCell ref="A11:D11"/>
    <mergeCell ref="E11:H11"/>
    <mergeCell ref="A5:H5"/>
    <mergeCell ref="E6:H6"/>
    <mergeCell ref="E7:H7"/>
    <mergeCell ref="E8:H8"/>
    <mergeCell ref="A10:D10"/>
    <mergeCell ref="A1:B4"/>
    <mergeCell ref="C1:H1"/>
    <mergeCell ref="C2:H2"/>
    <mergeCell ref="D3:H3"/>
    <mergeCell ref="D4:H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C483-3DF8-4B09-8494-EF2EF720038D}">
  <sheetPr>
    <tabColor rgb="FFFF0000"/>
    <pageSetUpPr fitToPage="1"/>
  </sheetPr>
  <dimension ref="A1:H25"/>
  <sheetViews>
    <sheetView zoomScaleNormal="100" workbookViewId="0">
      <selection activeCell="A11" sqref="A11:D11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42" t="s">
        <v>30</v>
      </c>
      <c r="E6" s="72" t="s">
        <v>31</v>
      </c>
      <c r="F6" s="72"/>
      <c r="G6" s="72"/>
      <c r="H6" s="73"/>
    </row>
    <row r="7" spans="1:8">
      <c r="A7" s="42" t="s">
        <v>32</v>
      </c>
      <c r="E7" s="72" t="s">
        <v>33</v>
      </c>
      <c r="F7" s="72"/>
      <c r="G7" s="72"/>
      <c r="H7" s="73"/>
    </row>
    <row r="8" spans="1:8">
      <c r="A8" s="42" t="s">
        <v>34</v>
      </c>
      <c r="E8" s="72" t="s">
        <v>35</v>
      </c>
      <c r="F8" s="72"/>
      <c r="G8" s="72"/>
      <c r="H8" s="73"/>
    </row>
    <row r="9" spans="1:8">
      <c r="A9" s="210" t="s">
        <v>12</v>
      </c>
      <c r="B9" s="211"/>
      <c r="C9" s="211"/>
      <c r="D9" s="211"/>
      <c r="H9" s="44"/>
    </row>
    <row r="10" spans="1:8">
      <c r="A10" s="210"/>
      <c r="B10" s="211"/>
      <c r="C10" s="211"/>
      <c r="D10" s="211"/>
      <c r="E10" s="67"/>
      <c r="F10" s="67"/>
      <c r="G10" s="67"/>
      <c r="H10" s="68"/>
    </row>
    <row r="11" spans="1:8">
      <c r="A11" s="82"/>
      <c r="B11" s="83"/>
      <c r="C11" s="83"/>
      <c r="D11" s="83"/>
      <c r="E11" s="84"/>
      <c r="F11" s="84"/>
      <c r="G11" s="84"/>
      <c r="H11" s="85"/>
    </row>
    <row r="12" spans="1:8">
      <c r="A12" s="50" t="s">
        <v>13</v>
      </c>
      <c r="B12" s="86" t="s">
        <v>14</v>
      </c>
      <c r="C12" s="87"/>
      <c r="D12" s="46" t="s">
        <v>15</v>
      </c>
      <c r="E12" s="46" t="s">
        <v>16</v>
      </c>
      <c r="F12" s="46" t="s">
        <v>17</v>
      </c>
      <c r="G12" s="86" t="s">
        <v>18</v>
      </c>
      <c r="H12" s="88"/>
    </row>
    <row r="13" spans="1:8" ht="72.599999999999994" customHeight="1">
      <c r="A13" s="55">
        <v>1</v>
      </c>
      <c r="B13" s="114" t="s">
        <v>19</v>
      </c>
      <c r="C13" s="115"/>
      <c r="D13" s="52">
        <v>1</v>
      </c>
      <c r="E13" s="53">
        <v>11396</v>
      </c>
      <c r="F13" s="54">
        <v>0.18</v>
      </c>
      <c r="G13" s="116">
        <f>D13*E13</f>
        <v>11396</v>
      </c>
      <c r="H13" s="117"/>
    </row>
    <row r="14" spans="1:8">
      <c r="A14" s="93" t="s">
        <v>20</v>
      </c>
      <c r="B14" s="94"/>
      <c r="C14" s="94"/>
      <c r="D14" s="94"/>
      <c r="E14" s="94"/>
      <c r="F14" s="94"/>
      <c r="G14" s="118">
        <f>SUM(G13:H13)</f>
        <v>11396</v>
      </c>
      <c r="H14" s="119"/>
    </row>
    <row r="15" spans="1:8">
      <c r="A15" s="125" t="s">
        <v>21</v>
      </c>
      <c r="B15" s="72"/>
      <c r="C15" s="126"/>
      <c r="D15" s="127" t="s">
        <v>22</v>
      </c>
      <c r="E15" s="127"/>
      <c r="F15" s="127"/>
      <c r="G15" s="96">
        <v>1104</v>
      </c>
      <c r="H15" s="97"/>
    </row>
    <row r="16" spans="1:8">
      <c r="A16" s="212" t="s">
        <v>23</v>
      </c>
      <c r="B16" s="213"/>
      <c r="C16" s="225"/>
      <c r="D16" s="79"/>
      <c r="E16" s="79"/>
      <c r="F16" s="79"/>
      <c r="G16" s="96"/>
      <c r="H16" s="97"/>
    </row>
    <row r="17" spans="1:8">
      <c r="A17" s="226"/>
      <c r="B17" s="227"/>
      <c r="C17" s="228"/>
      <c r="D17" s="79" t="s">
        <v>24</v>
      </c>
      <c r="E17" s="79"/>
      <c r="F17" s="79"/>
      <c r="G17" s="96">
        <v>12500</v>
      </c>
      <c r="H17" s="99"/>
    </row>
    <row r="18" spans="1:8">
      <c r="A18" s="128" t="s">
        <v>25</v>
      </c>
      <c r="B18" s="129"/>
      <c r="C18" s="129"/>
      <c r="D18" s="130" t="s">
        <v>26</v>
      </c>
      <c r="E18" s="130"/>
      <c r="F18" s="130"/>
      <c r="G18" s="130"/>
      <c r="H18" s="131"/>
    </row>
    <row r="19" spans="1:8">
      <c r="A19" s="120" t="s">
        <v>27</v>
      </c>
      <c r="B19" s="121"/>
      <c r="C19" s="121"/>
      <c r="D19" s="122">
        <v>12500</v>
      </c>
      <c r="E19" s="123"/>
      <c r="F19" s="123"/>
      <c r="G19" s="123"/>
      <c r="H19" s="124"/>
    </row>
    <row r="20" spans="1:8">
      <c r="A20" s="218" t="s">
        <v>28</v>
      </c>
      <c r="B20" s="100"/>
      <c r="C20" s="100"/>
      <c r="D20" s="100"/>
      <c r="E20" s="100"/>
      <c r="F20" s="100"/>
      <c r="G20" s="100"/>
      <c r="H20" s="101"/>
    </row>
    <row r="21" spans="1:8">
      <c r="A21" s="102"/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>
      <c r="A23" s="103"/>
      <c r="B23" s="104"/>
      <c r="C23" s="104"/>
      <c r="D23" s="104"/>
      <c r="E23" s="104"/>
      <c r="F23" s="104"/>
      <c r="G23" s="104"/>
      <c r="H23" s="105"/>
    </row>
    <row r="24" spans="1:8">
      <c r="A24" s="219" t="s">
        <v>29</v>
      </c>
      <c r="B24" s="220"/>
      <c r="C24" s="220"/>
      <c r="D24" s="220"/>
      <c r="E24" s="220"/>
      <c r="F24" s="220"/>
      <c r="G24" s="220"/>
      <c r="H24" s="221"/>
    </row>
    <row r="25" spans="1:8">
      <c r="A25" s="222"/>
      <c r="B25" s="223"/>
      <c r="C25" s="223"/>
      <c r="D25" s="223"/>
      <c r="E25" s="223"/>
      <c r="F25" s="223"/>
      <c r="G25" s="223"/>
      <c r="H25" s="224"/>
    </row>
  </sheetData>
  <mergeCells count="35">
    <mergeCell ref="A20:H23"/>
    <mergeCell ref="A24:H25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H18"/>
    <mergeCell ref="A14:F14"/>
    <mergeCell ref="G14:H14"/>
    <mergeCell ref="B12:C12"/>
    <mergeCell ref="G12:H12"/>
    <mergeCell ref="A19:C19"/>
    <mergeCell ref="D19:H19"/>
    <mergeCell ref="E6:H6"/>
    <mergeCell ref="E7:H7"/>
    <mergeCell ref="E8:H8"/>
    <mergeCell ref="B13:C13"/>
    <mergeCell ref="G13:H13"/>
    <mergeCell ref="A9:D9"/>
    <mergeCell ref="A10:D10"/>
    <mergeCell ref="E10:H10"/>
    <mergeCell ref="A11:D11"/>
    <mergeCell ref="E11:H11"/>
    <mergeCell ref="A5:H5"/>
    <mergeCell ref="A1:B4"/>
    <mergeCell ref="C1:H1"/>
    <mergeCell ref="C2:H2"/>
    <mergeCell ref="D3:H3"/>
    <mergeCell ref="D4:H4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2826-D145-45C6-9C78-93FE3CFF6384}">
  <sheetPr>
    <tabColor rgb="FFFF0000"/>
    <pageSetUpPr fitToPage="1"/>
  </sheetPr>
  <dimension ref="A1:H25"/>
  <sheetViews>
    <sheetView topLeftCell="A3" workbookViewId="0">
      <selection activeCell="A15" sqref="A15:C15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210" t="s">
        <v>36</v>
      </c>
      <c r="B6" s="211"/>
      <c r="C6" s="211"/>
      <c r="D6" s="211"/>
      <c r="E6" s="72" t="s">
        <v>37</v>
      </c>
      <c r="F6" s="72"/>
      <c r="G6" s="72"/>
      <c r="H6" s="73"/>
    </row>
    <row r="7" spans="1:8">
      <c r="A7" s="210" t="s">
        <v>38</v>
      </c>
      <c r="B7" s="211"/>
      <c r="C7" s="211"/>
      <c r="D7" s="211"/>
      <c r="E7" s="72" t="s">
        <v>39</v>
      </c>
      <c r="F7" s="72"/>
      <c r="G7" s="72"/>
      <c r="H7" s="73"/>
    </row>
    <row r="8" spans="1:8">
      <c r="A8" s="42" t="s">
        <v>9</v>
      </c>
      <c r="E8" s="72" t="s">
        <v>40</v>
      </c>
      <c r="F8" s="72"/>
      <c r="G8" s="72"/>
      <c r="H8" s="73"/>
    </row>
    <row r="9" spans="1:8">
      <c r="A9" s="210" t="s">
        <v>41</v>
      </c>
      <c r="B9" s="211"/>
      <c r="C9" s="211"/>
      <c r="D9" s="211"/>
      <c r="H9" s="44"/>
    </row>
    <row r="10" spans="1:8">
      <c r="A10" s="210"/>
      <c r="B10" s="211"/>
      <c r="C10" s="211"/>
      <c r="D10" s="211"/>
      <c r="E10" s="67"/>
      <c r="F10" s="67"/>
      <c r="G10" s="67"/>
      <c r="H10" s="68"/>
    </row>
    <row r="11" spans="1:8">
      <c r="A11" s="82"/>
      <c r="B11" s="83"/>
      <c r="C11" s="83"/>
      <c r="D11" s="83"/>
      <c r="E11" s="84"/>
      <c r="F11" s="84"/>
      <c r="G11" s="84"/>
      <c r="H11" s="85"/>
    </row>
    <row r="12" spans="1:8">
      <c r="A12" s="50" t="s">
        <v>13</v>
      </c>
      <c r="B12" s="86" t="s">
        <v>14</v>
      </c>
      <c r="C12" s="87"/>
      <c r="D12" s="46" t="s">
        <v>15</v>
      </c>
      <c r="E12" s="46" t="s">
        <v>16</v>
      </c>
      <c r="F12" s="46" t="s">
        <v>17</v>
      </c>
      <c r="G12" s="86" t="s">
        <v>18</v>
      </c>
      <c r="H12" s="88"/>
    </row>
    <row r="13" spans="1:8" ht="72.599999999999994" customHeight="1">
      <c r="A13" s="51">
        <v>1</v>
      </c>
      <c r="B13" s="89" t="s">
        <v>19</v>
      </c>
      <c r="C13" s="132"/>
      <c r="D13" s="47">
        <v>1</v>
      </c>
      <c r="E13" s="48">
        <v>11396</v>
      </c>
      <c r="F13" s="49">
        <v>0.18</v>
      </c>
      <c r="G13" s="91">
        <f>D13*E13</f>
        <v>11396</v>
      </c>
      <c r="H13" s="92"/>
    </row>
    <row r="14" spans="1:8">
      <c r="A14" s="133" t="s">
        <v>20</v>
      </c>
      <c r="B14" s="134"/>
      <c r="C14" s="134"/>
      <c r="D14" s="134"/>
      <c r="E14" s="134"/>
      <c r="F14" s="134"/>
      <c r="G14" s="135">
        <f>SUM(G13:H13)</f>
        <v>11396</v>
      </c>
      <c r="H14" s="136"/>
    </row>
    <row r="15" spans="1:8">
      <c r="A15" s="125" t="s">
        <v>21</v>
      </c>
      <c r="B15" s="72"/>
      <c r="C15" s="126"/>
      <c r="D15" s="127" t="s">
        <v>22</v>
      </c>
      <c r="E15" s="127"/>
      <c r="F15" s="127"/>
      <c r="G15" s="96">
        <v>1104</v>
      </c>
      <c r="H15" s="97"/>
    </row>
    <row r="16" spans="1:8">
      <c r="A16" s="212" t="s">
        <v>23</v>
      </c>
      <c r="B16" s="213"/>
      <c r="C16" s="225"/>
      <c r="D16" s="79"/>
      <c r="E16" s="79"/>
      <c r="F16" s="79"/>
      <c r="G16" s="96"/>
      <c r="H16" s="97"/>
    </row>
    <row r="17" spans="1:8">
      <c r="A17" s="226"/>
      <c r="B17" s="227"/>
      <c r="C17" s="228"/>
      <c r="D17" s="79" t="s">
        <v>24</v>
      </c>
      <c r="E17" s="79"/>
      <c r="F17" s="79"/>
      <c r="G17" s="141">
        <v>12500</v>
      </c>
      <c r="H17" s="142"/>
    </row>
    <row r="18" spans="1:8">
      <c r="A18" s="128" t="s">
        <v>25</v>
      </c>
      <c r="B18" s="129"/>
      <c r="C18" s="129"/>
      <c r="D18" s="143" t="s">
        <v>26</v>
      </c>
      <c r="E18" s="143"/>
      <c r="F18" s="143"/>
      <c r="G18" s="143"/>
      <c r="H18" s="144"/>
    </row>
    <row r="19" spans="1:8">
      <c r="A19" s="137" t="s">
        <v>27</v>
      </c>
      <c r="B19" s="138"/>
      <c r="C19" s="138"/>
      <c r="D19" s="139">
        <v>12500</v>
      </c>
      <c r="E19" s="139"/>
      <c r="F19" s="139"/>
      <c r="G19" s="139"/>
      <c r="H19" s="140"/>
    </row>
    <row r="20" spans="1:8">
      <c r="A20" s="218" t="s">
        <v>28</v>
      </c>
      <c r="B20" s="100"/>
      <c r="C20" s="100"/>
      <c r="D20" s="100"/>
      <c r="E20" s="100"/>
      <c r="F20" s="100"/>
      <c r="G20" s="100"/>
      <c r="H20" s="101"/>
    </row>
    <row r="21" spans="1:8">
      <c r="A21" s="102"/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 ht="18.75" customHeight="1">
      <c r="A23" s="103"/>
      <c r="B23" s="104"/>
      <c r="C23" s="104"/>
      <c r="D23" s="104"/>
      <c r="E23" s="104"/>
      <c r="F23" s="104"/>
      <c r="G23" s="104"/>
      <c r="H23" s="105"/>
    </row>
    <row r="24" spans="1:8">
      <c r="A24" s="219" t="s">
        <v>29</v>
      </c>
      <c r="B24" s="220"/>
      <c r="C24" s="220"/>
      <c r="D24" s="220"/>
      <c r="E24" s="220"/>
      <c r="F24" s="220"/>
      <c r="G24" s="220"/>
      <c r="H24" s="221"/>
    </row>
    <row r="25" spans="1:8">
      <c r="A25" s="222"/>
      <c r="B25" s="223"/>
      <c r="C25" s="223"/>
      <c r="D25" s="223"/>
      <c r="E25" s="223"/>
      <c r="F25" s="223"/>
      <c r="G25" s="223"/>
      <c r="H25" s="224"/>
    </row>
  </sheetData>
  <mergeCells count="37">
    <mergeCell ref="A19:C19"/>
    <mergeCell ref="D19:H19"/>
    <mergeCell ref="A20:H23"/>
    <mergeCell ref="A24:H25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H18"/>
    <mergeCell ref="B13:C13"/>
    <mergeCell ref="G13:H13"/>
    <mergeCell ref="A14:F14"/>
    <mergeCell ref="G14:H14"/>
    <mergeCell ref="B12:C12"/>
    <mergeCell ref="G12:H12"/>
    <mergeCell ref="A6:D6"/>
    <mergeCell ref="E6:H6"/>
    <mergeCell ref="A7:D7"/>
    <mergeCell ref="E7:H7"/>
    <mergeCell ref="E8:H8"/>
    <mergeCell ref="A9:D9"/>
    <mergeCell ref="A10:D10"/>
    <mergeCell ref="E10:H10"/>
    <mergeCell ref="A11:D11"/>
    <mergeCell ref="E11:H11"/>
    <mergeCell ref="A5:H5"/>
    <mergeCell ref="A1:B4"/>
    <mergeCell ref="C1:H1"/>
    <mergeCell ref="C2:H2"/>
    <mergeCell ref="D3:H3"/>
    <mergeCell ref="D4:H4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4232-EB1F-4AC3-8841-D249F66F5637}">
  <sheetPr>
    <tabColor rgb="FFFF0000"/>
    <pageSetUpPr fitToPage="1"/>
  </sheetPr>
  <dimension ref="A1:H25"/>
  <sheetViews>
    <sheetView workbookViewId="0">
      <selection activeCell="A11" sqref="A11:D11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42" t="s">
        <v>30</v>
      </c>
      <c r="E6" s="72" t="s">
        <v>42</v>
      </c>
      <c r="F6" s="72"/>
      <c r="G6" s="72"/>
      <c r="H6" s="73"/>
    </row>
    <row r="7" spans="1:8">
      <c r="A7" s="42" t="s">
        <v>32</v>
      </c>
      <c r="E7" s="72" t="s">
        <v>43</v>
      </c>
      <c r="F7" s="72"/>
      <c r="G7" s="72"/>
      <c r="H7" s="73"/>
    </row>
    <row r="8" spans="1:8">
      <c r="A8" s="42" t="s">
        <v>34</v>
      </c>
      <c r="E8" s="72" t="s">
        <v>44</v>
      </c>
      <c r="F8" s="72"/>
      <c r="G8" s="72"/>
      <c r="H8" s="73"/>
    </row>
    <row r="9" spans="1:8">
      <c r="A9" s="210" t="s">
        <v>12</v>
      </c>
      <c r="B9" s="211"/>
      <c r="C9" s="211"/>
      <c r="D9" s="211"/>
      <c r="H9" s="44"/>
    </row>
    <row r="10" spans="1:8">
      <c r="A10" s="210"/>
      <c r="B10" s="211"/>
      <c r="C10" s="211"/>
      <c r="D10" s="211"/>
      <c r="E10" s="67"/>
      <c r="F10" s="67"/>
      <c r="G10" s="67"/>
      <c r="H10" s="68"/>
    </row>
    <row r="11" spans="1:8">
      <c r="A11" s="82"/>
      <c r="B11" s="83"/>
      <c r="C11" s="83"/>
      <c r="D11" s="83"/>
      <c r="E11" s="84"/>
      <c r="F11" s="84"/>
      <c r="G11" s="84"/>
      <c r="H11" s="85"/>
    </row>
    <row r="12" spans="1:8">
      <c r="A12" s="50" t="s">
        <v>13</v>
      </c>
      <c r="B12" s="86" t="s">
        <v>14</v>
      </c>
      <c r="C12" s="87"/>
      <c r="D12" s="46" t="s">
        <v>15</v>
      </c>
      <c r="E12" s="46" t="s">
        <v>16</v>
      </c>
      <c r="F12" s="46" t="s">
        <v>17</v>
      </c>
      <c r="G12" s="86" t="s">
        <v>18</v>
      </c>
      <c r="H12" s="88"/>
    </row>
    <row r="13" spans="1:8" ht="72.599999999999994" customHeight="1">
      <c r="A13" s="51">
        <v>1</v>
      </c>
      <c r="B13" s="89" t="s">
        <v>19</v>
      </c>
      <c r="C13" s="90"/>
      <c r="D13" s="47">
        <v>1</v>
      </c>
      <c r="E13" s="48">
        <v>11396</v>
      </c>
      <c r="F13" s="49">
        <v>0.18</v>
      </c>
      <c r="G13" s="91">
        <f>D13*E13</f>
        <v>11396</v>
      </c>
      <c r="H13" s="92"/>
    </row>
    <row r="14" spans="1:8">
      <c r="A14" s="133" t="s">
        <v>20</v>
      </c>
      <c r="B14" s="134"/>
      <c r="C14" s="134"/>
      <c r="D14" s="134"/>
      <c r="E14" s="134"/>
      <c r="F14" s="134"/>
      <c r="G14" s="135">
        <f>SUM(G13:H13)</f>
        <v>11396</v>
      </c>
      <c r="H14" s="136"/>
    </row>
    <row r="15" spans="1:8">
      <c r="A15" s="125" t="s">
        <v>21</v>
      </c>
      <c r="B15" s="72"/>
      <c r="C15" s="126"/>
      <c r="D15" s="127" t="s">
        <v>22</v>
      </c>
      <c r="E15" s="127"/>
      <c r="F15" s="127"/>
      <c r="G15" s="96">
        <v>1104</v>
      </c>
      <c r="H15" s="97"/>
    </row>
    <row r="16" spans="1:8">
      <c r="A16" s="212" t="s">
        <v>23</v>
      </c>
      <c r="B16" s="213"/>
      <c r="C16" s="225"/>
      <c r="D16" s="79"/>
      <c r="E16" s="79"/>
      <c r="F16" s="79"/>
      <c r="G16" s="96"/>
      <c r="H16" s="97"/>
    </row>
    <row r="17" spans="1:8">
      <c r="A17" s="226"/>
      <c r="B17" s="227"/>
      <c r="C17" s="228"/>
      <c r="D17" s="79" t="s">
        <v>24</v>
      </c>
      <c r="E17" s="79"/>
      <c r="F17" s="79"/>
      <c r="G17" s="141">
        <v>12500</v>
      </c>
      <c r="H17" s="142"/>
    </row>
    <row r="18" spans="1:8">
      <c r="A18" s="128" t="s">
        <v>25</v>
      </c>
      <c r="B18" s="129"/>
      <c r="C18" s="129"/>
      <c r="D18" s="143" t="s">
        <v>26</v>
      </c>
      <c r="E18" s="143"/>
      <c r="F18" s="143"/>
      <c r="G18" s="143"/>
      <c r="H18" s="144"/>
    </row>
    <row r="19" spans="1:8">
      <c r="A19" s="137" t="s">
        <v>27</v>
      </c>
      <c r="B19" s="138"/>
      <c r="C19" s="138"/>
      <c r="D19" s="139">
        <v>12500</v>
      </c>
      <c r="E19" s="139"/>
      <c r="F19" s="139"/>
      <c r="G19" s="139"/>
      <c r="H19" s="140"/>
    </row>
    <row r="20" spans="1:8">
      <c r="A20" s="218" t="s">
        <v>28</v>
      </c>
      <c r="B20" s="100"/>
      <c r="C20" s="100"/>
      <c r="D20" s="100"/>
      <c r="E20" s="100"/>
      <c r="F20" s="100"/>
      <c r="G20" s="100"/>
      <c r="H20" s="101"/>
    </row>
    <row r="21" spans="1:8">
      <c r="A21" s="102"/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 ht="18.75" customHeight="1">
      <c r="A23" s="103"/>
      <c r="B23" s="104"/>
      <c r="C23" s="104"/>
      <c r="D23" s="104"/>
      <c r="E23" s="104"/>
      <c r="F23" s="104"/>
      <c r="G23" s="104"/>
      <c r="H23" s="105"/>
    </row>
    <row r="24" spans="1:8">
      <c r="A24" s="219" t="s">
        <v>29</v>
      </c>
      <c r="B24" s="220"/>
      <c r="C24" s="220"/>
      <c r="D24" s="220"/>
      <c r="E24" s="220"/>
      <c r="F24" s="220"/>
      <c r="G24" s="220"/>
      <c r="H24" s="221"/>
    </row>
    <row r="25" spans="1:8">
      <c r="A25" s="222"/>
      <c r="B25" s="223"/>
      <c r="C25" s="223"/>
      <c r="D25" s="223"/>
      <c r="E25" s="223"/>
      <c r="F25" s="223"/>
      <c r="G25" s="223"/>
      <c r="H25" s="224"/>
    </row>
  </sheetData>
  <mergeCells count="35">
    <mergeCell ref="A20:H23"/>
    <mergeCell ref="A24:H25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H18"/>
    <mergeCell ref="A14:F14"/>
    <mergeCell ref="G14:H14"/>
    <mergeCell ref="B12:C12"/>
    <mergeCell ref="G12:H12"/>
    <mergeCell ref="A19:C19"/>
    <mergeCell ref="D19:H19"/>
    <mergeCell ref="E6:H6"/>
    <mergeCell ref="E7:H7"/>
    <mergeCell ref="E8:H8"/>
    <mergeCell ref="B13:C13"/>
    <mergeCell ref="G13:H13"/>
    <mergeCell ref="A9:D9"/>
    <mergeCell ref="A10:D10"/>
    <mergeCell ref="E10:H10"/>
    <mergeCell ref="A11:D11"/>
    <mergeCell ref="E11:H11"/>
    <mergeCell ref="A5:H5"/>
    <mergeCell ref="A1:B4"/>
    <mergeCell ref="C1:H1"/>
    <mergeCell ref="C2:H2"/>
    <mergeCell ref="D3:H3"/>
    <mergeCell ref="D4:H4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0A79-028D-4618-8D0E-585882E5B98F}">
  <sheetPr>
    <tabColor rgb="FFFF0000"/>
  </sheetPr>
  <dimension ref="A1:H25"/>
  <sheetViews>
    <sheetView workbookViewId="0">
      <selection activeCell="A11" sqref="A11:D11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42" t="s">
        <v>45</v>
      </c>
      <c r="E6" s="72" t="s">
        <v>46</v>
      </c>
      <c r="F6" s="72"/>
      <c r="G6" s="72"/>
      <c r="H6" s="73"/>
    </row>
    <row r="7" spans="1:8">
      <c r="A7" s="42" t="s">
        <v>47</v>
      </c>
      <c r="E7" s="72" t="s">
        <v>48</v>
      </c>
      <c r="F7" s="72"/>
      <c r="G7" s="72"/>
      <c r="H7" s="73"/>
    </row>
    <row r="8" spans="1:8">
      <c r="A8" s="42" t="s">
        <v>49</v>
      </c>
      <c r="E8" s="72" t="s">
        <v>50</v>
      </c>
      <c r="F8" s="72"/>
      <c r="G8" s="72"/>
      <c r="H8" s="73"/>
    </row>
    <row r="9" spans="1:8">
      <c r="A9" s="210" t="s">
        <v>51</v>
      </c>
      <c r="B9" s="211"/>
      <c r="C9" s="211"/>
      <c r="D9" s="211"/>
      <c r="H9" s="44"/>
    </row>
    <row r="10" spans="1:8">
      <c r="A10" s="210"/>
      <c r="B10" s="211"/>
      <c r="C10" s="211"/>
      <c r="D10" s="211"/>
      <c r="E10" s="67"/>
      <c r="F10" s="67"/>
      <c r="G10" s="67"/>
      <c r="H10" s="68"/>
    </row>
    <row r="11" spans="1:8">
      <c r="A11" s="82"/>
      <c r="B11" s="83"/>
      <c r="C11" s="83"/>
      <c r="D11" s="83"/>
      <c r="E11" s="84"/>
      <c r="F11" s="84"/>
      <c r="G11" s="84"/>
      <c r="H11" s="85"/>
    </row>
    <row r="12" spans="1:8">
      <c r="A12" s="50" t="s">
        <v>13</v>
      </c>
      <c r="B12" s="86" t="s">
        <v>14</v>
      </c>
      <c r="C12" s="87"/>
      <c r="D12" s="46" t="s">
        <v>15</v>
      </c>
      <c r="E12" s="46" t="s">
        <v>16</v>
      </c>
      <c r="F12" s="46" t="s">
        <v>17</v>
      </c>
      <c r="G12" s="86" t="s">
        <v>18</v>
      </c>
      <c r="H12" s="88"/>
    </row>
    <row r="13" spans="1:8" ht="72.599999999999994" customHeight="1">
      <c r="A13" s="51">
        <v>1</v>
      </c>
      <c r="B13" s="89" t="s">
        <v>19</v>
      </c>
      <c r="C13" s="90"/>
      <c r="D13" s="47">
        <v>1</v>
      </c>
      <c r="E13" s="48">
        <v>11396</v>
      </c>
      <c r="F13" s="56">
        <v>0.18</v>
      </c>
      <c r="G13" s="91">
        <f>D13*E13</f>
        <v>11396</v>
      </c>
      <c r="H13" s="92"/>
    </row>
    <row r="14" spans="1:8">
      <c r="A14" s="133" t="s">
        <v>20</v>
      </c>
      <c r="B14" s="134"/>
      <c r="C14" s="134"/>
      <c r="D14" s="134"/>
      <c r="E14" s="134"/>
      <c r="F14" s="134"/>
      <c r="G14" s="135">
        <f>SUM(G13:H13)</f>
        <v>11396</v>
      </c>
      <c r="H14" s="136"/>
    </row>
    <row r="15" spans="1:8">
      <c r="A15" s="125" t="s">
        <v>21</v>
      </c>
      <c r="B15" s="72"/>
      <c r="C15" s="126"/>
      <c r="D15" s="127" t="s">
        <v>22</v>
      </c>
      <c r="E15" s="127"/>
      <c r="F15" s="127"/>
      <c r="G15" s="96">
        <v>1104</v>
      </c>
      <c r="H15" s="97"/>
    </row>
    <row r="16" spans="1:8">
      <c r="A16" s="212" t="s">
        <v>23</v>
      </c>
      <c r="B16" s="213"/>
      <c r="C16" s="225"/>
      <c r="D16" s="79"/>
      <c r="E16" s="79"/>
      <c r="F16" s="79"/>
      <c r="G16" s="96"/>
      <c r="H16" s="97"/>
    </row>
    <row r="17" spans="1:8">
      <c r="A17" s="226"/>
      <c r="B17" s="227"/>
      <c r="C17" s="228"/>
      <c r="D17" s="79" t="s">
        <v>24</v>
      </c>
      <c r="E17" s="79"/>
      <c r="F17" s="79"/>
      <c r="G17" s="141">
        <v>12500</v>
      </c>
      <c r="H17" s="142"/>
    </row>
    <row r="18" spans="1:8">
      <c r="A18" s="128" t="s">
        <v>25</v>
      </c>
      <c r="B18" s="129"/>
      <c r="C18" s="129"/>
      <c r="D18" s="143" t="s">
        <v>26</v>
      </c>
      <c r="E18" s="143"/>
      <c r="F18" s="143"/>
      <c r="G18" s="143"/>
      <c r="H18" s="144"/>
    </row>
    <row r="19" spans="1:8">
      <c r="A19" s="137" t="s">
        <v>27</v>
      </c>
      <c r="B19" s="138"/>
      <c r="C19" s="138"/>
      <c r="D19" s="139">
        <v>12500</v>
      </c>
      <c r="E19" s="139"/>
      <c r="F19" s="139"/>
      <c r="G19" s="139"/>
      <c r="H19" s="140"/>
    </row>
    <row r="20" spans="1:8">
      <c r="A20" s="218" t="s">
        <v>28</v>
      </c>
      <c r="B20" s="100"/>
      <c r="C20" s="100"/>
      <c r="D20" s="100"/>
      <c r="E20" s="100"/>
      <c r="F20" s="100"/>
      <c r="G20" s="100"/>
      <c r="H20" s="101"/>
    </row>
    <row r="21" spans="1:8">
      <c r="A21" s="102"/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 ht="18.75" customHeight="1">
      <c r="A23" s="103"/>
      <c r="B23" s="104"/>
      <c r="C23" s="104"/>
      <c r="D23" s="104"/>
      <c r="E23" s="104"/>
      <c r="F23" s="104"/>
      <c r="G23" s="104"/>
      <c r="H23" s="105"/>
    </row>
    <row r="24" spans="1:8">
      <c r="A24" s="219" t="s">
        <v>29</v>
      </c>
      <c r="B24" s="220"/>
      <c r="C24" s="220"/>
      <c r="D24" s="220"/>
      <c r="E24" s="220"/>
      <c r="F24" s="220"/>
      <c r="G24" s="220"/>
      <c r="H24" s="221"/>
    </row>
    <row r="25" spans="1:8">
      <c r="A25" s="222"/>
      <c r="B25" s="223"/>
      <c r="C25" s="223"/>
      <c r="D25" s="223"/>
      <c r="E25" s="223"/>
      <c r="F25" s="223"/>
      <c r="G25" s="223"/>
      <c r="H25" s="224"/>
    </row>
  </sheetData>
  <mergeCells count="35">
    <mergeCell ref="A20:H23"/>
    <mergeCell ref="A24:H25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H18"/>
    <mergeCell ref="A14:F14"/>
    <mergeCell ref="G14:H14"/>
    <mergeCell ref="B12:C12"/>
    <mergeCell ref="G12:H12"/>
    <mergeCell ref="A19:C19"/>
    <mergeCell ref="D19:H19"/>
    <mergeCell ref="E6:H6"/>
    <mergeCell ref="E7:H7"/>
    <mergeCell ref="E8:H8"/>
    <mergeCell ref="B13:C13"/>
    <mergeCell ref="G13:H13"/>
    <mergeCell ref="A9:D9"/>
    <mergeCell ref="A10:D10"/>
    <mergeCell ref="E10:H10"/>
    <mergeCell ref="A11:D11"/>
    <mergeCell ref="E11:H11"/>
    <mergeCell ref="A5:H5"/>
    <mergeCell ref="A1:B4"/>
    <mergeCell ref="C1:H1"/>
    <mergeCell ref="C2:H2"/>
    <mergeCell ref="D3:H3"/>
    <mergeCell ref="D4:H4"/>
  </mergeCells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8CBD-5B72-4ABD-A490-491717AFD614}">
  <sheetPr>
    <tabColor rgb="FFFF0000"/>
  </sheetPr>
  <dimension ref="A1:H25"/>
  <sheetViews>
    <sheetView workbookViewId="0">
      <selection activeCell="E6" sqref="E6:H6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210" t="s">
        <v>5</v>
      </c>
      <c r="B6" s="211"/>
      <c r="C6" s="211"/>
      <c r="D6" s="211"/>
      <c r="E6" s="72" t="s">
        <v>52</v>
      </c>
      <c r="F6" s="72"/>
      <c r="G6" s="72"/>
      <c r="H6" s="73"/>
    </row>
    <row r="7" spans="1:8">
      <c r="A7" s="210" t="s">
        <v>7</v>
      </c>
      <c r="B7" s="211"/>
      <c r="C7" s="211"/>
      <c r="D7" s="211"/>
      <c r="E7" s="72" t="s">
        <v>53</v>
      </c>
      <c r="F7" s="72"/>
      <c r="G7" s="72"/>
      <c r="H7" s="73"/>
    </row>
    <row r="8" spans="1:8">
      <c r="A8" s="42" t="s">
        <v>9</v>
      </c>
      <c r="E8" s="72" t="s">
        <v>54</v>
      </c>
      <c r="F8" s="72"/>
      <c r="G8" s="72"/>
      <c r="H8" s="73"/>
    </row>
    <row r="9" spans="1:8">
      <c r="A9" s="210" t="s">
        <v>11</v>
      </c>
      <c r="B9" s="211"/>
      <c r="C9" s="211"/>
      <c r="D9" s="211"/>
      <c r="H9" s="44"/>
    </row>
    <row r="10" spans="1:8">
      <c r="A10" s="210" t="s">
        <v>12</v>
      </c>
      <c r="B10" s="211"/>
      <c r="C10" s="211"/>
      <c r="D10" s="211"/>
      <c r="E10" s="67"/>
      <c r="F10" s="67"/>
      <c r="G10" s="67"/>
      <c r="H10" s="68"/>
    </row>
    <row r="11" spans="1:8">
      <c r="A11" s="82"/>
      <c r="B11" s="83"/>
      <c r="C11" s="83"/>
      <c r="D11" s="83"/>
      <c r="E11" s="84"/>
      <c r="F11" s="84"/>
      <c r="G11" s="84"/>
      <c r="H11" s="85"/>
    </row>
    <row r="12" spans="1:8">
      <c r="A12" s="50" t="s">
        <v>13</v>
      </c>
      <c r="B12" s="86" t="s">
        <v>14</v>
      </c>
      <c r="C12" s="87"/>
      <c r="D12" s="46" t="s">
        <v>15</v>
      </c>
      <c r="E12" s="46" t="s">
        <v>16</v>
      </c>
      <c r="F12" s="46" t="s">
        <v>17</v>
      </c>
      <c r="G12" s="86" t="s">
        <v>18</v>
      </c>
      <c r="H12" s="88"/>
    </row>
    <row r="13" spans="1:8" ht="72.599999999999994" customHeight="1">
      <c r="A13" s="51">
        <v>1</v>
      </c>
      <c r="B13" s="145" t="s">
        <v>19</v>
      </c>
      <c r="C13" s="87"/>
      <c r="D13" s="47">
        <v>1</v>
      </c>
      <c r="E13" s="48">
        <v>11396</v>
      </c>
      <c r="F13" s="49">
        <v>0.18</v>
      </c>
      <c r="G13" s="91">
        <f>D13*E13</f>
        <v>11396</v>
      </c>
      <c r="H13" s="92"/>
    </row>
    <row r="14" spans="1:8">
      <c r="A14" s="133" t="s">
        <v>20</v>
      </c>
      <c r="B14" s="134"/>
      <c r="C14" s="134"/>
      <c r="D14" s="134"/>
      <c r="E14" s="134"/>
      <c r="F14" s="134"/>
      <c r="G14" s="135">
        <f>SUM(G13:H13)</f>
        <v>11396</v>
      </c>
      <c r="H14" s="136"/>
    </row>
    <row r="15" spans="1:8">
      <c r="A15" s="125" t="s">
        <v>21</v>
      </c>
      <c r="B15" s="72"/>
      <c r="C15" s="126"/>
      <c r="D15" s="127" t="s">
        <v>22</v>
      </c>
      <c r="E15" s="127"/>
      <c r="F15" s="127"/>
      <c r="G15" s="96">
        <v>1104</v>
      </c>
      <c r="H15" s="97"/>
    </row>
    <row r="16" spans="1:8">
      <c r="A16" s="212" t="s">
        <v>23</v>
      </c>
      <c r="B16" s="213"/>
      <c r="C16" s="225"/>
      <c r="D16" s="79"/>
      <c r="E16" s="79"/>
      <c r="F16" s="79"/>
      <c r="G16" s="96"/>
      <c r="H16" s="97"/>
    </row>
    <row r="17" spans="1:8">
      <c r="A17" s="226"/>
      <c r="B17" s="227"/>
      <c r="C17" s="228"/>
      <c r="D17" s="79" t="s">
        <v>55</v>
      </c>
      <c r="E17" s="79"/>
      <c r="F17" s="79"/>
      <c r="G17" s="141">
        <v>12500</v>
      </c>
      <c r="H17" s="142"/>
    </row>
    <row r="18" spans="1:8">
      <c r="A18" s="128" t="s">
        <v>25</v>
      </c>
      <c r="B18" s="129"/>
      <c r="C18" s="129"/>
      <c r="D18" s="143" t="s">
        <v>26</v>
      </c>
      <c r="E18" s="143"/>
      <c r="F18" s="143"/>
      <c r="G18" s="143"/>
      <c r="H18" s="144"/>
    </row>
    <row r="19" spans="1:8">
      <c r="A19" s="137" t="s">
        <v>27</v>
      </c>
      <c r="B19" s="138"/>
      <c r="C19" s="138"/>
      <c r="D19" s="139">
        <v>12500</v>
      </c>
      <c r="E19" s="139"/>
      <c r="F19" s="139"/>
      <c r="G19" s="139"/>
      <c r="H19" s="140"/>
    </row>
    <row r="20" spans="1:8">
      <c r="A20" s="218" t="s">
        <v>28</v>
      </c>
      <c r="B20" s="100"/>
      <c r="C20" s="100"/>
      <c r="D20" s="100"/>
      <c r="E20" s="100"/>
      <c r="F20" s="100"/>
      <c r="G20" s="100"/>
      <c r="H20" s="101"/>
    </row>
    <row r="21" spans="1:8">
      <c r="A21" s="102"/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 ht="18.75" customHeight="1">
      <c r="A23" s="103"/>
      <c r="B23" s="104"/>
      <c r="C23" s="104"/>
      <c r="D23" s="104"/>
      <c r="E23" s="104"/>
      <c r="F23" s="104"/>
      <c r="G23" s="104"/>
      <c r="H23" s="105"/>
    </row>
    <row r="24" spans="1:8">
      <c r="A24" s="219" t="s">
        <v>29</v>
      </c>
      <c r="B24" s="220"/>
      <c r="C24" s="220"/>
      <c r="D24" s="220"/>
      <c r="E24" s="220"/>
      <c r="F24" s="220"/>
      <c r="G24" s="220"/>
      <c r="H24" s="221"/>
    </row>
    <row r="25" spans="1:8">
      <c r="A25" s="222"/>
      <c r="B25" s="223"/>
      <c r="C25" s="223"/>
      <c r="D25" s="223"/>
      <c r="E25" s="223"/>
      <c r="F25" s="223"/>
      <c r="G25" s="223"/>
      <c r="H25" s="224"/>
    </row>
  </sheetData>
  <mergeCells count="37">
    <mergeCell ref="A19:C19"/>
    <mergeCell ref="D19:H19"/>
    <mergeCell ref="A20:H23"/>
    <mergeCell ref="A24:H25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H18"/>
    <mergeCell ref="B13:C13"/>
    <mergeCell ref="G13:H13"/>
    <mergeCell ref="A14:F14"/>
    <mergeCell ref="G14:H14"/>
    <mergeCell ref="B12:C12"/>
    <mergeCell ref="G12:H12"/>
    <mergeCell ref="A6:D6"/>
    <mergeCell ref="E6:H6"/>
    <mergeCell ref="A7:D7"/>
    <mergeCell ref="E7:H7"/>
    <mergeCell ref="E8:H8"/>
    <mergeCell ref="A9:D9"/>
    <mergeCell ref="A10:D10"/>
    <mergeCell ref="E10:H10"/>
    <mergeCell ref="A11:D11"/>
    <mergeCell ref="E11:H11"/>
    <mergeCell ref="A5:H5"/>
    <mergeCell ref="A1:B4"/>
    <mergeCell ref="C1:H1"/>
    <mergeCell ref="C2:H2"/>
    <mergeCell ref="D3:H3"/>
    <mergeCell ref="D4:H4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0F6F-ED5F-45ED-B194-3EE7EB5688D9}">
  <sheetPr>
    <tabColor rgb="FFFF0000"/>
    <pageSetUpPr fitToPage="1"/>
  </sheetPr>
  <dimension ref="A1:H25"/>
  <sheetViews>
    <sheetView workbookViewId="0">
      <selection activeCell="F9" sqref="F9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42" t="s">
        <v>56</v>
      </c>
      <c r="E6" s="72" t="s">
        <v>57</v>
      </c>
      <c r="F6" s="72"/>
      <c r="G6" s="72"/>
      <c r="H6" s="73"/>
    </row>
    <row r="7" spans="1:8">
      <c r="A7" s="42" t="s">
        <v>58</v>
      </c>
      <c r="E7" s="146" t="s">
        <v>59</v>
      </c>
      <c r="F7" s="72"/>
      <c r="G7" s="72"/>
      <c r="H7" s="73"/>
    </row>
    <row r="8" spans="1:8">
      <c r="A8" s="42" t="s">
        <v>60</v>
      </c>
      <c r="E8" s="72" t="s">
        <v>61</v>
      </c>
      <c r="F8" s="72"/>
      <c r="G8" s="72"/>
      <c r="H8" s="73"/>
    </row>
    <row r="9" spans="1:8">
      <c r="A9" s="210" t="s">
        <v>62</v>
      </c>
      <c r="B9" s="211"/>
      <c r="C9" s="211"/>
      <c r="D9" s="211"/>
      <c r="H9" s="44"/>
    </row>
    <row r="10" spans="1:8">
      <c r="A10" s="210"/>
      <c r="B10" s="211"/>
      <c r="C10" s="211"/>
      <c r="D10" s="211"/>
      <c r="E10" s="67"/>
      <c r="F10" s="67"/>
      <c r="G10" s="67"/>
      <c r="H10" s="68"/>
    </row>
    <row r="11" spans="1:8">
      <c r="A11" s="82"/>
      <c r="B11" s="83"/>
      <c r="C11" s="83"/>
      <c r="D11" s="83"/>
      <c r="E11" s="84"/>
      <c r="F11" s="84"/>
      <c r="G11" s="84"/>
      <c r="H11" s="85"/>
    </row>
    <row r="12" spans="1:8">
      <c r="A12" s="50" t="s">
        <v>13</v>
      </c>
      <c r="B12" s="86" t="s">
        <v>14</v>
      </c>
      <c r="C12" s="87"/>
      <c r="D12" s="46" t="s">
        <v>15</v>
      </c>
      <c r="E12" s="46" t="s">
        <v>16</v>
      </c>
      <c r="F12" s="46" t="s">
        <v>17</v>
      </c>
      <c r="G12" s="86" t="s">
        <v>18</v>
      </c>
      <c r="H12" s="88"/>
    </row>
    <row r="13" spans="1:8" ht="72.599999999999994" customHeight="1">
      <c r="A13" s="51">
        <v>1</v>
      </c>
      <c r="B13" s="145" t="s">
        <v>19</v>
      </c>
      <c r="C13" s="87"/>
      <c r="D13" s="47">
        <v>1</v>
      </c>
      <c r="E13" s="48">
        <v>11396</v>
      </c>
      <c r="F13" s="49">
        <v>0.18</v>
      </c>
      <c r="G13" s="91">
        <f>D13*E13</f>
        <v>11396</v>
      </c>
      <c r="H13" s="92"/>
    </row>
    <row r="14" spans="1:8">
      <c r="A14" s="133" t="s">
        <v>20</v>
      </c>
      <c r="B14" s="134"/>
      <c r="C14" s="134"/>
      <c r="D14" s="134"/>
      <c r="E14" s="134"/>
      <c r="F14" s="134"/>
      <c r="G14" s="135">
        <f>SUM(G13:H13)</f>
        <v>11396</v>
      </c>
      <c r="H14" s="136"/>
    </row>
    <row r="15" spans="1:8">
      <c r="A15" s="125" t="s">
        <v>21</v>
      </c>
      <c r="B15" s="72"/>
      <c r="C15" s="126"/>
      <c r="D15" s="127" t="s">
        <v>22</v>
      </c>
      <c r="E15" s="127"/>
      <c r="F15" s="127"/>
      <c r="G15" s="96">
        <v>1104</v>
      </c>
      <c r="H15" s="97"/>
    </row>
    <row r="16" spans="1:8">
      <c r="A16" s="212" t="s">
        <v>23</v>
      </c>
      <c r="B16" s="213"/>
      <c r="C16" s="225"/>
      <c r="D16" s="79"/>
      <c r="E16" s="79"/>
      <c r="F16" s="79"/>
      <c r="G16" s="96"/>
      <c r="H16" s="97"/>
    </row>
    <row r="17" spans="1:8">
      <c r="A17" s="226"/>
      <c r="B17" s="227"/>
      <c r="C17" s="228"/>
      <c r="D17" s="79" t="s">
        <v>55</v>
      </c>
      <c r="E17" s="79"/>
      <c r="F17" s="79"/>
      <c r="G17" s="147">
        <v>12500</v>
      </c>
      <c r="H17" s="148"/>
    </row>
    <row r="18" spans="1:8">
      <c r="A18" s="128" t="s">
        <v>25</v>
      </c>
      <c r="B18" s="129"/>
      <c r="C18" s="129"/>
      <c r="D18" s="143" t="s">
        <v>26</v>
      </c>
      <c r="E18" s="143"/>
      <c r="F18" s="143"/>
      <c r="G18" s="143"/>
      <c r="H18" s="144"/>
    </row>
    <row r="19" spans="1:8">
      <c r="A19" s="137" t="s">
        <v>27</v>
      </c>
      <c r="B19" s="138"/>
      <c r="C19" s="138"/>
      <c r="D19" s="139">
        <v>12500</v>
      </c>
      <c r="E19" s="139"/>
      <c r="F19" s="139"/>
      <c r="G19" s="139"/>
      <c r="H19" s="140"/>
    </row>
    <row r="20" spans="1:8">
      <c r="A20" s="218" t="s">
        <v>28</v>
      </c>
      <c r="B20" s="100"/>
      <c r="C20" s="100"/>
      <c r="D20" s="100"/>
      <c r="E20" s="100"/>
      <c r="F20" s="100"/>
      <c r="G20" s="100"/>
      <c r="H20" s="101"/>
    </row>
    <row r="21" spans="1:8">
      <c r="A21" s="102"/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 ht="18.75" customHeight="1">
      <c r="A23" s="103"/>
      <c r="B23" s="104"/>
      <c r="C23" s="104"/>
      <c r="D23" s="104"/>
      <c r="E23" s="104"/>
      <c r="F23" s="104"/>
      <c r="G23" s="104"/>
      <c r="H23" s="105"/>
    </row>
    <row r="24" spans="1:8">
      <c r="A24" s="219" t="s">
        <v>29</v>
      </c>
      <c r="B24" s="220"/>
      <c r="C24" s="220"/>
      <c r="D24" s="220"/>
      <c r="E24" s="220"/>
      <c r="F24" s="220"/>
      <c r="G24" s="220"/>
      <c r="H24" s="221"/>
    </row>
    <row r="25" spans="1:8">
      <c r="A25" s="222"/>
      <c r="B25" s="223"/>
      <c r="C25" s="223"/>
      <c r="D25" s="223"/>
      <c r="E25" s="223"/>
      <c r="F25" s="223"/>
      <c r="G25" s="223"/>
      <c r="H25" s="224"/>
    </row>
  </sheetData>
  <mergeCells count="35">
    <mergeCell ref="A24:H25"/>
    <mergeCell ref="A18:C18"/>
    <mergeCell ref="D18:H18"/>
    <mergeCell ref="A19:C19"/>
    <mergeCell ref="D19:H19"/>
    <mergeCell ref="A20:H23"/>
    <mergeCell ref="A16:C16"/>
    <mergeCell ref="D16:F16"/>
    <mergeCell ref="G16:H16"/>
    <mergeCell ref="A17:C17"/>
    <mergeCell ref="D17:F17"/>
    <mergeCell ref="G17:H17"/>
    <mergeCell ref="B13:C13"/>
    <mergeCell ref="G13:H13"/>
    <mergeCell ref="A14:F14"/>
    <mergeCell ref="G14:H14"/>
    <mergeCell ref="A15:C15"/>
    <mergeCell ref="D15:F15"/>
    <mergeCell ref="G15:H15"/>
    <mergeCell ref="B12:C12"/>
    <mergeCell ref="G12:H12"/>
    <mergeCell ref="E6:H6"/>
    <mergeCell ref="E7:H7"/>
    <mergeCell ref="E8:H8"/>
    <mergeCell ref="A9:D9"/>
    <mergeCell ref="A10:D10"/>
    <mergeCell ref="E10:H10"/>
    <mergeCell ref="A11:D11"/>
    <mergeCell ref="E11:H11"/>
    <mergeCell ref="A5:H5"/>
    <mergeCell ref="A1:B4"/>
    <mergeCell ref="C1:H1"/>
    <mergeCell ref="C2:H2"/>
    <mergeCell ref="D3:H3"/>
    <mergeCell ref="D4:H4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A0FE-32AC-482E-9D93-D505C374CF8F}">
  <sheetPr>
    <tabColor rgb="FFFF0000"/>
    <pageSetUpPr fitToPage="1"/>
  </sheetPr>
  <dimension ref="A1:H25"/>
  <sheetViews>
    <sheetView workbookViewId="0">
      <selection activeCell="A6" sqref="A6:D10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210" t="s">
        <v>5</v>
      </c>
      <c r="B6" s="211"/>
      <c r="C6" s="211"/>
      <c r="D6" s="211"/>
      <c r="E6" s="72" t="s">
        <v>63</v>
      </c>
      <c r="F6" s="72"/>
      <c r="G6" s="72"/>
      <c r="H6" s="73"/>
    </row>
    <row r="7" spans="1:8">
      <c r="A7" s="210" t="s">
        <v>7</v>
      </c>
      <c r="B7" s="211"/>
      <c r="C7" s="211"/>
      <c r="D7" s="211"/>
      <c r="E7" s="72" t="s">
        <v>64</v>
      </c>
      <c r="F7" s="72"/>
      <c r="G7" s="72"/>
      <c r="H7" s="73"/>
    </row>
    <row r="8" spans="1:8">
      <c r="A8" s="42" t="s">
        <v>9</v>
      </c>
      <c r="E8" s="72" t="s">
        <v>65</v>
      </c>
      <c r="F8" s="72"/>
      <c r="G8" s="72"/>
      <c r="H8" s="73"/>
    </row>
    <row r="9" spans="1:8">
      <c r="A9" s="210" t="s">
        <v>11</v>
      </c>
      <c r="B9" s="211"/>
      <c r="C9" s="211"/>
      <c r="D9" s="211"/>
      <c r="H9" s="44"/>
    </row>
    <row r="10" spans="1:8">
      <c r="A10" s="210" t="s">
        <v>12</v>
      </c>
      <c r="B10" s="211"/>
      <c r="C10" s="211"/>
      <c r="D10" s="211"/>
      <c r="E10" s="67"/>
      <c r="F10" s="67"/>
      <c r="G10" s="67"/>
      <c r="H10" s="68"/>
    </row>
    <row r="11" spans="1:8">
      <c r="A11" s="82"/>
      <c r="B11" s="83"/>
      <c r="C11" s="83"/>
      <c r="D11" s="83"/>
      <c r="E11" s="84"/>
      <c r="F11" s="84"/>
      <c r="G11" s="84"/>
      <c r="H11" s="85"/>
    </row>
    <row r="12" spans="1:8">
      <c r="A12" s="50" t="s">
        <v>13</v>
      </c>
      <c r="B12" s="86" t="s">
        <v>14</v>
      </c>
      <c r="C12" s="87"/>
      <c r="D12" s="46" t="s">
        <v>15</v>
      </c>
      <c r="E12" s="46" t="s">
        <v>16</v>
      </c>
      <c r="F12" s="46" t="s">
        <v>17</v>
      </c>
      <c r="G12" s="86" t="s">
        <v>18</v>
      </c>
      <c r="H12" s="88"/>
    </row>
    <row r="13" spans="1:8" ht="72.599999999999994" customHeight="1">
      <c r="A13" s="51">
        <v>1</v>
      </c>
      <c r="B13" s="145" t="s">
        <v>19</v>
      </c>
      <c r="C13" s="87"/>
      <c r="D13" s="47">
        <v>1</v>
      </c>
      <c r="E13" s="48">
        <v>11396</v>
      </c>
      <c r="F13" s="49">
        <v>0.18</v>
      </c>
      <c r="G13" s="91">
        <f>D13*E13</f>
        <v>11396</v>
      </c>
      <c r="H13" s="92"/>
    </row>
    <row r="14" spans="1:8">
      <c r="A14" s="133" t="s">
        <v>20</v>
      </c>
      <c r="B14" s="134"/>
      <c r="C14" s="134"/>
      <c r="D14" s="134"/>
      <c r="E14" s="134"/>
      <c r="F14" s="134"/>
      <c r="G14" s="135">
        <f>SUM(G13:H13)</f>
        <v>11396</v>
      </c>
      <c r="H14" s="136"/>
    </row>
    <row r="15" spans="1:8">
      <c r="A15" s="125" t="s">
        <v>21</v>
      </c>
      <c r="B15" s="72"/>
      <c r="C15" s="126"/>
      <c r="D15" s="127" t="s">
        <v>22</v>
      </c>
      <c r="E15" s="127"/>
      <c r="F15" s="127"/>
      <c r="G15" s="96">
        <v>1104</v>
      </c>
      <c r="H15" s="97"/>
    </row>
    <row r="16" spans="1:8">
      <c r="A16" s="212" t="s">
        <v>23</v>
      </c>
      <c r="B16" s="213"/>
      <c r="C16" s="225"/>
      <c r="D16" s="79"/>
      <c r="E16" s="79"/>
      <c r="F16" s="79"/>
      <c r="G16" s="96"/>
      <c r="H16" s="97"/>
    </row>
    <row r="17" spans="1:8">
      <c r="A17" s="226"/>
      <c r="B17" s="227"/>
      <c r="C17" s="228"/>
      <c r="D17" s="79" t="s">
        <v>24</v>
      </c>
      <c r="E17" s="79"/>
      <c r="F17" s="79"/>
      <c r="G17" s="141">
        <v>12500</v>
      </c>
      <c r="H17" s="142"/>
    </row>
    <row r="18" spans="1:8">
      <c r="A18" s="128" t="s">
        <v>25</v>
      </c>
      <c r="B18" s="129"/>
      <c r="C18" s="129"/>
      <c r="D18" s="143" t="s">
        <v>26</v>
      </c>
      <c r="E18" s="143"/>
      <c r="F18" s="143"/>
      <c r="G18" s="143"/>
      <c r="H18" s="144"/>
    </row>
    <row r="19" spans="1:8">
      <c r="A19" s="137" t="s">
        <v>27</v>
      </c>
      <c r="B19" s="138"/>
      <c r="C19" s="138"/>
      <c r="D19" s="139">
        <v>12500</v>
      </c>
      <c r="E19" s="139"/>
      <c r="F19" s="139"/>
      <c r="G19" s="139"/>
      <c r="H19" s="140"/>
    </row>
    <row r="20" spans="1:8">
      <c r="A20" s="218" t="s">
        <v>28</v>
      </c>
      <c r="B20" s="100"/>
      <c r="C20" s="100"/>
      <c r="D20" s="100"/>
      <c r="E20" s="100"/>
      <c r="F20" s="100"/>
      <c r="G20" s="100"/>
      <c r="H20" s="101"/>
    </row>
    <row r="21" spans="1:8">
      <c r="A21" s="102"/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 ht="18.75" customHeight="1">
      <c r="A23" s="103"/>
      <c r="B23" s="104"/>
      <c r="C23" s="104"/>
      <c r="D23" s="104"/>
      <c r="E23" s="104"/>
      <c r="F23" s="104"/>
      <c r="G23" s="104"/>
      <c r="H23" s="105"/>
    </row>
    <row r="24" spans="1:8">
      <c r="A24" s="219" t="s">
        <v>29</v>
      </c>
      <c r="B24" s="220"/>
      <c r="C24" s="220"/>
      <c r="D24" s="220"/>
      <c r="E24" s="220"/>
      <c r="F24" s="220"/>
      <c r="G24" s="220"/>
      <c r="H24" s="221"/>
    </row>
    <row r="25" spans="1:8">
      <c r="A25" s="222"/>
      <c r="B25" s="223"/>
      <c r="C25" s="223"/>
      <c r="D25" s="223"/>
      <c r="E25" s="223"/>
      <c r="F25" s="223"/>
      <c r="G25" s="223"/>
      <c r="H25" s="224"/>
    </row>
  </sheetData>
  <mergeCells count="37">
    <mergeCell ref="A24:H25"/>
    <mergeCell ref="A18:C18"/>
    <mergeCell ref="D18:H18"/>
    <mergeCell ref="A19:C19"/>
    <mergeCell ref="D19:H19"/>
    <mergeCell ref="A20:H23"/>
    <mergeCell ref="A16:C16"/>
    <mergeCell ref="D16:F16"/>
    <mergeCell ref="G16:H16"/>
    <mergeCell ref="A17:C17"/>
    <mergeCell ref="D17:F17"/>
    <mergeCell ref="G17:H17"/>
    <mergeCell ref="B13:C13"/>
    <mergeCell ref="G13:H13"/>
    <mergeCell ref="A14:F14"/>
    <mergeCell ref="G14:H14"/>
    <mergeCell ref="A15:C15"/>
    <mergeCell ref="D15:F15"/>
    <mergeCell ref="G15:H15"/>
    <mergeCell ref="B12:C12"/>
    <mergeCell ref="G12:H12"/>
    <mergeCell ref="A6:D6"/>
    <mergeCell ref="E6:H6"/>
    <mergeCell ref="A7:D7"/>
    <mergeCell ref="E7:H7"/>
    <mergeCell ref="E8:H8"/>
    <mergeCell ref="A9:D9"/>
    <mergeCell ref="A10:D10"/>
    <mergeCell ref="E10:H10"/>
    <mergeCell ref="A11:D11"/>
    <mergeCell ref="E11:H11"/>
    <mergeCell ref="A5:H5"/>
    <mergeCell ref="A1:B4"/>
    <mergeCell ref="C1:H1"/>
    <mergeCell ref="C2:H2"/>
    <mergeCell ref="D3:H3"/>
    <mergeCell ref="D4:H4"/>
  </mergeCells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DF5F-33ED-400E-898D-C3E0670B4FED}">
  <sheetPr>
    <tabColor rgb="FFFF0000"/>
  </sheetPr>
  <dimension ref="A1:H25"/>
  <sheetViews>
    <sheetView workbookViewId="0">
      <selection activeCell="E10" sqref="E10:H10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42" t="s">
        <v>30</v>
      </c>
      <c r="E6" s="72" t="s">
        <v>66</v>
      </c>
      <c r="F6" s="72"/>
      <c r="G6" s="72"/>
      <c r="H6" s="73"/>
    </row>
    <row r="7" spans="1:8">
      <c r="A7" s="42" t="s">
        <v>32</v>
      </c>
      <c r="E7" s="146" t="s">
        <v>67</v>
      </c>
      <c r="F7" s="72"/>
      <c r="G7" s="72"/>
      <c r="H7" s="73"/>
    </row>
    <row r="8" spans="1:8">
      <c r="A8" s="42" t="s">
        <v>34</v>
      </c>
      <c r="E8" s="72" t="s">
        <v>68</v>
      </c>
      <c r="F8" s="72"/>
      <c r="G8" s="72"/>
      <c r="H8" s="73"/>
    </row>
    <row r="9" spans="1:8">
      <c r="A9" s="210" t="s">
        <v>12</v>
      </c>
      <c r="B9" s="211"/>
      <c r="C9" s="211"/>
      <c r="D9" s="211"/>
      <c r="H9" s="44"/>
    </row>
    <row r="10" spans="1:8">
      <c r="A10" s="210"/>
      <c r="B10" s="211"/>
      <c r="C10" s="211"/>
      <c r="D10" s="211"/>
      <c r="E10" s="67"/>
      <c r="F10" s="67"/>
      <c r="G10" s="67"/>
      <c r="H10" s="68"/>
    </row>
    <row r="11" spans="1:8">
      <c r="A11" s="82"/>
      <c r="B11" s="83"/>
      <c r="C11" s="83"/>
      <c r="D11" s="83"/>
      <c r="E11" s="84"/>
      <c r="F11" s="84"/>
      <c r="G11" s="84"/>
      <c r="H11" s="85"/>
    </row>
    <row r="12" spans="1:8">
      <c r="A12" s="50" t="s">
        <v>13</v>
      </c>
      <c r="B12" s="86" t="s">
        <v>14</v>
      </c>
      <c r="C12" s="87"/>
      <c r="D12" s="46" t="s">
        <v>15</v>
      </c>
      <c r="E12" s="46" t="s">
        <v>16</v>
      </c>
      <c r="F12" s="46" t="s">
        <v>17</v>
      </c>
      <c r="G12" s="86" t="s">
        <v>18</v>
      </c>
      <c r="H12" s="88"/>
    </row>
    <row r="13" spans="1:8" ht="72.599999999999994" customHeight="1">
      <c r="A13" s="51">
        <v>1</v>
      </c>
      <c r="B13" s="145" t="s">
        <v>19</v>
      </c>
      <c r="C13" s="87"/>
      <c r="D13" s="47">
        <v>1</v>
      </c>
      <c r="E13" s="48">
        <v>11396</v>
      </c>
      <c r="F13" s="49">
        <v>0.18</v>
      </c>
      <c r="G13" s="91">
        <f>D13*E13</f>
        <v>11396</v>
      </c>
      <c r="H13" s="92"/>
    </row>
    <row r="14" spans="1:8">
      <c r="A14" s="133" t="s">
        <v>20</v>
      </c>
      <c r="B14" s="134"/>
      <c r="C14" s="134"/>
      <c r="D14" s="134"/>
      <c r="E14" s="134"/>
      <c r="F14" s="134"/>
      <c r="G14" s="135">
        <f>SUM(G13:H13)</f>
        <v>11396</v>
      </c>
      <c r="H14" s="136"/>
    </row>
    <row r="15" spans="1:8">
      <c r="A15" s="125" t="s">
        <v>21</v>
      </c>
      <c r="B15" s="72"/>
      <c r="C15" s="126"/>
      <c r="D15" s="127" t="s">
        <v>22</v>
      </c>
      <c r="E15" s="127"/>
      <c r="F15" s="127"/>
      <c r="G15" s="96">
        <v>1104</v>
      </c>
      <c r="H15" s="97"/>
    </row>
    <row r="16" spans="1:8">
      <c r="A16" s="212" t="s">
        <v>23</v>
      </c>
      <c r="B16" s="213"/>
      <c r="C16" s="225"/>
      <c r="D16" s="79"/>
      <c r="E16" s="79"/>
      <c r="F16" s="79"/>
      <c r="G16" s="96"/>
      <c r="H16" s="97"/>
    </row>
    <row r="17" spans="1:8">
      <c r="A17" s="226"/>
      <c r="B17" s="227"/>
      <c r="C17" s="228"/>
      <c r="D17" s="79" t="s">
        <v>24</v>
      </c>
      <c r="E17" s="79"/>
      <c r="F17" s="79"/>
      <c r="G17" s="141">
        <v>12500</v>
      </c>
      <c r="H17" s="142"/>
    </row>
    <row r="18" spans="1:8">
      <c r="A18" s="128" t="s">
        <v>25</v>
      </c>
      <c r="B18" s="129"/>
      <c r="C18" s="129"/>
      <c r="D18" s="143" t="s">
        <v>26</v>
      </c>
      <c r="E18" s="143"/>
      <c r="F18" s="143"/>
      <c r="G18" s="143"/>
      <c r="H18" s="144"/>
    </row>
    <row r="19" spans="1:8">
      <c r="A19" s="137" t="s">
        <v>27</v>
      </c>
      <c r="B19" s="138"/>
      <c r="C19" s="138"/>
      <c r="D19" s="139">
        <v>12500</v>
      </c>
      <c r="E19" s="139"/>
      <c r="F19" s="139"/>
      <c r="G19" s="139"/>
      <c r="H19" s="140"/>
    </row>
    <row r="20" spans="1:8">
      <c r="A20" s="218" t="s">
        <v>28</v>
      </c>
      <c r="B20" s="100"/>
      <c r="C20" s="100"/>
      <c r="D20" s="100"/>
      <c r="E20" s="100"/>
      <c r="F20" s="100"/>
      <c r="G20" s="100"/>
      <c r="H20" s="101"/>
    </row>
    <row r="21" spans="1:8">
      <c r="A21" s="102"/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 ht="18.75" customHeight="1">
      <c r="A23" s="103"/>
      <c r="B23" s="104"/>
      <c r="C23" s="104"/>
      <c r="D23" s="104"/>
      <c r="E23" s="104"/>
      <c r="F23" s="104"/>
      <c r="G23" s="104"/>
      <c r="H23" s="105"/>
    </row>
    <row r="24" spans="1:8">
      <c r="A24" s="219" t="s">
        <v>29</v>
      </c>
      <c r="B24" s="220"/>
      <c r="C24" s="220"/>
      <c r="D24" s="220"/>
      <c r="E24" s="220"/>
      <c r="F24" s="220"/>
      <c r="G24" s="220"/>
      <c r="H24" s="221"/>
    </row>
    <row r="25" spans="1:8">
      <c r="A25" s="222"/>
      <c r="B25" s="223"/>
      <c r="C25" s="223"/>
      <c r="D25" s="223"/>
      <c r="E25" s="223"/>
      <c r="F25" s="223"/>
      <c r="G25" s="223"/>
      <c r="H25" s="224"/>
    </row>
  </sheetData>
  <mergeCells count="35">
    <mergeCell ref="A24:H25"/>
    <mergeCell ref="A18:C18"/>
    <mergeCell ref="D18:H18"/>
    <mergeCell ref="A19:C19"/>
    <mergeCell ref="D19:H19"/>
    <mergeCell ref="A20:H23"/>
    <mergeCell ref="A16:C16"/>
    <mergeCell ref="D16:F16"/>
    <mergeCell ref="G16:H16"/>
    <mergeCell ref="A17:C17"/>
    <mergeCell ref="D17:F17"/>
    <mergeCell ref="G17:H17"/>
    <mergeCell ref="B13:C13"/>
    <mergeCell ref="G13:H13"/>
    <mergeCell ref="A14:F14"/>
    <mergeCell ref="G14:H14"/>
    <mergeCell ref="A15:C15"/>
    <mergeCell ref="D15:F15"/>
    <mergeCell ref="G15:H15"/>
    <mergeCell ref="B12:C12"/>
    <mergeCell ref="G12:H12"/>
    <mergeCell ref="E6:H6"/>
    <mergeCell ref="E7:H7"/>
    <mergeCell ref="E8:H8"/>
    <mergeCell ref="A9:D9"/>
    <mergeCell ref="A10:D10"/>
    <mergeCell ref="E10:H10"/>
    <mergeCell ref="A11:D11"/>
    <mergeCell ref="E11:H11"/>
    <mergeCell ref="A5:H5"/>
    <mergeCell ref="A1:B4"/>
    <mergeCell ref="C1:H1"/>
    <mergeCell ref="C2:H2"/>
    <mergeCell ref="D3:H3"/>
    <mergeCell ref="D4:H4"/>
  </mergeCells>
  <pageMargins left="0.7" right="0.7" top="0.75" bottom="0.75" header="0.3" footer="0.3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CF96-7976-4D4F-8637-37845EF82340}">
  <sheetPr>
    <tabColor rgb="FFFF0000"/>
    <pageSetUpPr fitToPage="1"/>
  </sheetPr>
  <dimension ref="A1:H25"/>
  <sheetViews>
    <sheetView workbookViewId="0">
      <selection activeCell="A9" sqref="A9:D9"/>
    </sheetView>
  </sheetViews>
  <sheetFormatPr defaultColWidth="9.140625" defaultRowHeight="17.45"/>
  <cols>
    <col min="1" max="1" width="9.140625" style="15"/>
    <col min="2" max="2" width="24.140625" style="15" customWidth="1"/>
    <col min="3" max="3" width="20.28515625" style="15" customWidth="1"/>
    <col min="4" max="4" width="14.7109375" style="15" customWidth="1"/>
    <col min="5" max="5" width="18" style="15" customWidth="1"/>
    <col min="6" max="6" width="11.85546875" style="15" customWidth="1"/>
    <col min="7" max="7" width="9.140625" style="15"/>
    <col min="8" max="8" width="10.5703125" style="15" customWidth="1"/>
    <col min="9" max="16384" width="9.140625" style="15"/>
  </cols>
  <sheetData>
    <row r="1" spans="1:8">
      <c r="A1" s="206"/>
      <c r="B1" s="207"/>
      <c r="C1" s="63" t="s">
        <v>0</v>
      </c>
      <c r="D1" s="63"/>
      <c r="E1" s="63"/>
      <c r="F1" s="63"/>
      <c r="G1" s="63"/>
      <c r="H1" s="64"/>
    </row>
    <row r="2" spans="1:8">
      <c r="A2" s="208"/>
      <c r="B2" s="209"/>
      <c r="C2" s="65" t="s">
        <v>1</v>
      </c>
      <c r="D2" s="65"/>
      <c r="E2" s="65"/>
      <c r="F2" s="65"/>
      <c r="G2" s="65"/>
      <c r="H2" s="66"/>
    </row>
    <row r="3" spans="1:8">
      <c r="A3" s="208"/>
      <c r="B3" s="209"/>
      <c r="C3" s="16"/>
      <c r="D3" s="65" t="s">
        <v>2</v>
      </c>
      <c r="E3" s="65"/>
      <c r="F3" s="65"/>
      <c r="G3" s="65"/>
      <c r="H3" s="66"/>
    </row>
    <row r="4" spans="1:8">
      <c r="A4" s="208"/>
      <c r="B4" s="209"/>
      <c r="C4" s="16"/>
      <c r="D4" s="65" t="s">
        <v>3</v>
      </c>
      <c r="E4" s="65"/>
      <c r="F4" s="65"/>
      <c r="G4" s="65"/>
      <c r="H4" s="66"/>
    </row>
    <row r="5" spans="1:8" ht="22.9">
      <c r="A5" s="69" t="s">
        <v>4</v>
      </c>
      <c r="B5" s="70"/>
      <c r="C5" s="70"/>
      <c r="D5" s="70"/>
      <c r="E5" s="70"/>
      <c r="F5" s="70"/>
      <c r="G5" s="70"/>
      <c r="H5" s="71"/>
    </row>
    <row r="6" spans="1:8">
      <c r="A6" s="210" t="s">
        <v>5</v>
      </c>
      <c r="B6" s="211"/>
      <c r="C6" s="211"/>
      <c r="D6" s="211"/>
      <c r="E6" s="146" t="s">
        <v>69</v>
      </c>
      <c r="F6" s="72"/>
      <c r="G6" s="72"/>
      <c r="H6" s="73"/>
    </row>
    <row r="7" spans="1:8">
      <c r="A7" s="210" t="s">
        <v>7</v>
      </c>
      <c r="B7" s="211"/>
      <c r="C7" s="211"/>
      <c r="D7" s="211"/>
      <c r="E7" s="146" t="s">
        <v>70</v>
      </c>
      <c r="F7" s="72"/>
      <c r="G7" s="72"/>
      <c r="H7" s="73"/>
    </row>
    <row r="8" spans="1:8">
      <c r="A8" s="42" t="s">
        <v>9</v>
      </c>
      <c r="E8" s="72" t="s">
        <v>71</v>
      </c>
      <c r="F8" s="72"/>
      <c r="G8" s="72"/>
      <c r="H8" s="73"/>
    </row>
    <row r="9" spans="1:8">
      <c r="A9" s="210" t="s">
        <v>72</v>
      </c>
      <c r="B9" s="211"/>
      <c r="C9" s="211"/>
      <c r="D9" s="211"/>
      <c r="H9" s="44"/>
    </row>
    <row r="10" spans="1:8">
      <c r="A10" s="210" t="s">
        <v>12</v>
      </c>
      <c r="B10" s="211"/>
      <c r="C10" s="211"/>
      <c r="D10" s="211"/>
      <c r="E10" s="67"/>
      <c r="F10" s="67"/>
      <c r="G10" s="67"/>
      <c r="H10" s="68"/>
    </row>
    <row r="11" spans="1:8">
      <c r="A11" s="82"/>
      <c r="B11" s="83"/>
      <c r="C11" s="83"/>
      <c r="D11" s="83"/>
      <c r="E11" s="84"/>
      <c r="F11" s="84"/>
      <c r="G11" s="84"/>
      <c r="H11" s="85"/>
    </row>
    <row r="12" spans="1:8">
      <c r="A12" s="50" t="s">
        <v>13</v>
      </c>
      <c r="B12" s="86" t="s">
        <v>14</v>
      </c>
      <c r="C12" s="87"/>
      <c r="D12" s="46" t="s">
        <v>15</v>
      </c>
      <c r="E12" s="46" t="s">
        <v>16</v>
      </c>
      <c r="F12" s="46" t="s">
        <v>17</v>
      </c>
      <c r="G12" s="86" t="s">
        <v>18</v>
      </c>
      <c r="H12" s="88"/>
    </row>
    <row r="13" spans="1:8" ht="72.599999999999994" customHeight="1">
      <c r="A13" s="51">
        <v>1</v>
      </c>
      <c r="B13" s="145" t="s">
        <v>19</v>
      </c>
      <c r="C13" s="87"/>
      <c r="D13" s="47">
        <v>1</v>
      </c>
      <c r="E13" s="48">
        <v>11396</v>
      </c>
      <c r="F13" s="49">
        <v>0.18</v>
      </c>
      <c r="G13" s="91">
        <f>D13*E13</f>
        <v>11396</v>
      </c>
      <c r="H13" s="92"/>
    </row>
    <row r="14" spans="1:8">
      <c r="A14" s="133" t="s">
        <v>20</v>
      </c>
      <c r="B14" s="134"/>
      <c r="C14" s="134"/>
      <c r="D14" s="134"/>
      <c r="E14" s="134"/>
      <c r="F14" s="134"/>
      <c r="G14" s="135">
        <f>SUM(G13:H13)</f>
        <v>11396</v>
      </c>
      <c r="H14" s="136"/>
    </row>
    <row r="15" spans="1:8">
      <c r="A15" s="125" t="s">
        <v>21</v>
      </c>
      <c r="B15" s="72"/>
      <c r="C15" s="126"/>
      <c r="D15" s="127" t="s">
        <v>22</v>
      </c>
      <c r="E15" s="127"/>
      <c r="F15" s="127"/>
      <c r="G15" s="96">
        <v>1104</v>
      </c>
      <c r="H15" s="97"/>
    </row>
    <row r="16" spans="1:8">
      <c r="A16" s="212" t="s">
        <v>23</v>
      </c>
      <c r="B16" s="213"/>
      <c r="C16" s="225"/>
      <c r="D16" s="79"/>
      <c r="E16" s="79"/>
      <c r="F16" s="79"/>
      <c r="G16" s="96"/>
      <c r="H16" s="97"/>
    </row>
    <row r="17" spans="1:8">
      <c r="A17" s="226"/>
      <c r="B17" s="227"/>
      <c r="C17" s="228"/>
      <c r="D17" s="79" t="s">
        <v>24</v>
      </c>
      <c r="E17" s="79"/>
      <c r="F17" s="79"/>
      <c r="G17" s="141">
        <v>12500</v>
      </c>
      <c r="H17" s="142"/>
    </row>
    <row r="18" spans="1:8">
      <c r="A18" s="128" t="s">
        <v>25</v>
      </c>
      <c r="B18" s="129"/>
      <c r="C18" s="129"/>
      <c r="D18" s="143" t="s">
        <v>26</v>
      </c>
      <c r="E18" s="143"/>
      <c r="F18" s="143"/>
      <c r="G18" s="143"/>
      <c r="H18" s="144"/>
    </row>
    <row r="19" spans="1:8">
      <c r="A19" s="137" t="s">
        <v>27</v>
      </c>
      <c r="B19" s="138"/>
      <c r="C19" s="138"/>
      <c r="D19" s="139">
        <v>12500</v>
      </c>
      <c r="E19" s="139"/>
      <c r="F19" s="139"/>
      <c r="G19" s="139"/>
      <c r="H19" s="140"/>
    </row>
    <row r="20" spans="1:8">
      <c r="A20" s="218" t="s">
        <v>28</v>
      </c>
      <c r="B20" s="100"/>
      <c r="C20" s="100"/>
      <c r="D20" s="100"/>
      <c r="E20" s="100"/>
      <c r="F20" s="100"/>
      <c r="G20" s="100"/>
      <c r="H20" s="101"/>
    </row>
    <row r="21" spans="1:8">
      <c r="A21" s="102"/>
      <c r="B21" s="100"/>
      <c r="C21" s="100"/>
      <c r="D21" s="100"/>
      <c r="E21" s="100"/>
      <c r="F21" s="100"/>
      <c r="G21" s="100"/>
      <c r="H21" s="101"/>
    </row>
    <row r="22" spans="1:8">
      <c r="A22" s="102"/>
      <c r="B22" s="100"/>
      <c r="C22" s="100"/>
      <c r="D22" s="100"/>
      <c r="E22" s="100"/>
      <c r="F22" s="100"/>
      <c r="G22" s="100"/>
      <c r="H22" s="101"/>
    </row>
    <row r="23" spans="1:8" ht="18.75" customHeight="1">
      <c r="A23" s="103"/>
      <c r="B23" s="104"/>
      <c r="C23" s="104"/>
      <c r="D23" s="104"/>
      <c r="E23" s="104"/>
      <c r="F23" s="104"/>
      <c r="G23" s="104"/>
      <c r="H23" s="105"/>
    </row>
    <row r="24" spans="1:8">
      <c r="A24" s="219" t="s">
        <v>29</v>
      </c>
      <c r="B24" s="220"/>
      <c r="C24" s="220"/>
      <c r="D24" s="220"/>
      <c r="E24" s="220"/>
      <c r="F24" s="220"/>
      <c r="G24" s="220"/>
      <c r="H24" s="221"/>
    </row>
    <row r="25" spans="1:8">
      <c r="A25" s="222"/>
      <c r="B25" s="223"/>
      <c r="C25" s="223"/>
      <c r="D25" s="223"/>
      <c r="E25" s="223"/>
      <c r="F25" s="223"/>
      <c r="G25" s="223"/>
      <c r="H25" s="224"/>
    </row>
  </sheetData>
  <mergeCells count="37">
    <mergeCell ref="A24:H25"/>
    <mergeCell ref="A18:C18"/>
    <mergeCell ref="D18:H18"/>
    <mergeCell ref="A19:C19"/>
    <mergeCell ref="D19:H19"/>
    <mergeCell ref="A20:H23"/>
    <mergeCell ref="A16:C16"/>
    <mergeCell ref="D16:F16"/>
    <mergeCell ref="G16:H16"/>
    <mergeCell ref="A17:C17"/>
    <mergeCell ref="D17:F17"/>
    <mergeCell ref="G17:H17"/>
    <mergeCell ref="B13:C13"/>
    <mergeCell ref="G13:H13"/>
    <mergeCell ref="A14:F14"/>
    <mergeCell ref="G14:H14"/>
    <mergeCell ref="A15:C15"/>
    <mergeCell ref="D15:F15"/>
    <mergeCell ref="G15:H15"/>
    <mergeCell ref="B12:C12"/>
    <mergeCell ref="G12:H12"/>
    <mergeCell ref="A6:D6"/>
    <mergeCell ref="E6:H6"/>
    <mergeCell ref="A7:D7"/>
    <mergeCell ref="E7:H7"/>
    <mergeCell ref="E8:H8"/>
    <mergeCell ref="A9:D9"/>
    <mergeCell ref="A10:D10"/>
    <mergeCell ref="E10:H10"/>
    <mergeCell ref="A11:D11"/>
    <mergeCell ref="E11:H11"/>
    <mergeCell ref="A5:H5"/>
    <mergeCell ref="A1:B4"/>
    <mergeCell ref="C1:H1"/>
    <mergeCell ref="C2:H2"/>
    <mergeCell ref="D3:H3"/>
    <mergeCell ref="D4:H4"/>
  </mergeCells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648C-3232-45B1-8DB5-C3F84197ABAC}">
  <sheetPr>
    <pageSetUpPr fitToPage="1"/>
  </sheetPr>
  <dimension ref="A1:E21"/>
  <sheetViews>
    <sheetView view="pageBreakPreview" zoomScaleNormal="100" workbookViewId="0">
      <selection activeCell="G5" sqref="G5"/>
    </sheetView>
  </sheetViews>
  <sheetFormatPr defaultColWidth="9.140625" defaultRowHeight="13.15"/>
  <cols>
    <col min="1" max="1" width="59.140625" style="1" customWidth="1"/>
    <col min="2" max="2" width="7.28515625" style="1" customWidth="1"/>
    <col min="3" max="3" width="8.5703125" style="1" customWidth="1"/>
    <col min="4" max="4" width="10.140625" style="1" customWidth="1"/>
    <col min="5" max="5" width="15.42578125" style="1" customWidth="1"/>
    <col min="6" max="16384" width="9.140625" style="1"/>
  </cols>
  <sheetData>
    <row r="1" spans="1:5" ht="41.25" customHeight="1">
      <c r="A1" s="160" t="s">
        <v>73</v>
      </c>
      <c r="B1" s="161"/>
      <c r="C1" s="161"/>
      <c r="D1" s="162"/>
      <c r="E1" s="163"/>
    </row>
    <row r="2" spans="1:5" ht="80.25" customHeight="1">
      <c r="A2" s="229" t="s">
        <v>74</v>
      </c>
      <c r="B2" s="230"/>
      <c r="C2" s="230"/>
      <c r="D2" s="230"/>
      <c r="E2" s="231"/>
    </row>
    <row r="3" spans="1:5" ht="34.5" customHeight="1">
      <c r="A3" s="164" t="s">
        <v>75</v>
      </c>
      <c r="B3" s="166" t="s">
        <v>76</v>
      </c>
      <c r="C3" s="167"/>
      <c r="D3" s="167"/>
      <c r="E3" s="168"/>
    </row>
    <row r="4" spans="1:5" ht="108" customHeight="1">
      <c r="A4" s="165"/>
      <c r="B4" s="169"/>
      <c r="C4" s="170"/>
      <c r="D4" s="170"/>
      <c r="E4" s="171"/>
    </row>
    <row r="5" spans="1:5" ht="49.5" customHeight="1">
      <c r="A5" s="38" t="s">
        <v>77</v>
      </c>
      <c r="B5" s="37" t="s">
        <v>78</v>
      </c>
      <c r="C5" s="37" t="s">
        <v>79</v>
      </c>
      <c r="D5" s="37" t="s">
        <v>80</v>
      </c>
      <c r="E5" s="39" t="s">
        <v>81</v>
      </c>
    </row>
    <row r="6" spans="1:5" ht="31.5" customHeight="1">
      <c r="A6" s="33" t="s">
        <v>82</v>
      </c>
      <c r="B6" s="4">
        <v>11</v>
      </c>
      <c r="C6" s="4">
        <v>1036</v>
      </c>
      <c r="D6" s="4">
        <v>100</v>
      </c>
      <c r="E6" s="32">
        <f>B6*C6-D6</f>
        <v>11296</v>
      </c>
    </row>
    <row r="7" spans="1:5" ht="15.6">
      <c r="A7" s="31"/>
      <c r="B7" s="4"/>
      <c r="C7" s="6"/>
      <c r="D7" s="6"/>
      <c r="E7" s="9"/>
    </row>
    <row r="8" spans="1:5" ht="13.9">
      <c r="A8" s="2"/>
      <c r="B8" s="4"/>
      <c r="C8" s="4"/>
      <c r="D8" s="4"/>
      <c r="E8" s="5"/>
    </row>
    <row r="9" spans="1:5" ht="13.9">
      <c r="A9" s="2"/>
      <c r="B9" s="4"/>
      <c r="C9" s="4"/>
      <c r="D9" s="4"/>
      <c r="E9" s="5"/>
    </row>
    <row r="10" spans="1:5" ht="13.9">
      <c r="A10" s="2"/>
      <c r="B10" s="4"/>
      <c r="C10" s="4"/>
      <c r="D10" s="4"/>
      <c r="E10" s="5"/>
    </row>
    <row r="11" spans="1:5" ht="13.9">
      <c r="A11" s="2"/>
      <c r="B11" s="4"/>
      <c r="C11" s="4"/>
      <c r="D11" s="4"/>
      <c r="E11" s="5"/>
    </row>
    <row r="12" spans="1:5" ht="13.9">
      <c r="A12" s="2"/>
      <c r="B12" s="4"/>
      <c r="C12" s="4"/>
      <c r="D12" s="4"/>
      <c r="E12" s="5"/>
    </row>
    <row r="13" spans="1:5" ht="13.9">
      <c r="A13" s="2"/>
      <c r="B13" s="4"/>
      <c r="C13" s="4"/>
      <c r="D13" s="4"/>
      <c r="E13" s="5"/>
    </row>
    <row r="14" spans="1:5" ht="13.9">
      <c r="A14" s="2"/>
      <c r="B14" s="4"/>
      <c r="C14" s="4"/>
      <c r="D14" s="4"/>
      <c r="E14" s="5"/>
    </row>
    <row r="15" spans="1:5" ht="13.9">
      <c r="A15" s="2"/>
      <c r="B15" s="4"/>
      <c r="C15" s="4"/>
      <c r="D15" s="4"/>
      <c r="E15" s="5"/>
    </row>
    <row r="16" spans="1:5" ht="13.9">
      <c r="A16" s="2"/>
      <c r="B16" s="4"/>
      <c r="C16" s="4"/>
      <c r="D16" s="4"/>
      <c r="E16" s="7"/>
    </row>
    <row r="17" spans="1:5" ht="27" customHeight="1" thickBot="1">
      <c r="A17" s="40"/>
      <c r="B17" s="149" t="s">
        <v>83</v>
      </c>
      <c r="C17" s="150"/>
      <c r="D17" s="151"/>
      <c r="E17" s="41">
        <f>E7+E6</f>
        <v>11296</v>
      </c>
    </row>
    <row r="18" spans="1:5" ht="23.25" customHeight="1">
      <c r="A18" s="152" t="s">
        <v>84</v>
      </c>
      <c r="B18" s="154" t="s">
        <v>85</v>
      </c>
      <c r="C18" s="155"/>
      <c r="D18" s="155"/>
      <c r="E18" s="10">
        <f>E17*9.69%</f>
        <v>1094.5824</v>
      </c>
    </row>
    <row r="19" spans="1:5" ht="13.9">
      <c r="A19" s="152"/>
      <c r="B19" s="156"/>
      <c r="C19" s="157"/>
      <c r="D19" s="157"/>
      <c r="E19" s="9"/>
    </row>
    <row r="20" spans="1:5" ht="13.9">
      <c r="A20" s="152"/>
      <c r="B20" s="156" t="s">
        <v>86</v>
      </c>
      <c r="C20" s="157"/>
      <c r="D20" s="157"/>
      <c r="E20" s="9">
        <f>E17+E18</f>
        <v>12390.582399999999</v>
      </c>
    </row>
    <row r="21" spans="1:5" ht="59.25" customHeight="1" thickBot="1">
      <c r="A21" s="153"/>
      <c r="B21" s="158" t="s">
        <v>87</v>
      </c>
      <c r="C21" s="159"/>
      <c r="D21" s="159"/>
      <c r="E21" s="57">
        <v>12390</v>
      </c>
    </row>
  </sheetData>
  <mergeCells count="11">
    <mergeCell ref="A1:C1"/>
    <mergeCell ref="D1:E1"/>
    <mergeCell ref="A3:A4"/>
    <mergeCell ref="B3:E4"/>
    <mergeCell ref="A2:E2"/>
    <mergeCell ref="B17:D17"/>
    <mergeCell ref="A18:A21"/>
    <mergeCell ref="B18:D18"/>
    <mergeCell ref="B19:D19"/>
    <mergeCell ref="B20:D20"/>
    <mergeCell ref="B21:D21"/>
  </mergeCells>
  <pageMargins left="0.7" right="0.7" top="0.75" bottom="0.75" header="0.3" footer="0.3"/>
  <pageSetup paperSize="9" scale="9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A8B6-8B4C-4D82-ABDA-A6B19BECAE98}">
  <sheetPr>
    <pageSetUpPr fitToPage="1"/>
  </sheetPr>
  <dimension ref="A1:E21"/>
  <sheetViews>
    <sheetView workbookViewId="0">
      <selection activeCell="G4" sqref="G4"/>
    </sheetView>
  </sheetViews>
  <sheetFormatPr defaultColWidth="9.140625" defaultRowHeight="13.15"/>
  <cols>
    <col min="1" max="1" width="47.5703125" style="1" customWidth="1"/>
    <col min="2" max="2" width="11.85546875" style="1" customWidth="1"/>
    <col min="3" max="4" width="8.7109375" style="1" customWidth="1"/>
    <col min="5" max="5" width="15" style="1" customWidth="1"/>
    <col min="6" max="16384" width="9.140625" style="1"/>
  </cols>
  <sheetData>
    <row r="1" spans="1:5" ht="41.25" customHeight="1">
      <c r="A1" s="160" t="s">
        <v>88</v>
      </c>
      <c r="B1" s="161"/>
      <c r="C1" s="161"/>
      <c r="D1" s="162"/>
      <c r="E1" s="163"/>
    </row>
    <row r="2" spans="1:5" ht="80.25" customHeight="1">
      <c r="A2" s="172" t="s">
        <v>89</v>
      </c>
      <c r="B2" s="173"/>
      <c r="C2" s="173"/>
      <c r="D2" s="173"/>
      <c r="E2" s="174"/>
    </row>
    <row r="3" spans="1:5" ht="34.5" customHeight="1">
      <c r="A3" s="205" t="s">
        <v>75</v>
      </c>
      <c r="B3" s="178" t="s">
        <v>90</v>
      </c>
      <c r="C3" s="179"/>
      <c r="D3" s="179"/>
      <c r="E3" s="180"/>
    </row>
    <row r="4" spans="1:5" ht="108" customHeight="1" thickBot="1">
      <c r="A4" s="177"/>
      <c r="B4" s="181"/>
      <c r="C4" s="182"/>
      <c r="D4" s="182"/>
      <c r="E4" s="183"/>
    </row>
    <row r="5" spans="1:5" ht="49.5" customHeight="1">
      <c r="A5" s="38" t="s">
        <v>77</v>
      </c>
      <c r="B5" s="37" t="s">
        <v>78</v>
      </c>
      <c r="C5" s="37" t="s">
        <v>79</v>
      </c>
      <c r="D5" s="37" t="s">
        <v>80</v>
      </c>
      <c r="E5" s="39" t="s">
        <v>81</v>
      </c>
    </row>
    <row r="6" spans="1:5" ht="31.5" customHeight="1">
      <c r="A6" s="33" t="s">
        <v>82</v>
      </c>
      <c r="B6" s="4">
        <v>11</v>
      </c>
      <c r="C6" s="4">
        <v>1036</v>
      </c>
      <c r="D6" s="4"/>
      <c r="E6" s="59">
        <v>11396</v>
      </c>
    </row>
    <row r="7" spans="1:5" ht="15.6">
      <c r="A7" s="31"/>
      <c r="B7" s="4"/>
      <c r="C7" s="6"/>
      <c r="D7" s="6"/>
      <c r="E7" s="9"/>
    </row>
    <row r="8" spans="1:5" ht="13.9">
      <c r="A8" s="2"/>
      <c r="B8" s="4"/>
      <c r="C8" s="4"/>
      <c r="D8" s="4"/>
      <c r="E8" s="5"/>
    </row>
    <row r="9" spans="1:5" ht="13.9">
      <c r="A9" s="2"/>
      <c r="B9" s="4"/>
      <c r="C9" s="4"/>
      <c r="D9" s="4"/>
      <c r="E9" s="5"/>
    </row>
    <row r="10" spans="1:5" ht="13.9">
      <c r="A10" s="2"/>
      <c r="B10" s="4"/>
      <c r="C10" s="4"/>
      <c r="D10" s="4"/>
      <c r="E10" s="5"/>
    </row>
    <row r="11" spans="1:5" ht="13.9">
      <c r="A11" s="2"/>
      <c r="B11" s="4"/>
      <c r="C11" s="4"/>
      <c r="D11" s="4"/>
      <c r="E11" s="5"/>
    </row>
    <row r="12" spans="1:5" ht="13.9">
      <c r="A12" s="2"/>
      <c r="B12" s="4"/>
      <c r="C12" s="4"/>
      <c r="D12" s="4"/>
      <c r="E12" s="5"/>
    </row>
    <row r="13" spans="1:5" ht="13.9">
      <c r="A13" s="2"/>
      <c r="B13" s="4"/>
      <c r="C13" s="4"/>
      <c r="D13" s="4"/>
      <c r="E13" s="5"/>
    </row>
    <row r="14" spans="1:5" ht="13.9">
      <c r="A14" s="2"/>
      <c r="B14" s="4"/>
      <c r="C14" s="4"/>
      <c r="D14" s="4"/>
      <c r="E14" s="5"/>
    </row>
    <row r="15" spans="1:5" ht="13.9">
      <c r="A15" s="2"/>
      <c r="B15" s="4"/>
      <c r="C15" s="4"/>
      <c r="D15" s="4"/>
      <c r="E15" s="5"/>
    </row>
    <row r="16" spans="1:5" ht="13.9">
      <c r="A16" s="2"/>
      <c r="B16" s="4"/>
      <c r="C16" s="4"/>
      <c r="D16" s="4"/>
      <c r="E16" s="7"/>
    </row>
    <row r="17" spans="1:5" ht="27" customHeight="1" thickBot="1">
      <c r="A17" s="58"/>
      <c r="B17" s="150" t="s">
        <v>83</v>
      </c>
      <c r="C17" s="150"/>
      <c r="D17" s="151"/>
      <c r="E17" s="60">
        <f>E7+E6</f>
        <v>11396</v>
      </c>
    </row>
    <row r="18" spans="1:5" ht="23.25" customHeight="1">
      <c r="A18" s="175" t="s">
        <v>84</v>
      </c>
      <c r="B18" s="154" t="s">
        <v>85</v>
      </c>
      <c r="C18" s="155"/>
      <c r="D18" s="155"/>
      <c r="E18" s="61">
        <f>E17*9.69%</f>
        <v>1104.2724000000001</v>
      </c>
    </row>
    <row r="19" spans="1:5" ht="13.9">
      <c r="A19" s="175"/>
      <c r="B19" s="156"/>
      <c r="C19" s="157"/>
      <c r="D19" s="157"/>
      <c r="E19" s="62"/>
    </row>
    <row r="20" spans="1:5" ht="13.9">
      <c r="A20" s="175"/>
      <c r="B20" s="156" t="s">
        <v>86</v>
      </c>
      <c r="C20" s="157"/>
      <c r="D20" s="157"/>
      <c r="E20" s="62">
        <f>E17+E18</f>
        <v>12500.2724</v>
      </c>
    </row>
    <row r="21" spans="1:5" ht="75" customHeight="1" thickBot="1">
      <c r="A21" s="176"/>
      <c r="B21" s="158" t="s">
        <v>87</v>
      </c>
      <c r="C21" s="159"/>
      <c r="D21" s="159"/>
      <c r="E21" s="57">
        <v>12500</v>
      </c>
    </row>
  </sheetData>
  <mergeCells count="11">
    <mergeCell ref="A1:C1"/>
    <mergeCell ref="D1:E1"/>
    <mergeCell ref="A3:A4"/>
    <mergeCell ref="B3:E4"/>
    <mergeCell ref="B17:D17"/>
    <mergeCell ref="A2:E2"/>
    <mergeCell ref="A18:A21"/>
    <mergeCell ref="B18:D18"/>
    <mergeCell ref="B19:D19"/>
    <mergeCell ref="B20:D20"/>
    <mergeCell ref="B21:D21"/>
  </mergeCells>
  <pageMargins left="0.7" right="0.7" top="0.75" bottom="0.75" header="0.3" footer="0.3"/>
  <pageSetup paperSize="9" scale="9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1D02-CB29-43E4-AB68-5AB56D875185}">
  <sheetPr>
    <pageSetUpPr fitToPage="1"/>
  </sheetPr>
  <dimension ref="A1:I26"/>
  <sheetViews>
    <sheetView tabSelected="1" zoomScale="87" zoomScaleNormal="87" workbookViewId="0">
      <selection activeCell="A2" sqref="A2:E2"/>
    </sheetView>
  </sheetViews>
  <sheetFormatPr defaultColWidth="9.140625" defaultRowHeight="13.15"/>
  <cols>
    <col min="1" max="1" width="54.7109375" style="1" customWidth="1"/>
    <col min="2" max="2" width="7.28515625" style="1" customWidth="1"/>
    <col min="3" max="3" width="13.140625" style="1" customWidth="1"/>
    <col min="4" max="4" width="15.140625" style="1" customWidth="1"/>
    <col min="5" max="5" width="18.140625" style="1" customWidth="1"/>
    <col min="6" max="16384" width="9.140625" style="1"/>
  </cols>
  <sheetData>
    <row r="1" spans="1:9" ht="42" customHeight="1">
      <c r="A1" s="190" t="s">
        <v>73</v>
      </c>
      <c r="B1" s="191"/>
      <c r="C1" s="191"/>
      <c r="D1" s="192" t="s">
        <v>91</v>
      </c>
      <c r="E1" s="193"/>
    </row>
    <row r="2" spans="1:9" ht="80.25" customHeight="1">
      <c r="A2" s="202" t="s">
        <v>92</v>
      </c>
      <c r="B2" s="203"/>
      <c r="C2" s="203"/>
      <c r="D2" s="203"/>
      <c r="E2" s="204"/>
      <c r="I2"/>
    </row>
    <row r="3" spans="1:9" ht="34.5" customHeight="1">
      <c r="A3" s="194" t="s">
        <v>75</v>
      </c>
      <c r="B3" s="195"/>
      <c r="C3" s="195"/>
      <c r="D3" s="195"/>
      <c r="E3" s="196"/>
    </row>
    <row r="4" spans="1:9" ht="85.5" customHeight="1">
      <c r="A4" s="194"/>
      <c r="B4" s="195"/>
      <c r="C4" s="195"/>
      <c r="D4" s="195"/>
      <c r="E4" s="196"/>
    </row>
    <row r="5" spans="1:9" ht="26.25" customHeight="1">
      <c r="A5" s="17" t="s">
        <v>77</v>
      </c>
      <c r="B5" s="11" t="s">
        <v>78</v>
      </c>
      <c r="C5" s="11" t="s">
        <v>79</v>
      </c>
      <c r="D5" s="11" t="s">
        <v>93</v>
      </c>
      <c r="E5" s="18" t="s">
        <v>81</v>
      </c>
    </row>
    <row r="6" spans="1:9" ht="33" customHeight="1">
      <c r="A6" s="30" t="s">
        <v>94</v>
      </c>
      <c r="B6" s="12">
        <v>1</v>
      </c>
      <c r="C6" s="8">
        <v>11396</v>
      </c>
      <c r="D6" s="8">
        <v>1104.27</v>
      </c>
      <c r="E6" s="19">
        <v>11396</v>
      </c>
    </row>
    <row r="7" spans="1:9" ht="15.6">
      <c r="A7" s="20"/>
      <c r="B7" s="13"/>
      <c r="C7" s="6"/>
      <c r="D7" s="6"/>
      <c r="E7" s="21"/>
    </row>
    <row r="8" spans="1:9" ht="13.9">
      <c r="A8" s="22"/>
      <c r="B8" s="14"/>
      <c r="C8" s="4"/>
      <c r="D8" s="4"/>
      <c r="E8" s="23"/>
    </row>
    <row r="9" spans="1:9" ht="13.9">
      <c r="A9" s="22"/>
      <c r="B9" s="14"/>
      <c r="C9" s="4"/>
      <c r="D9" s="4"/>
      <c r="E9" s="23"/>
    </row>
    <row r="10" spans="1:9" ht="13.9">
      <c r="A10" s="22"/>
      <c r="B10" s="14"/>
      <c r="C10" s="4"/>
      <c r="D10" s="4"/>
      <c r="E10" s="23"/>
    </row>
    <row r="11" spans="1:9" ht="13.9">
      <c r="A11" s="22"/>
      <c r="B11" s="14"/>
      <c r="C11" s="4"/>
      <c r="D11" s="4"/>
      <c r="E11" s="23"/>
    </row>
    <row r="12" spans="1:9" ht="13.9">
      <c r="A12" s="22"/>
      <c r="B12" s="14"/>
      <c r="C12" s="4"/>
      <c r="D12" s="4"/>
      <c r="E12" s="23"/>
    </row>
    <row r="13" spans="1:9" ht="13.9">
      <c r="A13" s="22"/>
      <c r="B13" s="14"/>
      <c r="C13" s="4"/>
      <c r="D13" s="4"/>
      <c r="E13" s="23"/>
    </row>
    <row r="14" spans="1:9" ht="13.9">
      <c r="A14" s="22"/>
      <c r="B14" s="14"/>
      <c r="C14" s="4"/>
      <c r="D14" s="4"/>
      <c r="E14" s="23"/>
    </row>
    <row r="15" spans="1:9" ht="13.9">
      <c r="A15" s="22"/>
      <c r="B15" s="14"/>
      <c r="C15" s="4"/>
      <c r="D15" s="4"/>
      <c r="E15" s="23"/>
    </row>
    <row r="16" spans="1:9" ht="13.9">
      <c r="A16" s="22"/>
      <c r="B16" s="14"/>
      <c r="C16" s="4"/>
      <c r="D16" s="4"/>
      <c r="E16" s="24"/>
    </row>
    <row r="17" spans="1:5" ht="25.5" customHeight="1">
      <c r="A17" s="25"/>
      <c r="B17" s="4"/>
      <c r="C17" s="3" t="s">
        <v>83</v>
      </c>
      <c r="D17" s="3"/>
      <c r="E17" s="26">
        <f>E6</f>
        <v>11396</v>
      </c>
    </row>
    <row r="18" spans="1:5" ht="23.25" customHeight="1">
      <c r="A18" s="197" t="s">
        <v>95</v>
      </c>
      <c r="B18" s="154" t="s">
        <v>85</v>
      </c>
      <c r="C18" s="155"/>
      <c r="D18" s="155"/>
      <c r="E18" s="27">
        <f>E17*9.69%</f>
        <v>1104.2724000000001</v>
      </c>
    </row>
    <row r="19" spans="1:5" ht="13.9">
      <c r="A19" s="198"/>
      <c r="B19" s="156" t="s">
        <v>96</v>
      </c>
      <c r="C19" s="157"/>
      <c r="D19" s="157"/>
      <c r="E19" s="28">
        <v>-0.27</v>
      </c>
    </row>
    <row r="20" spans="1:5" ht="13.9">
      <c r="A20" s="198"/>
      <c r="B20" s="156" t="s">
        <v>97</v>
      </c>
      <c r="C20" s="157"/>
      <c r="D20" s="157"/>
      <c r="E20" s="28">
        <v>12500</v>
      </c>
    </row>
    <row r="21" spans="1:5" ht="51.75" customHeight="1">
      <c r="A21" s="199"/>
      <c r="B21" s="200" t="s">
        <v>87</v>
      </c>
      <c r="C21" s="201"/>
      <c r="D21" s="201"/>
      <c r="E21" s="29">
        <f>E20</f>
        <v>12500</v>
      </c>
    </row>
    <row r="22" spans="1:5">
      <c r="A22" s="184" t="s">
        <v>98</v>
      </c>
      <c r="B22" s="185"/>
      <c r="C22" s="185"/>
      <c r="D22" s="185"/>
      <c r="E22" s="186"/>
    </row>
    <row r="23" spans="1:5">
      <c r="A23" s="184"/>
      <c r="B23" s="185"/>
      <c r="C23" s="185"/>
      <c r="D23" s="185"/>
      <c r="E23" s="186"/>
    </row>
    <row r="24" spans="1:5">
      <c r="A24" s="184"/>
      <c r="B24" s="185"/>
      <c r="C24" s="185"/>
      <c r="D24" s="185"/>
      <c r="E24" s="186"/>
    </row>
    <row r="25" spans="1:5">
      <c r="A25" s="184"/>
      <c r="B25" s="185"/>
      <c r="C25" s="185"/>
      <c r="D25" s="185"/>
      <c r="E25" s="186"/>
    </row>
    <row r="26" spans="1:5">
      <c r="A26" s="187"/>
      <c r="B26" s="188"/>
      <c r="C26" s="188"/>
      <c r="D26" s="188"/>
      <c r="E26" s="189"/>
    </row>
  </sheetData>
  <mergeCells count="11">
    <mergeCell ref="A22:E26"/>
    <mergeCell ref="A1:C1"/>
    <mergeCell ref="D1:E1"/>
    <mergeCell ref="A3:A4"/>
    <mergeCell ref="B3:E4"/>
    <mergeCell ref="A18:A21"/>
    <mergeCell ref="B18:D18"/>
    <mergeCell ref="B19:D19"/>
    <mergeCell ref="B20:D20"/>
    <mergeCell ref="B21:D21"/>
    <mergeCell ref="A2:E2"/>
  </mergeCells>
  <pageMargins left="0.7" right="0.7" top="0.75" bottom="0.75" header="0.3" footer="0.3"/>
  <pageSetup paperSize="9" scale="9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A6B5BD92-C587-40C3-95F3-38DAEA0BB14A}"/>
</file>

<file path=customXml/itemProps2.xml><?xml version="1.0" encoding="utf-8"?>
<ds:datastoreItem xmlns:ds="http://schemas.openxmlformats.org/officeDocument/2006/customXml" ds:itemID="{DA40BF0A-864B-4A41-9C66-62CFC783AD0E}"/>
</file>

<file path=customXml/itemProps3.xml><?xml version="1.0" encoding="utf-8"?>
<ds:datastoreItem xmlns:ds="http://schemas.openxmlformats.org/officeDocument/2006/customXml" ds:itemID="{F7691081-1AA0-4A57-8F00-6C204056B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KOUSHIKI</dc:creator>
  <cp:keywords/>
  <dc:description/>
  <cp:lastModifiedBy>Abdul Irfan Yerraballi</cp:lastModifiedBy>
  <cp:revision/>
  <dcterms:created xsi:type="dcterms:W3CDTF">2024-02-21T10:24:22Z</dcterms:created>
  <dcterms:modified xsi:type="dcterms:W3CDTF">2024-10-08T11:16:51Z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