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09"/>
  <workbookPr filterPrivacy="1" codeName="ThisWorkbook"/>
  <xr:revisionPtr revIDLastSave="448" documentId="13_ncr:1_{A8916186-6123-465F-ADE1-ACF80B0A2A00}" xr6:coauthVersionLast="47" xr6:coauthVersionMax="47" xr10:uidLastSave="{F56D0F37-EC17-46D1-A041-10ECBF342B5C}"/>
  <bookViews>
    <workbookView xWindow="-120" yWindow="-120" windowWidth="20730" windowHeight="11160" firstSheet="8" xr2:uid="{00000000-000D-0000-FFFF-FFFF00000000}"/>
  </bookViews>
  <sheets>
    <sheet name="81846-24" sheetId="21" r:id="rId1"/>
    <sheet name="81877-24" sheetId="18" r:id="rId2"/>
    <sheet name="81910-24" sheetId="22" r:id="rId3"/>
    <sheet name="82147-24" sheetId="23" r:id="rId4"/>
    <sheet name="81557-24" sheetId="19" r:id="rId5"/>
    <sheet name="82159-23" sheetId="25" r:id="rId6"/>
    <sheet name="81914-23" sheetId="24" r:id="rId7"/>
    <sheet name="81649-23" sheetId="26" r:id="rId8"/>
    <sheet name="81874-23" sheetId="20" r:id="rId9"/>
  </sheets>
  <definedNames>
    <definedName name="_xlnm.Print_Titles" localSheetId="4">'81557-24'!$13:$13</definedName>
    <definedName name="_xlnm.Print_Titles" localSheetId="7">'81649-23'!$13:$13</definedName>
    <definedName name="_xlnm.Print_Titles" localSheetId="0">'81846-24'!$13:$13</definedName>
    <definedName name="_xlnm.Print_Titles" localSheetId="8">'81874-23'!$13:$13</definedName>
    <definedName name="_xlnm.Print_Titles" localSheetId="1">'81877-24'!$13:$13</definedName>
    <definedName name="_xlnm.Print_Titles" localSheetId="2">'81910-24'!$13:$13</definedName>
    <definedName name="_xlnm.Print_Titles" localSheetId="6">'81914-23'!$13:$13</definedName>
    <definedName name="_xlnm.Print_Titles" localSheetId="3">'82147-24'!$13:$13</definedName>
    <definedName name="_xlnm.Print_Titles" localSheetId="5">'82159-23'!$13:$13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26" l="1"/>
  <c r="G21" i="26"/>
  <c r="G20" i="26"/>
  <c r="G19" i="26"/>
  <c r="G18" i="26"/>
  <c r="G17" i="26"/>
  <c r="G15" i="26"/>
  <c r="G22" i="26" s="1"/>
  <c r="G26" i="26" s="1"/>
  <c r="G14" i="26"/>
  <c r="B28" i="25"/>
  <c r="G21" i="25"/>
  <c r="G20" i="25"/>
  <c r="G19" i="25"/>
  <c r="G18" i="25"/>
  <c r="G17" i="25"/>
  <c r="G15" i="25"/>
  <c r="G14" i="25"/>
  <c r="G22" i="25" s="1"/>
  <c r="G26" i="25" s="1"/>
  <c r="B28" i="24"/>
  <c r="G21" i="24"/>
  <c r="G20" i="24"/>
  <c r="G19" i="24"/>
  <c r="G18" i="24"/>
  <c r="G17" i="24"/>
  <c r="G15" i="24"/>
  <c r="G14" i="24"/>
  <c r="G22" i="24" s="1"/>
  <c r="G26" i="24" s="1"/>
  <c r="B28" i="23"/>
  <c r="G20" i="23"/>
  <c r="G19" i="23"/>
  <c r="G18" i="23"/>
  <c r="G17" i="23"/>
  <c r="G14" i="23"/>
  <c r="B28" i="22"/>
  <c r="G20" i="22"/>
  <c r="G19" i="22"/>
  <c r="G18" i="22"/>
  <c r="G17" i="22"/>
  <c r="G14" i="22"/>
  <c r="B28" i="21"/>
  <c r="G20" i="21"/>
  <c r="G19" i="21"/>
  <c r="G18" i="21"/>
  <c r="G17" i="21"/>
  <c r="G14" i="21"/>
  <c r="B28" i="20"/>
  <c r="G21" i="20"/>
  <c r="G20" i="20"/>
  <c r="G19" i="20"/>
  <c r="G18" i="20"/>
  <c r="G17" i="20"/>
  <c r="G22" i="20" s="1"/>
  <c r="G26" i="20" s="1"/>
  <c r="G15" i="20"/>
  <c r="G14" i="20"/>
  <c r="B28" i="19"/>
  <c r="G20" i="19"/>
  <c r="G19" i="19"/>
  <c r="G18" i="19"/>
  <c r="G17" i="19"/>
  <c r="G14" i="19"/>
  <c r="B28" i="18"/>
  <c r="G20" i="18"/>
  <c r="G19" i="18"/>
  <c r="G18" i="18"/>
  <c r="G17" i="18"/>
  <c r="G14" i="18"/>
</calcChain>
</file>

<file path=xl/sharedStrings.xml><?xml version="1.0" encoding="utf-8"?>
<sst xmlns="http://schemas.openxmlformats.org/spreadsheetml/2006/main" count="295" uniqueCount="58">
  <si>
    <t>Allcargo</t>
  </si>
  <si>
    <t>INVOICE</t>
  </si>
  <si>
    <t>Logistics</t>
  </si>
  <si>
    <t>Invoice #:</t>
  </si>
  <si>
    <t xml:space="preserve">81846-2024 </t>
  </si>
  <si>
    <t xml:space="preserve"> </t>
  </si>
  <si>
    <t>Invoice date:</t>
  </si>
  <si>
    <t>004 Griffith Crest, West Robert</t>
  </si>
  <si>
    <t>Invoice to:</t>
  </si>
  <si>
    <t>Steel Horse Motors Lincoln Inc.</t>
  </si>
  <si>
    <t>South Dakota-61072</t>
  </si>
  <si>
    <t>Address:</t>
  </si>
  <si>
    <t xml:space="preserve">	1500 O Street</t>
  </si>
  <si>
    <t>Lincoln, USA, 68508</t>
  </si>
  <si>
    <t>Phone:</t>
  </si>
  <si>
    <t xml:space="preserve">	402 555 9876</t>
  </si>
  <si>
    <t>Fax:</t>
  </si>
  <si>
    <t>NA</t>
  </si>
  <si>
    <t>Item #</t>
  </si>
  <si>
    <t>Description</t>
  </si>
  <si>
    <t>Qty</t>
  </si>
  <si>
    <t>Unit price</t>
  </si>
  <si>
    <t>Discount</t>
  </si>
  <si>
    <t>Price</t>
  </si>
  <si>
    <t>Ocean freight
(20 containers)</t>
  </si>
  <si>
    <t>Invoice Subtotal</t>
  </si>
  <si>
    <t>Tax Rate</t>
  </si>
  <si>
    <t>Tax value</t>
  </si>
  <si>
    <t>Deposit Received</t>
  </si>
  <si>
    <t>TOTAL</t>
  </si>
  <si>
    <t>Total due in 90 days. Overdue accounts subject to a service charge of 1.5% per month.</t>
  </si>
  <si>
    <t>81877-2024</t>
  </si>
  <si>
    <t>Steel Horse Motors Japan Ltd.</t>
  </si>
  <si>
    <t>14 Shibuya Crossing</t>
  </si>
  <si>
    <t>Tokyo, Japan, 150-0002</t>
  </si>
  <si>
    <t>83 3406 333</t>
  </si>
  <si>
    <t>81910-2024</t>
  </si>
  <si>
    <t>Steel Horse Auto Assembly NJ Inc</t>
  </si>
  <si>
    <t xml:space="preserve">0015 Angela Mission, </t>
  </si>
  <si>
    <t>Kathyborough, New Jersey,</t>
  </si>
  <si>
    <t>632 363 4650</t>
  </si>
  <si>
    <t>82147-2024</t>
  </si>
  <si>
    <t>Steel Horse Motors Singapore Inc.</t>
  </si>
  <si>
    <t>10 Marina Boulevard</t>
  </si>
  <si>
    <t>Singapore, 018983</t>
  </si>
  <si>
    <t>65 622 8888</t>
  </si>
  <si>
    <t>81557-2024</t>
  </si>
  <si>
    <t>Steel Horse Motors Lincoln Inc</t>
  </si>
  <si>
    <t>1500 O Street,</t>
  </si>
  <si>
    <t>402 555 9876</t>
  </si>
  <si>
    <t>82159-2023</t>
  </si>
  <si>
    <t>Ware housing (60 days)
280 PALLETS</t>
  </si>
  <si>
    <t>Custom Clearance</t>
  </si>
  <si>
    <t>Handling charges</t>
  </si>
  <si>
    <t>Insurance</t>
  </si>
  <si>
    <t>81914-2023</t>
  </si>
  <si>
    <t>81649-2023</t>
  </si>
  <si>
    <t>81874-2023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</si>
</sst>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 \ "/>
    <numFmt numFmtId="165" formatCode="#_)"/>
    <numFmt numFmtId="166" formatCode="[&lt;=9999999]###\-####;\(###\)\ ###\-####"/>
    <numFmt numFmtId="167" formatCode="&quot;$&quot;#,##0.00"/>
    <numFmt numFmtId="168" formatCode="&quot;$&quot;#,##0"/>
  </numFmts>
  <fonts count="26">
    <font>
      <sz val="11"/>
      <color theme="2" tint="-0.749961851863155"/>
      <name val="Garamond"/>
      <family val="2"/>
      <scheme val="minor"/>
    </font>
    <font>
      <sz val="14"/>
      <color theme="4" tint="-0.24994659260841701"/>
      <name val="Garamond"/>
      <family val="2"/>
      <scheme val="minor"/>
    </font>
    <font>
      <b/>
      <sz val="25"/>
      <color theme="0"/>
      <name val="Tw Cen MT"/>
      <family val="2"/>
      <scheme val="major"/>
    </font>
    <font>
      <sz val="11"/>
      <color theme="2" tint="-0.89996032593768116"/>
      <name val="Garamond"/>
      <family val="2"/>
      <scheme val="minor"/>
    </font>
    <font>
      <b/>
      <sz val="11"/>
      <color theme="1"/>
      <name val="Garamond"/>
      <family val="2"/>
      <scheme val="minor"/>
    </font>
    <font>
      <sz val="11"/>
      <color theme="5" tint="-0.24994659260841701"/>
      <name val="Garamond"/>
      <family val="2"/>
      <scheme val="minor"/>
    </font>
    <font>
      <sz val="11"/>
      <color theme="2" tint="-0.89989928891872917"/>
      <name val="Garamond"/>
      <family val="2"/>
      <scheme val="minor"/>
    </font>
    <font>
      <sz val="11"/>
      <color theme="2" tint="-0.749992370372631"/>
      <name val="Garamond"/>
      <family val="2"/>
      <scheme val="minor"/>
    </font>
    <font>
      <sz val="11"/>
      <color theme="4" tint="-0.499984740745262"/>
      <name val="Tw Cen MT"/>
      <family val="2"/>
      <scheme val="major"/>
    </font>
    <font>
      <sz val="11"/>
      <color theme="2" tint="-0.749961851863155"/>
      <name val="Garamond"/>
      <family val="2"/>
      <scheme val="minor"/>
    </font>
    <font>
      <sz val="11"/>
      <color theme="3"/>
      <name val="Garamond"/>
      <family val="2"/>
      <scheme val="minor"/>
    </font>
    <font>
      <sz val="11"/>
      <name val="Garamond"/>
      <family val="2"/>
      <scheme val="minor"/>
    </font>
    <font>
      <sz val="11"/>
      <color theme="4" tint="-0.499984740745262"/>
      <name val="Garamond"/>
      <family val="2"/>
      <scheme val="minor"/>
    </font>
    <font>
      <sz val="12"/>
      <color theme="2" tint="-0.749961851863155"/>
      <name val="Garamond"/>
      <family val="1"/>
      <scheme val="minor"/>
    </font>
    <font>
      <sz val="36"/>
      <color theme="1"/>
      <name val="Garamond"/>
      <family val="1"/>
      <scheme val="minor"/>
    </font>
    <font>
      <b/>
      <sz val="12"/>
      <color theme="1"/>
      <name val="Garamond"/>
      <family val="1"/>
      <scheme val="minor"/>
    </font>
    <font>
      <b/>
      <sz val="48"/>
      <color theme="1"/>
      <name val="Garamond"/>
      <family val="1"/>
      <scheme val="minor"/>
    </font>
    <font>
      <b/>
      <sz val="12"/>
      <color theme="0"/>
      <name val="Garamond"/>
      <family val="1"/>
      <scheme val="minor"/>
    </font>
    <font>
      <sz val="12"/>
      <color theme="2" tint="-0.89996032593768116"/>
      <name val="Garamond"/>
      <family val="1"/>
      <scheme val="minor"/>
    </font>
    <font>
      <sz val="36"/>
      <color theme="2" tint="-0.89996032593768116"/>
      <name val="Garamond"/>
      <family val="1"/>
      <scheme val="minor"/>
    </font>
    <font>
      <sz val="12"/>
      <color theme="1"/>
      <name val="Garamond"/>
      <family val="1"/>
      <scheme val="minor"/>
    </font>
    <font>
      <sz val="12"/>
      <name val="Garamond"/>
      <family val="1"/>
      <scheme val="minor"/>
    </font>
    <font>
      <b/>
      <sz val="48"/>
      <color theme="1"/>
      <name val="Tw Cen MT"/>
      <family val="2"/>
      <scheme val="major"/>
    </font>
    <font>
      <b/>
      <sz val="36"/>
      <color theme="1"/>
      <name val="Tw Cen MT"/>
      <family val="2"/>
      <scheme val="major"/>
    </font>
    <font>
      <b/>
      <sz val="36"/>
      <color theme="2" tint="-0.89996032593768116"/>
      <name val="Tw Cen MT"/>
      <family val="2"/>
      <scheme val="major"/>
    </font>
    <font>
      <sz val="12"/>
      <color theme="2" tint="-0.749961851863155"/>
      <name val="Garamond"/>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3"/>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s>
  <cellStyleXfs count="19">
    <xf numFmtId="0" fontId="0" fillId="0" borderId="0" applyFill="0" applyBorder="0">
      <alignment horizontal="left" vertical="center" wrapText="1" indent="1"/>
    </xf>
    <xf numFmtId="0" fontId="3" fillId="0" borderId="0" applyNumberFormat="0" applyFill="0" applyBorder="0" applyAlignment="0" applyProtection="0"/>
    <xf numFmtId="0" fontId="8" fillId="0" borderId="0" applyNumberFormat="0" applyFill="0" applyBorder="0" applyProtection="0">
      <alignment vertical="center"/>
    </xf>
    <xf numFmtId="0" fontId="1" fillId="0" borderId="0" applyNumberFormat="0" applyFill="0" applyBorder="0" applyProtection="0">
      <alignment horizontal="left" vertical="center" indent="1"/>
    </xf>
    <xf numFmtId="10" fontId="10" fillId="0" borderId="0" applyFill="0" applyBorder="0" applyProtection="0">
      <alignment horizontal="right" vertical="center"/>
    </xf>
    <xf numFmtId="0" fontId="3" fillId="0" borderId="0" applyNumberFormat="0" applyFill="0" applyBorder="0" applyAlignment="0" applyProtection="0">
      <alignment vertical="top" wrapText="1"/>
    </xf>
    <xf numFmtId="0" fontId="2" fillId="3" borderId="2" applyProtection="0">
      <alignment vertical="center"/>
    </xf>
    <xf numFmtId="0" fontId="3" fillId="2" borderId="0" applyNumberFormat="0" applyBorder="0" applyProtection="0">
      <alignment vertical="center" wrapText="1"/>
    </xf>
    <xf numFmtId="0" fontId="11" fillId="0" borderId="1" applyFill="0" applyProtection="0">
      <alignment horizontal="right" vertical="center" indent="1"/>
    </xf>
    <xf numFmtId="0" fontId="5" fillId="0" borderId="0" applyNumberFormat="0" applyFill="0" applyBorder="0" applyAlignment="0" applyProtection="0"/>
    <xf numFmtId="0" fontId="6" fillId="0" borderId="0" applyNumberFormat="0" applyFill="0" applyBorder="0" applyAlignment="0" applyProtection="0"/>
    <xf numFmtId="0" fontId="4" fillId="0" borderId="1" applyNumberFormat="0" applyAlignment="0" applyProtection="0"/>
    <xf numFmtId="0" fontId="3" fillId="5" borderId="0" applyBorder="0" applyProtection="0">
      <alignment horizontal="left" indent="1"/>
    </xf>
    <xf numFmtId="44" fontId="9" fillId="0" borderId="0" applyFont="0" applyFill="0" applyBorder="0" applyProtection="0">
      <alignment horizontal="right" vertical="center"/>
    </xf>
    <xf numFmtId="44" fontId="10" fillId="0" borderId="0" applyFill="0" applyBorder="0" applyProtection="0">
      <alignment horizontal="right" vertical="center"/>
    </xf>
    <xf numFmtId="0" fontId="12" fillId="4" borderId="0" applyNumberFormat="0" applyBorder="0" applyProtection="0">
      <alignment horizontal="left" vertical="top" wrapText="1" indent="1"/>
    </xf>
    <xf numFmtId="166" fontId="3" fillId="0" borderId="0" applyFont="0" applyFill="0" applyBorder="0" applyAlignment="0">
      <alignment vertical="center"/>
    </xf>
    <xf numFmtId="165" fontId="9" fillId="0" borderId="0" applyFont="0" applyFill="0" applyBorder="0">
      <alignment horizontal="right" vertical="center"/>
    </xf>
    <xf numFmtId="14" fontId="7" fillId="0" borderId="0" applyFont="0" applyFill="0" applyBorder="0" applyAlignment="0" applyProtection="0">
      <alignment horizontal="left" wrapText="1"/>
    </xf>
  </cellStyleXfs>
  <cellXfs count="70">
    <xf numFmtId="0" fontId="0" fillId="0" borderId="0" xfId="0">
      <alignment horizontal="left" vertical="center" wrapText="1" indent="1"/>
    </xf>
    <xf numFmtId="0" fontId="13" fillId="6" borderId="0" xfId="0" applyFont="1" applyFill="1">
      <alignment horizontal="left" vertical="center" wrapText="1" indent="1"/>
    </xf>
    <xf numFmtId="0" fontId="13" fillId="0" borderId="0" xfId="0" applyFont="1">
      <alignment horizontal="left" vertical="center" wrapText="1" indent="1"/>
    </xf>
    <xf numFmtId="0" fontId="14" fillId="6" borderId="0" xfId="6" applyFont="1" applyFill="1" applyBorder="1" applyProtection="1">
      <alignment vertical="center"/>
    </xf>
    <xf numFmtId="0" fontId="15" fillId="6" borderId="0" xfId="6" applyFont="1" applyFill="1" applyBorder="1" applyAlignment="1" applyProtection="1">
      <alignment horizontal="left" vertical="center" indent="2"/>
    </xf>
    <xf numFmtId="0" fontId="16" fillId="6" borderId="0" xfId="6" applyFont="1" applyFill="1" applyBorder="1" applyAlignment="1" applyProtection="1">
      <alignment horizontal="right"/>
    </xf>
    <xf numFmtId="0" fontId="17" fillId="6" borderId="0" xfId="6" applyFont="1" applyFill="1" applyBorder="1" applyAlignment="1" applyProtection="1">
      <alignment vertical="top" wrapText="1"/>
    </xf>
    <xf numFmtId="0" fontId="18" fillId="6" borderId="0" xfId="7" applyFont="1" applyFill="1" applyAlignment="1">
      <alignment vertical="center"/>
    </xf>
    <xf numFmtId="166" fontId="18" fillId="6" borderId="0" xfId="16" applyFont="1" applyFill="1" applyAlignment="1">
      <alignment vertical="center" wrapText="1"/>
    </xf>
    <xf numFmtId="0" fontId="18" fillId="6" borderId="0" xfId="7" applyFont="1" applyFill="1" applyProtection="1">
      <alignment vertical="center" wrapText="1"/>
    </xf>
    <xf numFmtId="0" fontId="19" fillId="6" borderId="0" xfId="7" applyFont="1" applyFill="1" applyBorder="1">
      <alignment vertical="center" wrapText="1"/>
    </xf>
    <xf numFmtId="166" fontId="18" fillId="6" borderId="0" xfId="16" applyFont="1" applyFill="1" applyBorder="1" applyAlignment="1">
      <alignment vertical="center" wrapText="1"/>
    </xf>
    <xf numFmtId="0" fontId="20" fillId="6" borderId="0" xfId="2" applyFont="1" applyFill="1" applyBorder="1" applyProtection="1">
      <alignment vertical="center"/>
    </xf>
    <xf numFmtId="0" fontId="20" fillId="6" borderId="0" xfId="0" applyFont="1" applyFill="1" applyBorder="1">
      <alignment horizontal="left" vertical="center" wrapText="1" indent="1"/>
    </xf>
    <xf numFmtId="0" fontId="13" fillId="6" borderId="0" xfId="0" applyFont="1" applyFill="1" applyBorder="1">
      <alignment horizontal="left" vertical="center" wrapText="1" indent="1"/>
    </xf>
    <xf numFmtId="14" fontId="20" fillId="6" borderId="0" xfId="0" applyNumberFormat="1" applyFont="1" applyFill="1" applyBorder="1" applyAlignment="1">
      <alignment horizontal="left" vertical="center" wrapText="1"/>
    </xf>
    <xf numFmtId="0" fontId="21" fillId="6" borderId="0" xfId="0" applyFont="1" applyFill="1">
      <alignment horizontal="left" vertical="center" wrapText="1" indent="1"/>
    </xf>
    <xf numFmtId="0" fontId="20" fillId="6" borderId="0" xfId="7" applyFont="1" applyFill="1" applyAlignment="1">
      <alignment vertical="center"/>
    </xf>
    <xf numFmtId="0" fontId="20" fillId="6" borderId="0" xfId="7" applyFont="1" applyFill="1">
      <alignment vertical="center" wrapText="1"/>
    </xf>
    <xf numFmtId="0" fontId="20" fillId="6" borderId="0" xfId="2" applyFont="1" applyFill="1" applyAlignment="1" applyProtection="1">
      <alignment horizontal="left" vertical="top" indent="1"/>
    </xf>
    <xf numFmtId="166" fontId="20" fillId="6" borderId="0" xfId="2" applyNumberFormat="1" applyFont="1" applyFill="1">
      <alignment vertical="center"/>
    </xf>
    <xf numFmtId="0" fontId="21" fillId="6" borderId="0" xfId="0" applyFont="1" applyFill="1" applyAlignment="1">
      <alignment wrapText="1"/>
    </xf>
    <xf numFmtId="0" fontId="20" fillId="6" borderId="0" xfId="2" applyFont="1" applyFill="1" applyProtection="1">
      <alignment vertical="center"/>
    </xf>
    <xf numFmtId="0" fontId="20" fillId="6" borderId="0" xfId="2" applyFont="1" applyFill="1" applyAlignment="1" applyProtection="1">
      <alignment vertical="top"/>
    </xf>
    <xf numFmtId="0" fontId="20" fillId="6" borderId="0" xfId="1" applyFont="1" applyFill="1" applyAlignment="1" applyProtection="1">
      <alignment horizontal="left" vertical="center" indent="1"/>
    </xf>
    <xf numFmtId="0" fontId="20" fillId="6" borderId="0" xfId="1" applyFont="1" applyFill="1" applyAlignment="1" applyProtection="1">
      <alignment horizontal="left" vertical="top" indent="1"/>
    </xf>
    <xf numFmtId="0" fontId="21" fillId="6" borderId="0" xfId="0" applyFont="1" applyFill="1" applyAlignment="1">
      <alignment vertical="center"/>
    </xf>
    <xf numFmtId="0" fontId="20" fillId="6" borderId="0" xfId="0" applyFont="1" applyFill="1">
      <alignment horizontal="left" vertical="center" wrapText="1" indent="1"/>
    </xf>
    <xf numFmtId="0" fontId="20" fillId="6" borderId="3" xfId="8" applyFont="1" applyFill="1" applyBorder="1">
      <alignment horizontal="right" vertical="center" indent="1"/>
    </xf>
    <xf numFmtId="0" fontId="20" fillId="6" borderId="0" xfId="12" applyFont="1" applyFill="1" applyAlignment="1" applyProtection="1"/>
    <xf numFmtId="0" fontId="20" fillId="6" borderId="0" xfId="12" applyFont="1" applyFill="1" applyBorder="1" applyAlignment="1" applyProtection="1"/>
    <xf numFmtId="0" fontId="20" fillId="6" borderId="0" xfId="15" applyFont="1" applyFill="1" applyAlignment="1">
      <alignment vertical="top" wrapText="1"/>
    </xf>
    <xf numFmtId="0" fontId="20" fillId="6" borderId="0" xfId="15" applyFont="1" applyFill="1" applyBorder="1" applyAlignment="1">
      <alignment vertical="top" wrapText="1"/>
    </xf>
    <xf numFmtId="164" fontId="15" fillId="6" borderId="3" xfId="11" applyNumberFormat="1" applyFont="1" applyFill="1" applyBorder="1" applyAlignment="1" applyProtection="1">
      <alignment horizontal="right" vertical="center"/>
    </xf>
    <xf numFmtId="0" fontId="22" fillId="6" borderId="0" xfId="6" applyFont="1" applyFill="1" applyBorder="1" applyAlignment="1" applyProtection="1">
      <alignment horizontal="right"/>
    </xf>
    <xf numFmtId="0" fontId="15" fillId="6" borderId="0" xfId="0" applyFont="1" applyFill="1" applyBorder="1" applyAlignment="1">
      <alignment horizontal="right" vertical="center" wrapText="1" indent="2"/>
    </xf>
    <xf numFmtId="0" fontId="15" fillId="6" borderId="0" xfId="1" applyFont="1" applyFill="1" applyAlignment="1">
      <alignment vertical="center" wrapText="1"/>
    </xf>
    <xf numFmtId="0" fontId="25" fillId="0" borderId="0" xfId="0" applyFont="1" applyFill="1" applyBorder="1">
      <alignment horizontal="left" vertical="center" wrapText="1" indent="1"/>
    </xf>
    <xf numFmtId="0" fontId="25" fillId="0" borderId="0" xfId="0" applyFont="1" applyFill="1" applyBorder="1" applyAlignment="1">
      <alignment horizontal="right" vertical="center" wrapText="1" indent="1"/>
    </xf>
    <xf numFmtId="165" fontId="25" fillId="0" borderId="0" xfId="17" applyFont="1" applyFill="1" applyBorder="1" applyAlignment="1">
      <alignment horizontal="right" vertical="center" indent="1"/>
    </xf>
    <xf numFmtId="167" fontId="25" fillId="0" borderId="0" xfId="13" applyNumberFormat="1" applyFont="1" applyFill="1" applyBorder="1" applyAlignment="1" applyProtection="1">
      <alignment horizontal="right" vertical="center" indent="2"/>
    </xf>
    <xf numFmtId="167" fontId="25" fillId="0" borderId="0" xfId="13" applyNumberFormat="1" applyFont="1" applyFill="1" applyBorder="1" applyProtection="1">
      <alignment horizontal="right" vertical="center"/>
    </xf>
    <xf numFmtId="167" fontId="25" fillId="0" borderId="0" xfId="13" applyNumberFormat="1" applyFont="1" applyFill="1" applyBorder="1" applyAlignment="1" applyProtection="1">
      <alignment horizontal="right" vertical="center" indent="1"/>
    </xf>
    <xf numFmtId="167" fontId="20" fillId="6" borderId="3" xfId="13" applyNumberFormat="1" applyFont="1" applyFill="1" applyBorder="1" applyAlignment="1">
      <alignment horizontal="right" vertical="center" indent="1"/>
    </xf>
    <xf numFmtId="10" fontId="20" fillId="6" borderId="3" xfId="4" applyFont="1" applyFill="1" applyBorder="1" applyAlignment="1">
      <alignment horizontal="right" vertical="center" indent="1"/>
    </xf>
    <xf numFmtId="167" fontId="15" fillId="6" borderId="3" xfId="13" applyNumberFormat="1" applyFont="1" applyFill="1" applyBorder="1" applyAlignment="1">
      <alignment horizontal="right" vertical="center" indent="1"/>
    </xf>
    <xf numFmtId="168" fontId="25" fillId="0" borderId="0" xfId="13" applyNumberFormat="1" applyFont="1" applyFill="1" applyBorder="1" applyAlignment="1" applyProtection="1">
      <alignment horizontal="center" vertical="center"/>
    </xf>
    <xf numFmtId="168" fontId="25" fillId="0" borderId="0" xfId="13" applyNumberFormat="1" applyFont="1" applyFill="1" applyBorder="1" applyAlignment="1" applyProtection="1">
      <alignment horizontal="center"/>
    </xf>
    <xf numFmtId="167" fontId="25" fillId="0" borderId="0" xfId="13" applyNumberFormat="1" applyFont="1" applyFill="1" applyBorder="1" applyAlignment="1" applyProtection="1">
      <alignment horizontal="center" vertical="center"/>
    </xf>
    <xf numFmtId="14" fontId="20" fillId="6" borderId="0" xfId="18" applyFont="1" applyFill="1" applyAlignment="1">
      <alignment vertical="top" wrapText="1"/>
    </xf>
    <xf numFmtId="0" fontId="20" fillId="6" borderId="0" xfId="0" applyFont="1" applyFill="1" applyAlignment="1">
      <alignment horizontal="left" vertical="top" wrapText="1"/>
    </xf>
    <xf numFmtId="0" fontId="20" fillId="6" borderId="0" xfId="0" applyFont="1" applyFill="1" applyAlignment="1">
      <alignment vertical="top" wrapText="1"/>
    </xf>
    <xf numFmtId="14" fontId="20" fillId="6" borderId="0" xfId="18" applyFont="1" applyFill="1" applyAlignment="1">
      <alignment vertical="top"/>
    </xf>
    <xf numFmtId="0" fontId="20" fillId="6" borderId="0" xfId="7" applyFont="1" applyFill="1" applyAlignment="1">
      <alignment horizontal="left" vertical="top" wrapText="1"/>
    </xf>
    <xf numFmtId="14" fontId="20" fillId="6" borderId="0" xfId="7" applyNumberFormat="1" applyFont="1" applyFill="1" applyBorder="1" applyAlignment="1">
      <alignment horizontal="left" vertical="top" wrapText="1"/>
    </xf>
    <xf numFmtId="0" fontId="15" fillId="6" borderId="0" xfId="0" applyFont="1" applyFill="1" applyAlignment="1">
      <alignment horizontal="left" vertical="top"/>
    </xf>
    <xf numFmtId="0" fontId="15" fillId="6" borderId="0" xfId="0" applyFont="1" applyFill="1" applyAlignment="1">
      <alignment horizontal="left" indent="2"/>
    </xf>
    <xf numFmtId="0" fontId="15" fillId="6" borderId="0" xfId="0" applyFont="1" applyFill="1" applyAlignment="1">
      <alignment horizontal="left"/>
    </xf>
    <xf numFmtId="0" fontId="15" fillId="6" borderId="0" xfId="1" applyFont="1" applyFill="1" applyAlignment="1">
      <alignment horizontal="left" vertical="top" wrapText="1"/>
    </xf>
    <xf numFmtId="0" fontId="15" fillId="6" borderId="0" xfId="1" applyFont="1" applyFill="1" applyBorder="1" applyAlignment="1">
      <alignment horizontal="left" vertical="top" wrapText="1"/>
    </xf>
    <xf numFmtId="0" fontId="15" fillId="6" borderId="0" xfId="0" applyFont="1" applyFill="1" applyAlignment="1">
      <alignment horizontal="left" wrapText="1"/>
    </xf>
    <xf numFmtId="0" fontId="15" fillId="6" borderId="0" xfId="0" applyFont="1" applyFill="1" applyAlignment="1">
      <alignment horizontal="left" vertical="top" wrapText="1"/>
    </xf>
    <xf numFmtId="168" fontId="20" fillId="6" borderId="3" xfId="13" applyNumberFormat="1" applyFont="1" applyFill="1" applyBorder="1" applyAlignment="1">
      <alignment horizontal="right" vertical="center" indent="1"/>
    </xf>
    <xf numFmtId="168" fontId="15" fillId="6" borderId="3" xfId="13" applyNumberFormat="1" applyFont="1" applyFill="1" applyBorder="1" applyAlignment="1">
      <alignment horizontal="right" vertical="center" indent="1"/>
    </xf>
    <xf numFmtId="168" fontId="25" fillId="0" borderId="0" xfId="13" applyNumberFormat="1" applyFont="1" applyFill="1" applyBorder="1" applyAlignment="1" applyProtection="1">
      <alignment horizontal="right" vertical="center" indent="1"/>
    </xf>
    <xf numFmtId="168" fontId="20" fillId="6" borderId="3" xfId="4" applyNumberFormat="1" applyFont="1" applyFill="1" applyBorder="1" applyAlignment="1">
      <alignment horizontal="right" vertical="center" indent="1"/>
    </xf>
    <xf numFmtId="0" fontId="23" fillId="6" borderId="0" xfId="6" applyFont="1" applyFill="1" applyBorder="1" applyAlignment="1" applyProtection="1">
      <alignment horizontal="left"/>
    </xf>
    <xf numFmtId="0" fontId="24" fillId="6" borderId="0" xfId="7" applyFont="1" applyFill="1" applyBorder="1" applyAlignment="1">
      <alignment horizontal="left" wrapText="1"/>
    </xf>
    <xf numFmtId="0" fontId="20" fillId="6" borderId="0" xfId="0" applyFont="1" applyFill="1" applyAlignment="1">
      <alignment horizontal="center" vertical="center" wrapText="1"/>
    </xf>
    <xf numFmtId="0" fontId="20" fillId="6" borderId="0" xfId="2" applyFont="1" applyFill="1" applyAlignment="1" applyProtection="1">
      <alignment horizontal="left" vertical="top"/>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76">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rgb="FF3A3838"/>
        <name val="Garamond"/>
        <family val="2"/>
        <scheme val="none"/>
      </font>
    </dxf>
    <dxf>
      <font>
        <strike val="0"/>
        <outline val="0"/>
        <shadow val="0"/>
        <u val="none"/>
        <vertAlign val="baseline"/>
        <sz val="12"/>
        <color theme="2" tint="-0.749961851863155"/>
        <name val="Garamond"/>
        <family val="2"/>
        <scheme val="minor"/>
      </font>
    </dxf>
    <dxf>
      <font>
        <b/>
        <i val="0"/>
      </font>
    </dxf>
    <dxf>
      <font>
        <b/>
        <i val="0"/>
        <color theme="4" tint="-0.499984740745262"/>
      </font>
      <border>
        <left style="thin">
          <color theme="4"/>
        </left>
        <right style="thin">
          <color theme="4"/>
        </right>
        <top style="double">
          <color theme="4"/>
        </top>
        <bottom style="thin">
          <color theme="4"/>
        </bottom>
      </border>
    </dxf>
    <dxf>
      <font>
        <b/>
        <i val="0"/>
        <strike val="0"/>
        <color theme="2"/>
      </font>
      <fill>
        <patternFill>
          <bgColor theme="1"/>
        </patternFill>
      </fill>
      <border>
        <left style="thin">
          <color theme="1"/>
        </left>
        <right style="thin">
          <color theme="1"/>
        </right>
        <top style="thin">
          <color theme="1"/>
        </top>
        <bottom style="thin">
          <color theme="1"/>
        </bottom>
        <vertical/>
        <horizontal/>
      </border>
    </dxf>
    <dxf>
      <font>
        <b val="0"/>
        <i val="0"/>
        <color auto="1"/>
      </font>
      <fill>
        <patternFill>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00000000-0011-0000-FFFF-FFFF00000000}">
      <tableStyleElement type="wholeTable" dxfId="75"/>
      <tableStyleElement type="headerRow" dxfId="74"/>
      <tableStyleElement type="totalRow" dxfId="73"/>
      <tableStyleElement type="firstColumn" dxfId="7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12F9CB0C-6008-4089-A798-05F78FD67E6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54A3E7D6-0410-4741-9769-C6EFA21CB23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2BC67CAA-DEB9-494E-A482-3705093AA9C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F8CB5255-1732-445A-917D-F5CD51F5531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91959F58-DEB5-4B55-9261-15EE8BE688E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8D190A14-046C-4405-A922-F24A6972F9C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790070CD-379F-4770-9882-D3288EB74ED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9DAC5811-834C-4F83-B161-DFB69444875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xdr:colOff>
      <xdr:row>1</xdr:row>
      <xdr:rowOff>200025</xdr:rowOff>
    </xdr:from>
    <xdr:to>
      <xdr:col>2</xdr:col>
      <xdr:colOff>66675</xdr:colOff>
      <xdr:row>3</xdr:row>
      <xdr:rowOff>228601</xdr:rowOff>
    </xdr:to>
    <xdr:pic>
      <xdr:nvPicPr>
        <xdr:cNvPr id="2" name="Picture 1" descr="Truck Logos | 1,649 Custom Truck Logo Designs">
          <a:extLst>
            <a:ext uri="{FF2B5EF4-FFF2-40B4-BE49-F238E27FC236}">
              <a16:creationId xmlns:a16="http://schemas.microsoft.com/office/drawing/2014/main" id="{573B3AE4-50DE-4CCF-B8D4-3A3A996A810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5000"/>
        <a:stretch/>
      </xdr:blipFill>
      <xdr:spPr bwMode="auto">
        <a:xfrm>
          <a:off x="552451" y="828675"/>
          <a:ext cx="1304924" cy="96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0CD1D5-8778-4AF0-9E0F-991102CA6D18}" name="SimpleInvoice67121517192022" displayName="SimpleInvoice67121517192022" ref="B13:G21" totalsRowShown="0" headerRowDxfId="71" dataDxfId="70">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D9E9DC04-EBE1-4BA3-A5A7-049B4CE2FED8}" name="Item #" dataDxfId="69"/>
    <tableColumn id="2" xr3:uid="{AD607F46-36C1-492E-9299-3DDF2CE8FAAF}" name="Description" dataDxfId="68"/>
    <tableColumn id="7" xr3:uid="{3018B845-9947-4BE0-BB4B-F172826657E3}" name="Qty" dataDxfId="67"/>
    <tableColumn id="8" xr3:uid="{7F983B3C-0F11-4871-896F-592BAC545B86}" name="Unit price" dataDxfId="66"/>
    <tableColumn id="10" xr3:uid="{D78388DA-FF9B-4A7C-8DC6-341431B0C753}" name="Discount" dataDxfId="65"/>
    <tableColumn id="11" xr3:uid="{CF2807D9-CAE8-4F59-891E-ED049CD51454}" name="Price" dataDxfId="64">
      <calculatedColumnFormula>IFERROR(IF(SimpleInvoice67121517192022[[#This Row],[Unit price]]="","",(SimpleInvoice67121517192022[[#This Row],[Qty]]*SimpleInvoice67121517192022[[#This Row],[Unit price]])-SimpleInvoice67121517192022[[#This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80A8331-5350-4425-A6DA-D2A32FB73117}" name="SimpleInvoice6712151719" displayName="SimpleInvoice6712151719" ref="B13:G21" totalsRowShown="0" headerRowDxfId="63" dataDxfId="62">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6BD821EA-A75F-491A-963E-B87A78A49849}" name="Item #" dataDxfId="61"/>
    <tableColumn id="2" xr3:uid="{E2149548-E58D-4F9B-AF89-CA611FF78262}" name="Description" dataDxfId="60"/>
    <tableColumn id="7" xr3:uid="{76748569-3655-4AE7-AF65-B15ED262B9EF}" name="Qty" dataDxfId="59"/>
    <tableColumn id="8" xr3:uid="{218DDF73-3631-4888-87C6-C412D370C112}" name="Unit price" dataDxfId="58"/>
    <tableColumn id="10" xr3:uid="{5974A814-594F-42D3-B5FE-CECDA1E0A907}" name="Discount" dataDxfId="57"/>
    <tableColumn id="11" xr3:uid="{3BC51F89-3F2E-4D37-B821-0FB26EC13690}" name="Price" dataDxfId="56">
      <calculatedColumnFormula>IFERROR(IF(SimpleInvoice6712151719[[#This Row],[Unit price]]="","",(SimpleInvoice6712151719[[#This Row],[Qty]]*SimpleInvoice6712151719[[#This Row],[Unit price]])-SimpleInvoice6712151719[[#This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E3FAA04-8390-4910-B36D-9F428154E03A}" name="SimpleInvoice67121517192023" displayName="SimpleInvoice67121517192023" ref="B13:G21" totalsRowShown="0" headerRowDxfId="55" dataDxfId="54">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45B16306-3699-452B-9747-994AC8EB5ED5}" name="Item #" dataDxfId="53"/>
    <tableColumn id="2" xr3:uid="{F358223D-F006-49EF-8C59-A0F8DF50366C}" name="Description" dataDxfId="52"/>
    <tableColumn id="7" xr3:uid="{E69F0117-B185-4153-A6C4-FC4EA3762030}" name="Qty" dataDxfId="51"/>
    <tableColumn id="8" xr3:uid="{03224F27-06E3-4083-BA9D-AC676196C6E2}" name="Unit price" dataDxfId="50"/>
    <tableColumn id="10" xr3:uid="{4B27F39E-737B-48AA-8D5A-4E7F5A0BD2A2}" name="Discount" dataDxfId="49"/>
    <tableColumn id="11" xr3:uid="{8DA6E417-B3F5-40AC-9B10-453BF7E219F5}" name="Price" dataDxfId="48">
      <calculatedColumnFormula>IFERROR(IF(SimpleInvoice67121517192023[[#This Row],[Unit price]]="","",(SimpleInvoice67121517192023[[#This Row],[Qty]]*SimpleInvoice67121517192023[[#This Row],[Unit price]])-SimpleInvoice67121517192023[[#This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FF6FAA8-5022-449C-BCE5-478C93F72BA5}" name="SimpleInvoice67121517192024" displayName="SimpleInvoice67121517192024" ref="B13:G21" totalsRowShown="0" headerRowDxfId="47" dataDxfId="46">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4C04481D-65E4-4EFF-9DB1-F2D154A88574}" name="Item #" dataDxfId="45"/>
    <tableColumn id="2" xr3:uid="{08D8B92C-AE6D-45CD-A8B9-76187CF8055E}" name="Description" dataDxfId="44"/>
    <tableColumn id="7" xr3:uid="{5D89A186-2BEF-4603-AC88-49FF0F38EDCC}" name="Qty" dataDxfId="43"/>
    <tableColumn id="8" xr3:uid="{9F61C4F9-93DD-4268-9D36-B97487B3EB79}" name="Unit price" dataDxfId="42"/>
    <tableColumn id="10" xr3:uid="{7961AD13-429F-4455-BC15-0EE9669734A6}" name="Discount" dataDxfId="41"/>
    <tableColumn id="11" xr3:uid="{E81E43AD-3832-4394-9B85-DE2EB54035D9}" name="Price" dataDxfId="40">
      <calculatedColumnFormula>IFERROR(IF(SimpleInvoice67121517192024[[#This Row],[Unit price]]="","",(SimpleInvoice67121517192024[[#This Row],[Qty]]*SimpleInvoice67121517192024[[#This Row],[Unit price]])-SimpleInvoice67121517192024[[#This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1678345-F008-4EFD-851D-182185211A85}" name="SimpleInvoice671215171920" displayName="SimpleInvoice671215171920" ref="B13:G21" totalsRowShown="0" headerRowDxfId="39" dataDxfId="38">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1E97A5EE-127C-449C-A402-70474715477C}" name="Item #" dataDxfId="37"/>
    <tableColumn id="2" xr3:uid="{01270AFE-F883-43AE-9741-2354152977F4}" name="Description" dataDxfId="36"/>
    <tableColumn id="7" xr3:uid="{8CECCAA0-BEAB-4ECE-9FAC-7E4E287CC35D}" name="Qty" dataDxfId="35"/>
    <tableColumn id="8" xr3:uid="{13F5824C-37CF-439A-8BFF-66C315CF4120}" name="Unit price" dataDxfId="34"/>
    <tableColumn id="10" xr3:uid="{C3CA6644-AF0D-41D4-B6E4-B4BBC32333F5}" name="Discount" dataDxfId="33"/>
    <tableColumn id="11" xr3:uid="{93EA9FCC-77A3-4F78-A4ED-AC5C426B4A20}" name="Price" dataDxfId="32">
      <calculatedColumnFormula>IFERROR(IF(SimpleInvoice671215171920[[#This Row],[Unit price]]="","",(SimpleInvoice671215171920[[#This Row],[Qty]]*SimpleInvoice671215171920[[#This Row],[Unit price]])-SimpleInvoice671215171920[[#This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05A8398-AF36-4FFD-8F5A-AC68C24F137F}" name="SimpleInvoice67111316182126" displayName="SimpleInvoice67111316182126" ref="B13:G21" totalsRowShown="0" headerRowDxfId="31" dataDxfId="30">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596A73C7-6B81-4888-94F6-B7082B9709F8}" name="Item #" dataDxfId="29"/>
    <tableColumn id="2" xr3:uid="{6FD2D9F9-2DDE-4F91-9BB7-8CF31F65A6E6}" name="Description" dataDxfId="28"/>
    <tableColumn id="7" xr3:uid="{E477CDD2-B466-4F2D-B0EC-260E1AF52651}" name="Qty" dataDxfId="27"/>
    <tableColumn id="8" xr3:uid="{B4BAB73B-D19E-4294-A864-57647E83EC91}" name="Unit price" dataDxfId="26"/>
    <tableColumn id="10" xr3:uid="{6756E8ED-4119-46D9-91A4-9A66100DBCC2}" name="Discount" dataDxfId="25"/>
    <tableColumn id="11" xr3:uid="{A2190D74-0FE3-4A99-AED8-7B9CFCC9DDF4}" name="Price" dataDxfId="24">
      <calculatedColumnFormula>IFERROR(IF(SimpleInvoice67111316182126[[#This Row],[Unit price]]="","",(SimpleInvoice67111316182126[[#This Row],[Qty]]*SimpleInvoice67111316182126[[#This Row],[Unit price]])-SimpleInvoice67111316182126[[#This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918C0F8-9D99-45EE-B0ED-C964A2E8DC02}" name="SimpleInvoice67111316182125" displayName="SimpleInvoice67111316182125" ref="B13:G21" totalsRowShown="0" headerRowDxfId="23" dataDxfId="22">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4EF60D46-52E3-40AC-9418-CBB7D858FDBD}" name="Item #" dataDxfId="21"/>
    <tableColumn id="2" xr3:uid="{D002E96B-2621-4B16-9A82-4CDD48C818D6}" name="Description" dataDxfId="20"/>
    <tableColumn id="7" xr3:uid="{D6960C8B-BEA4-479B-A3F5-F6843659661B}" name="Qty" dataDxfId="19"/>
    <tableColumn id="8" xr3:uid="{839449C2-E058-402A-95EE-B56B2332F4A2}" name="Unit price" dataDxfId="18"/>
    <tableColumn id="10" xr3:uid="{52D9239B-705E-4A09-AFF4-7D5E2732AD20}" name="Discount" dataDxfId="17"/>
    <tableColumn id="11" xr3:uid="{B490BA3C-DC28-44E0-9043-B216AF767377}" name="Price" dataDxfId="16">
      <calculatedColumnFormula>IFERROR(IF(SimpleInvoice67111316182125[[#This Row],[Unit price]]="","",(SimpleInvoice67111316182125[[#This Row],[Qty]]*SimpleInvoice67111316182125[[#This Row],[Unit price]])-SimpleInvoice67111316182125[[#This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D25B98B-B830-4D09-B816-6C3852E33835}" name="SimpleInvoice67111316182127" displayName="SimpleInvoice67111316182127" ref="B13:G21" totalsRowShown="0" headerRowDxfId="15" dataDxfId="14">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F18F78AC-D1EA-4F32-96F0-3088D009F6EE}" name="Item #" dataDxfId="13"/>
    <tableColumn id="2" xr3:uid="{296DE1C1-84A3-4371-A18F-712EA21567D2}" name="Description" dataDxfId="12"/>
    <tableColumn id="7" xr3:uid="{54F07A5D-A73F-47FB-B0DC-E83DEB940885}" name="Qty" dataDxfId="11"/>
    <tableColumn id="8" xr3:uid="{C4C88930-4BFF-42A7-A891-4EB0196A81B2}" name="Unit price" dataDxfId="10"/>
    <tableColumn id="10" xr3:uid="{079C3658-0B5A-41BE-BACA-7244C41E340D}" name="Discount" dataDxfId="9"/>
    <tableColumn id="11" xr3:uid="{B26148DF-E4B0-4816-8AEE-AC0108C41554}" name="Price" dataDxfId="8">
      <calculatedColumnFormula>IFERROR(IF(SimpleInvoice67111316182127[[#This Row],[Unit price]]="","",(SimpleInvoice67111316182127[[#This Row],[Qty]]*SimpleInvoice67111316182127[[#This Row],[Unit price]])-SimpleInvoice67111316182127[[#This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94E0528-4660-4D7C-946A-19BF506195B5}" name="SimpleInvoice671113161821" displayName="SimpleInvoice671113161821" ref="B13:G21" totalsRowShown="0" headerRowDxfId="7" dataDxfId="6">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DC770A85-633B-4EF4-9DB3-1D61E2AA9A73}" name="Item #" dataDxfId="5"/>
    <tableColumn id="2" xr3:uid="{9B5671EA-5F90-4A10-BE81-FDEAAFDE3FD7}" name="Description" dataDxfId="4"/>
    <tableColumn id="7" xr3:uid="{06B66726-C4B9-4D8F-B662-6B5744197B56}" name="Qty" dataDxfId="3"/>
    <tableColumn id="8" xr3:uid="{2D847401-8249-4FA9-BADF-9CCD2156DB8B}" name="Unit price" dataDxfId="2"/>
    <tableColumn id="10" xr3:uid="{22CC6E8B-66A1-4CAF-B191-47D479EF1438}" name="Discount" dataDxfId="1"/>
    <tableColumn id="11" xr3:uid="{CBD918AD-9EB0-46F0-9024-456478BF418F}" name="Price" dataDxfId="0">
      <calculatedColumnFormula>IFERROR(IF(SimpleInvoice671113161821[[#This Row],[Unit price]]="","",(SimpleInvoice671113161821[[#This Row],[Qty]]*SimpleInvoice671113161821[[#This Row],[Unit price]])-SimpleInvoice671113161821[[#This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58D35-CD13-4283-959F-8D64ED349C35}">
  <sheetPr>
    <tabColor theme="4" tint="-0.499984740745262"/>
    <pageSetUpPr autoPageBreaks="0" fitToPage="1"/>
  </sheetPr>
  <dimension ref="A1:H31"/>
  <sheetViews>
    <sheetView showGridLines="0" tabSelected="1" zoomScaleNormal="100" workbookViewId="0">
      <selection activeCell="J4" sqref="J4"/>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4</v>
      </c>
      <c r="H3" s="9"/>
    </row>
    <row r="4" spans="1:8" ht="26.25" customHeight="1">
      <c r="A4" s="1"/>
      <c r="B4" s="10" t="s">
        <v>5</v>
      </c>
      <c r="C4" s="67"/>
      <c r="D4" s="67"/>
      <c r="E4" s="11"/>
      <c r="F4" s="59" t="s">
        <v>6</v>
      </c>
      <c r="G4" s="54">
        <v>45405</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23" t="s">
        <v>7</v>
      </c>
      <c r="C7" s="19"/>
      <c r="D7" s="20"/>
      <c r="E7" s="20"/>
      <c r="F7" s="55" t="s">
        <v>8</v>
      </c>
      <c r="G7" s="49" t="s">
        <v>9</v>
      </c>
      <c r="H7" s="21"/>
    </row>
    <row r="8" spans="1:8" ht="15.95" customHeight="1">
      <c r="A8" s="1"/>
      <c r="B8" s="23" t="s">
        <v>10</v>
      </c>
      <c r="C8" s="19"/>
      <c r="D8" s="22"/>
      <c r="E8" s="22"/>
      <c r="F8" s="60" t="s">
        <v>11</v>
      </c>
      <c r="G8" s="51" t="s">
        <v>12</v>
      </c>
      <c r="H8" s="21"/>
    </row>
    <row r="9" spans="1:8" ht="15.95" customHeight="1">
      <c r="A9" s="1"/>
      <c r="B9" s="19"/>
      <c r="C9" s="23"/>
      <c r="D9" s="20"/>
      <c r="E9" s="20"/>
      <c r="F9" s="56"/>
      <c r="G9" s="52" t="s">
        <v>13</v>
      </c>
      <c r="H9" s="21"/>
    </row>
    <row r="10" spans="1:8" ht="15.95" customHeight="1">
      <c r="A10" s="1"/>
      <c r="B10" s="19"/>
      <c r="C10" s="19"/>
      <c r="D10" s="22"/>
      <c r="E10" s="22"/>
      <c r="F10" s="60" t="s">
        <v>14</v>
      </c>
      <c r="G10" s="51" t="s">
        <v>15</v>
      </c>
      <c r="H10" s="21"/>
    </row>
    <row r="11" spans="1:8" ht="15.95" customHeight="1">
      <c r="A11" s="1"/>
      <c r="B11" s="24"/>
      <c r="C11" s="22"/>
      <c r="D11" s="20"/>
      <c r="E11" s="20"/>
      <c r="F11" s="57"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64">
        <v>7019.35</v>
      </c>
      <c r="F14" s="64">
        <v>0</v>
      </c>
      <c r="G14" s="64">
        <f>IFERROR(IF(SimpleInvoice67121517192022[[#This Row],[Unit price]]="","",(SimpleInvoice67121517192022[[#This Row],[Qty]]*SimpleInvoice67121517192022[[#This Row],[Unit price]])-SimpleInvoice67121517192022[[#This Row],[Discount]]),"")</f>
        <v>140387</v>
      </c>
      <c r="H14" s="26"/>
    </row>
    <row r="15" spans="1:8" ht="26.1" customHeight="1">
      <c r="A15" s="1"/>
      <c r="B15" s="37"/>
      <c r="C15" s="37"/>
      <c r="D15" s="39"/>
      <c r="E15" s="42"/>
      <c r="F15" s="42"/>
      <c r="G15" s="42"/>
      <c r="H15" s="26"/>
    </row>
    <row r="16" spans="1:8" ht="26.1" customHeight="1">
      <c r="A16" s="1"/>
      <c r="B16" s="37"/>
      <c r="C16" s="37"/>
      <c r="D16" s="39"/>
      <c r="E16" s="42"/>
      <c r="F16" s="42"/>
      <c r="G16" s="42"/>
      <c r="H16" s="26"/>
    </row>
    <row r="17" spans="1:8" ht="26.1" customHeight="1">
      <c r="A17" s="1"/>
      <c r="B17" s="37"/>
      <c r="C17" s="37"/>
      <c r="D17" s="39"/>
      <c r="E17" s="40"/>
      <c r="F17" s="41"/>
      <c r="G17" s="40" t="str">
        <f>IFERROR(IF(SimpleInvoice67121517192022[[#This Row],[Unit price]]="","",(SimpleInvoice67121517192022[[#This Row],[Qty]]*SimpleInvoice67121517192022[[#This Row],[Unit price]])-SimpleInvoice67121517192022[[#This Row],[Discount]]),"")</f>
        <v/>
      </c>
      <c r="H17" s="26"/>
    </row>
    <row r="18" spans="1:8" ht="26.1" customHeight="1">
      <c r="A18" s="1"/>
      <c r="B18" s="37"/>
      <c r="C18" s="37"/>
      <c r="D18" s="39"/>
      <c r="E18" s="40"/>
      <c r="F18" s="41"/>
      <c r="G18" s="40" t="str">
        <f>IFERROR(IF(SimpleInvoice67121517192022[[#This Row],[Unit price]]="","",(SimpleInvoice67121517192022[[#This Row],[Qty]]*SimpleInvoice67121517192022[[#This Row],[Unit price]])-SimpleInvoice67121517192022[[#This Row],[Discount]]),"")</f>
        <v/>
      </c>
      <c r="H18" s="26"/>
    </row>
    <row r="19" spans="1:8" ht="26.1" customHeight="1">
      <c r="A19" s="1"/>
      <c r="B19" s="37"/>
      <c r="C19" s="37"/>
      <c r="D19" s="39"/>
      <c r="E19" s="40"/>
      <c r="F19" s="41"/>
      <c r="G19" s="40" t="str">
        <f>IFERROR(IF(SimpleInvoice67121517192022[[#This Row],[Unit price]]="","",(SimpleInvoice67121517192022[[#This Row],[Qty]]*SimpleInvoice67121517192022[[#This Row],[Unit price]])-SimpleInvoice67121517192022[[#This Row],[Discount]]),"")</f>
        <v/>
      </c>
      <c r="H19" s="26"/>
    </row>
    <row r="20" spans="1:8" ht="26.1" customHeight="1">
      <c r="A20" s="1"/>
      <c r="B20" s="37"/>
      <c r="C20" s="37"/>
      <c r="D20" s="39"/>
      <c r="E20" s="40"/>
      <c r="F20" s="41"/>
      <c r="G20" s="40" t="str">
        <f>IFERROR(IF(SimpleInvoice67121517192022[[#This Row],[Unit price]]="","",(SimpleInvoice67121517192022[[#This Row],[Qty]]*SimpleInvoice67121517192022[[#This Row],[Unit price]])-SimpleInvoice67121517192022[[#This Row],[Discount]]),"")</f>
        <v/>
      </c>
      <c r="H20" s="26"/>
    </row>
    <row r="21" spans="1:8" ht="26.1" customHeight="1">
      <c r="A21" s="1"/>
      <c r="B21" s="37"/>
      <c r="C21" s="37"/>
      <c r="D21" s="39"/>
      <c r="E21" s="40"/>
      <c r="F21" s="41"/>
      <c r="G21" s="40"/>
      <c r="H21" s="26"/>
    </row>
    <row r="22" spans="1:8" ht="26.1" customHeight="1">
      <c r="A22" s="1"/>
      <c r="B22" s="27"/>
      <c r="C22" s="27"/>
      <c r="D22" s="13"/>
      <c r="E22" s="13"/>
      <c r="F22" s="28" t="s">
        <v>25</v>
      </c>
      <c r="G22" s="62">
        <v>140387</v>
      </c>
      <c r="H22" s="26"/>
    </row>
    <row r="23" spans="1:8" ht="26.1" customHeight="1">
      <c r="A23" s="1"/>
      <c r="B23" s="27"/>
      <c r="C23" s="27"/>
      <c r="D23" s="13"/>
      <c r="E23" s="13"/>
      <c r="F23" s="28" t="s">
        <v>26</v>
      </c>
      <c r="G23" s="44">
        <v>9.7000000000000003E-2</v>
      </c>
      <c r="H23" s="26"/>
    </row>
    <row r="24" spans="1:8" ht="26.1" customHeight="1">
      <c r="A24" s="1"/>
      <c r="B24" s="27"/>
      <c r="C24" s="27"/>
      <c r="D24" s="13"/>
      <c r="E24" s="13"/>
      <c r="F24" s="28" t="s">
        <v>27</v>
      </c>
      <c r="G24" s="62">
        <v>13603</v>
      </c>
      <c r="H24" s="26"/>
    </row>
    <row r="25" spans="1:8" ht="26.1" customHeight="1">
      <c r="A25" s="1"/>
      <c r="B25" s="29"/>
      <c r="C25" s="29"/>
      <c r="D25" s="29"/>
      <c r="E25" s="30"/>
      <c r="F25" s="28" t="s">
        <v>28</v>
      </c>
      <c r="G25" s="62">
        <v>0</v>
      </c>
      <c r="H25" s="26"/>
    </row>
    <row r="26" spans="1:8" ht="26.1" customHeight="1">
      <c r="A26" s="1"/>
      <c r="B26" s="31"/>
      <c r="C26" s="31"/>
      <c r="D26" s="31"/>
      <c r="E26" s="32"/>
      <c r="F26" s="33" t="s">
        <v>29</v>
      </c>
      <c r="G26" s="63">
        <v>153990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5">
    <mergeCell ref="C2:D2"/>
    <mergeCell ref="C3:D4"/>
    <mergeCell ref="B28:G28"/>
    <mergeCell ref="B29:G29"/>
    <mergeCell ref="B30:G30"/>
  </mergeCells>
  <dataValidations count="36">
    <dataValidation allowBlank="1" showInputMessage="1" showErrorMessage="1" prompt="The total amount is automatically calculated in this cell" sqref="G26" xr:uid="{D0D152E8-428E-4EDB-9818-17CFA505F2B2}"/>
    <dataValidation allowBlank="1" showInputMessage="1" showErrorMessage="1" prompt="Enter the deposit amount, if any" sqref="G25" xr:uid="{0D6C7B7B-647F-4299-87E8-79FFCD61C1FB}"/>
    <dataValidation allowBlank="1" showInputMessage="1" showErrorMessage="1" prompt="The sales tax is automatically calculated in this cell" sqref="G24" xr:uid="{4F389F93-7DF4-4CF3-9317-07A4CCAAA023}"/>
    <dataValidation allowBlank="1" showInputMessage="1" showErrorMessage="1" prompt="Enter tax rate in this cell" sqref="G23" xr:uid="{BA75A7AA-C1C3-4EB0-95F0-451A4FEFBC37}"/>
    <dataValidation allowBlank="1" showInputMessage="1" showErrorMessage="1" prompt="The subtotal amount is automatically calculated in this cell" sqref="G22" xr:uid="{164FE413-65EC-4D7A-8830-9506D0CB4E86}"/>
    <dataValidation allowBlank="1" showInputMessage="1" showErrorMessage="1" prompt="Price is auto calculated under this heading" sqref="G13" xr:uid="{B9A055DA-1E38-46B8-812D-B0635ED7A43B}"/>
    <dataValidation allowBlank="1" showInputMessage="1" showErrorMessage="1" prompt="Enter Discount in this column under this heading" sqref="F13" xr:uid="{D4DAD5A3-C2AA-43C8-B66A-5A6260B73BFA}"/>
    <dataValidation allowBlank="1" showInputMessage="1" showErrorMessage="1" prompt="Enter Unit Price in this column under this heading" sqref="E13" xr:uid="{8383D7AA-44E5-4F03-B875-D5A8509108F0}"/>
    <dataValidation allowBlank="1" showInputMessage="1" showErrorMessage="1" prompt="Enter Quantity in this column under this heading" sqref="D13" xr:uid="{5229D3D5-AEE6-4841-9556-628F8F120507}"/>
    <dataValidation allowBlank="1" showInputMessage="1" showErrorMessage="1" prompt="Enter Description in this column under this heading" sqref="C13" xr:uid="{94F59C63-E408-4945-971C-C2F72F3BD6DF}"/>
    <dataValidation allowBlank="1" showInputMessage="1" showErrorMessage="1" prompt="Enter Item number in this column under this heading" sqref="B13" xr:uid="{C6A86629-6F86-443B-ADC4-115418C3931B}"/>
    <dataValidation allowBlank="1" showInputMessage="1" showErrorMessage="1" prompt="Enter customer fax number in the cell at right" sqref="F11" xr:uid="{58E048BF-347A-499A-8057-17E90C0F21DB}"/>
    <dataValidation allowBlank="1" showInputMessage="1" showErrorMessage="1" prompt="Enter customer fax number in this cell" sqref="G11" xr:uid="{8ECF46CF-1035-4185-9FB0-056D5C5F27D3}"/>
    <dataValidation allowBlank="1" showInputMessage="1" showErrorMessage="1" prompt="Enter company phone number in this cell" sqref="B9" xr:uid="{12D94828-7142-4A26-8501-27C490D67B1A}"/>
    <dataValidation allowBlank="1" showInputMessage="1" showErrorMessage="1" prompt="Enter company email address in this cell" sqref="B11" xr:uid="{A96ABCC6-9360-4E7C-AE3E-AF5B9E03E7C6}"/>
    <dataValidation allowBlank="1" showInputMessage="1" showErrorMessage="1" prompt="Create a simple invoice in this worksheet" sqref="A1" xr:uid="{60E8D998-E6A5-4429-9DFF-BCE972150522}"/>
    <dataValidation allowBlank="1" showInputMessage="1" showErrorMessage="1" prompt="Enter invoice date in this cell" sqref="G4" xr:uid="{8AB9417C-DE20-40D6-ABB3-59302BE20436}"/>
    <dataValidation allowBlank="1" showInputMessage="1" showErrorMessage="1" prompt="Enter invoice # in the cell at right" sqref="F3" xr:uid="{81380952-5BF7-4717-A83E-D5B1ACF491AC}"/>
    <dataValidation allowBlank="1" showInputMessage="1" showErrorMessage="1" prompt="Enter invoice # in this cell" sqref="G3" xr:uid="{4544A4B3-117F-4698-861B-2E63A85FA491}"/>
    <dataValidation allowBlank="1" showInputMessage="1" showErrorMessage="1" prompt="Enter job type in the cell at right" sqref="F5" xr:uid="{CEDD1110-2FAD-4D7B-A4A7-2448300EC45C}"/>
    <dataValidation allowBlank="1" showInputMessage="1" showErrorMessage="1" prompt="Enter job type in this cell" sqref="G5" xr:uid="{64562AC6-48E8-478E-8840-F191369E897F}"/>
    <dataValidation allowBlank="1" showInputMessage="1" showErrorMessage="1" prompt="Enter your company street address in this cell" sqref="B7" xr:uid="{7C8886F7-6974-4111-8035-5B04ED00BE2E}"/>
    <dataValidation allowBlank="1" showInputMessage="1" showErrorMessage="1" prompt="Enter invoice date in the cell at right" sqref="F4" xr:uid="{A1A61B87-F5BF-45E4-A573-5BA66F186907}"/>
    <dataValidation allowBlank="1" showInputMessage="1" showErrorMessage="1" prompt="Enter company's city, state, and ZIP in this cell" sqref="B8" xr:uid="{FA82C90A-CB7C-42F8-A562-953A3E1E8145}"/>
    <dataValidation allowBlank="1" showInputMessage="1" showErrorMessage="1" prompt="Enter company fax number in this cell" sqref="B10" xr:uid="{7829AC6B-CD28-4C7E-8EC7-0A6D059B1740}"/>
    <dataValidation allowBlank="1" showInputMessage="1" showErrorMessage="1" prompt="Enter customer name in the cell at right" sqref="F7" xr:uid="{91B92A67-788B-4142-B68D-D42BC4CEDBDE}"/>
    <dataValidation allowBlank="1" showInputMessage="1" showErrorMessage="1" prompt="Enter customer name in this cell" sqref="G7" xr:uid="{9847B559-068B-4099-BEAA-F497AAA3969A}"/>
    <dataValidation allowBlank="1" showInputMessage="1" showErrorMessage="1" prompt="Enter customer address in the cell at right" sqref="F8" xr:uid="{457D9C17-862A-4A82-99A6-D01D9761C31D}"/>
    <dataValidation allowBlank="1" showInputMessage="1" showErrorMessage="1" prompt="Enter customer street address in this cell" sqref="G8" xr:uid="{A84B16FC-6FBD-4E25-91A3-6066AA198FD0}"/>
    <dataValidation allowBlank="1" showInputMessage="1" showErrorMessage="1" prompt="Enter customer phone number in the cell at right" sqref="F10" xr:uid="{6587DA3C-F3C5-4AFA-96CB-A081925F7E29}"/>
    <dataValidation allowBlank="1" showInputMessage="1" showErrorMessage="1" prompt="Enter customer phone number in this cell" sqref="G10" xr:uid="{BAB7D322-F7BA-4FB6-9FA0-7472D4453CDD}"/>
    <dataValidation allowBlank="1" showInputMessage="1" showErrorMessage="1" prompt="Enter customer city, state, and ZIP in this cell" sqref="G9" xr:uid="{F39CFB46-8DEA-4064-B322-7DADB0DAC710}"/>
    <dataValidation allowBlank="1" showInputMessage="1" showErrorMessage="1" prompt="Update this cell with your company's email address and website" sqref="B30:G30" xr:uid="{5AF69ED8-E316-406D-B40A-D2BC51348B7B}"/>
    <dataValidation allowBlank="1" showInputMessage="1" showErrorMessage="1" prompt="Modify company name in this cell and the cell below. Enter company address, phone, fax, and email in cells B7 to B11. Enter Billing details in cells G3 to G11." sqref="C2:D2" xr:uid="{B2224A1D-FC3F-437F-9D60-E6DD5A297F81}"/>
    <dataValidation allowBlank="1" showInputMessage="1" showErrorMessage="1" prompt="Replace the number of days in which the balance is due and service charge percent per month in this cell" sqref="B29:G29" xr:uid="{C5067F9C-EB65-44BF-AE1E-C69DC63D5A4A}"/>
    <dataValidation allowBlank="1" showInputMessage="1" showErrorMessage="1" prompt="Company name is automatically appended in this cell" sqref="B28:G28" xr:uid="{183F74EE-7D3B-4CD0-9AA5-A9E7EDF265DE}"/>
  </dataValidations>
  <printOptions horizontalCentered="1"/>
  <pageMargins left="0.23622047244094491" right="0.23622047244094491" top="0.74803149606299213" bottom="0.74803149606299213" header="0.31496062992125984" footer="0.31496062992125984"/>
  <pageSetup scale="80" fitToHeight="0" orientation="portrait" horizontalDpi="300" verticalDpi="300" r:id="rId1"/>
  <headerFooter differentFirst="1"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8D5B6-23B5-4B1E-8684-3F7B44DFA0F8}">
  <sheetPr>
    <tabColor theme="4" tint="-0.499984740745262"/>
    <pageSetUpPr autoPageBreaks="0" fitToPage="1"/>
  </sheetPr>
  <dimension ref="A1:H31"/>
  <sheetViews>
    <sheetView showGridLines="0" topLeftCell="A2" zoomScaleNormal="100" workbookViewId="0">
      <selection activeCell="G7" sqref="G7"/>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31</v>
      </c>
      <c r="H3" s="9"/>
    </row>
    <row r="4" spans="1:8" ht="26.25" customHeight="1">
      <c r="A4" s="1"/>
      <c r="B4" s="10" t="s">
        <v>5</v>
      </c>
      <c r="C4" s="67"/>
      <c r="D4" s="67"/>
      <c r="E4" s="11"/>
      <c r="F4" s="59" t="s">
        <v>6</v>
      </c>
      <c r="G4" s="54">
        <v>45497</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19" t="s">
        <v>7</v>
      </c>
      <c r="C7" s="19"/>
      <c r="D7" s="20"/>
      <c r="E7" s="20"/>
      <c r="F7" s="55" t="s">
        <v>8</v>
      </c>
      <c r="G7" s="49" t="s">
        <v>32</v>
      </c>
      <c r="H7" s="21"/>
    </row>
    <row r="8" spans="1:8" ht="15.95" customHeight="1">
      <c r="A8" s="1"/>
      <c r="B8" s="19" t="s">
        <v>10</v>
      </c>
      <c r="C8" s="19"/>
      <c r="D8" s="22"/>
      <c r="E8" s="22"/>
      <c r="F8" s="60" t="s">
        <v>11</v>
      </c>
      <c r="G8" s="50" t="s">
        <v>33</v>
      </c>
      <c r="H8" s="21"/>
    </row>
    <row r="9" spans="1:8" ht="15.95" customHeight="1">
      <c r="A9" s="1"/>
      <c r="B9" s="19"/>
      <c r="C9" s="23"/>
      <c r="D9" s="20"/>
      <c r="E9" s="20"/>
      <c r="F9" s="56"/>
      <c r="G9" s="52" t="s">
        <v>34</v>
      </c>
      <c r="H9" s="21"/>
    </row>
    <row r="10" spans="1:8" ht="15.95" customHeight="1">
      <c r="A10" s="1"/>
      <c r="B10" s="19"/>
      <c r="C10" s="19"/>
      <c r="D10" s="22"/>
      <c r="E10" s="22"/>
      <c r="F10" s="60" t="s">
        <v>14</v>
      </c>
      <c r="G10" s="51" t="s">
        <v>35</v>
      </c>
      <c r="H10" s="21"/>
    </row>
    <row r="11" spans="1:8" ht="15.95" customHeight="1">
      <c r="A11" s="1"/>
      <c r="B11" s="24"/>
      <c r="C11" s="22"/>
      <c r="D11" s="20"/>
      <c r="E11" s="20"/>
      <c r="F11" s="57"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64">
        <v>7019.35</v>
      </c>
      <c r="F14" s="64">
        <v>0</v>
      </c>
      <c r="G14" s="64">
        <f>IFERROR(IF(SimpleInvoice6712151719[[#This Row],[Unit price]]="","",(SimpleInvoice6712151719[[#This Row],[Qty]]*SimpleInvoice6712151719[[#This Row],[Unit price]])-SimpleInvoice6712151719[[#This Row],[Discount]]),"")</f>
        <v>140387</v>
      </c>
      <c r="H14" s="26"/>
    </row>
    <row r="15" spans="1:8" ht="26.1" customHeight="1">
      <c r="A15" s="1"/>
      <c r="B15" s="37"/>
      <c r="C15" s="37"/>
      <c r="D15" s="39"/>
      <c r="E15" s="42"/>
      <c r="F15" s="42"/>
      <c r="G15" s="42"/>
      <c r="H15" s="26"/>
    </row>
    <row r="16" spans="1:8" ht="26.1" customHeight="1">
      <c r="A16" s="1"/>
      <c r="B16" s="37"/>
      <c r="C16" s="37"/>
      <c r="D16" s="39"/>
      <c r="E16" s="42"/>
      <c r="F16" s="42"/>
      <c r="G16" s="42"/>
      <c r="H16" s="26"/>
    </row>
    <row r="17" spans="1:8" ht="26.1" customHeight="1">
      <c r="A17" s="1"/>
      <c r="B17" s="37"/>
      <c r="C17" s="37"/>
      <c r="D17" s="39"/>
      <c r="E17" s="40"/>
      <c r="F17" s="41"/>
      <c r="G17" s="40" t="str">
        <f>IFERROR(IF(SimpleInvoice6712151719[[#This Row],[Unit price]]="","",(SimpleInvoice6712151719[[#This Row],[Qty]]*SimpleInvoice6712151719[[#This Row],[Unit price]])-SimpleInvoice6712151719[[#This Row],[Discount]]),"")</f>
        <v/>
      </c>
      <c r="H17" s="26"/>
    </row>
    <row r="18" spans="1:8" ht="26.1" customHeight="1">
      <c r="A18" s="1"/>
      <c r="B18" s="37"/>
      <c r="C18" s="37"/>
      <c r="D18" s="39"/>
      <c r="E18" s="40"/>
      <c r="F18" s="41"/>
      <c r="G18" s="40" t="str">
        <f>IFERROR(IF(SimpleInvoice6712151719[[#This Row],[Unit price]]="","",(SimpleInvoice6712151719[[#This Row],[Qty]]*SimpleInvoice6712151719[[#This Row],[Unit price]])-SimpleInvoice6712151719[[#This Row],[Discount]]),"")</f>
        <v/>
      </c>
      <c r="H18" s="26"/>
    </row>
    <row r="19" spans="1:8" ht="26.1" customHeight="1">
      <c r="A19" s="1"/>
      <c r="B19" s="37"/>
      <c r="C19" s="37"/>
      <c r="D19" s="39"/>
      <c r="E19" s="40"/>
      <c r="F19" s="41"/>
      <c r="G19" s="40" t="str">
        <f>IFERROR(IF(SimpleInvoice6712151719[[#This Row],[Unit price]]="","",(SimpleInvoice6712151719[[#This Row],[Qty]]*SimpleInvoice6712151719[[#This Row],[Unit price]])-SimpleInvoice6712151719[[#This Row],[Discount]]),"")</f>
        <v/>
      </c>
      <c r="H19" s="26"/>
    </row>
    <row r="20" spans="1:8" ht="26.1" customHeight="1">
      <c r="A20" s="1"/>
      <c r="B20" s="37"/>
      <c r="C20" s="37"/>
      <c r="D20" s="39"/>
      <c r="E20" s="40"/>
      <c r="F20" s="41"/>
      <c r="G20" s="40" t="str">
        <f>IFERROR(IF(SimpleInvoice6712151719[[#This Row],[Unit price]]="","",(SimpleInvoice6712151719[[#This Row],[Qty]]*SimpleInvoice6712151719[[#This Row],[Unit price]])-SimpleInvoice6712151719[[#This Row],[Discount]]),"")</f>
        <v/>
      </c>
      <c r="H20" s="26"/>
    </row>
    <row r="21" spans="1:8" ht="26.1" customHeight="1">
      <c r="A21" s="1"/>
      <c r="B21" s="37"/>
      <c r="C21" s="37"/>
      <c r="D21" s="39"/>
      <c r="E21" s="40"/>
      <c r="F21" s="41"/>
      <c r="G21" s="40"/>
      <c r="H21" s="26"/>
    </row>
    <row r="22" spans="1:8" ht="26.1" customHeight="1">
      <c r="A22" s="1"/>
      <c r="B22" s="27"/>
      <c r="C22" s="27"/>
      <c r="D22" s="13"/>
      <c r="E22" s="13"/>
      <c r="F22" s="28" t="s">
        <v>25</v>
      </c>
      <c r="G22" s="62">
        <v>140387</v>
      </c>
      <c r="H22" s="26"/>
    </row>
    <row r="23" spans="1:8" ht="26.1" customHeight="1">
      <c r="A23" s="1"/>
      <c r="B23" s="27"/>
      <c r="C23" s="27"/>
      <c r="D23" s="13"/>
      <c r="E23" s="13"/>
      <c r="F23" s="28" t="s">
        <v>26</v>
      </c>
      <c r="G23" s="44">
        <v>9.7000000000000003E-2</v>
      </c>
      <c r="H23" s="26"/>
    </row>
    <row r="24" spans="1:8" ht="26.1" customHeight="1">
      <c r="A24" s="1"/>
      <c r="B24" s="27"/>
      <c r="C24" s="27"/>
      <c r="D24" s="13"/>
      <c r="E24" s="13"/>
      <c r="F24" s="28" t="s">
        <v>27</v>
      </c>
      <c r="G24" s="62">
        <v>13603</v>
      </c>
      <c r="H24" s="26"/>
    </row>
    <row r="25" spans="1:8" ht="26.1" customHeight="1">
      <c r="A25" s="1"/>
      <c r="B25" s="29"/>
      <c r="C25" s="29"/>
      <c r="D25" s="29"/>
      <c r="E25" s="30"/>
      <c r="F25" s="28" t="s">
        <v>28</v>
      </c>
      <c r="G25" s="62">
        <v>0</v>
      </c>
      <c r="H25" s="26"/>
    </row>
    <row r="26" spans="1:8" ht="26.1" customHeight="1">
      <c r="A26" s="1"/>
      <c r="B26" s="31"/>
      <c r="C26" s="31"/>
      <c r="D26" s="31"/>
      <c r="E26" s="32"/>
      <c r="F26" s="33" t="s">
        <v>29</v>
      </c>
      <c r="G26" s="63">
        <v>153990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5">
    <mergeCell ref="C2:D2"/>
    <mergeCell ref="C3:D4"/>
    <mergeCell ref="B28:G28"/>
    <mergeCell ref="B29:G29"/>
    <mergeCell ref="B30:G30"/>
  </mergeCells>
  <dataValidations count="36">
    <dataValidation allowBlank="1" showInputMessage="1" showErrorMessage="1" prompt="The total amount is automatically calculated in this cell" sqref="G26" xr:uid="{42BC7E6B-7D49-4ED4-A93A-E79464AE5270}"/>
    <dataValidation allowBlank="1" showInputMessage="1" showErrorMessage="1" prompt="Enter the deposit amount, if any" sqref="G25" xr:uid="{B03EBD59-C0C3-4F90-B223-53EE865647E4}"/>
    <dataValidation allowBlank="1" showInputMessage="1" showErrorMessage="1" prompt="The sales tax is automatically calculated in this cell" sqref="G24" xr:uid="{2CB57AC2-0F9C-44F7-B386-90AFC46FE09B}"/>
    <dataValidation allowBlank="1" showInputMessage="1" showErrorMessage="1" prompt="Enter tax rate in this cell" sqref="G23" xr:uid="{109CA92B-850A-4FA9-9693-56681166BE4D}"/>
    <dataValidation allowBlank="1" showInputMessage="1" showErrorMessage="1" prompt="The subtotal amount is automatically calculated in this cell" sqref="G22" xr:uid="{0542016D-9245-4D64-ADCF-E2F6DDE81E37}"/>
    <dataValidation allowBlank="1" showInputMessage="1" showErrorMessage="1" prompt="Price is auto calculated under this heading" sqref="G13" xr:uid="{839509BE-18EE-49C6-92B7-12340803ECD8}"/>
    <dataValidation allowBlank="1" showInputMessage="1" showErrorMessage="1" prompt="Enter Discount in this column under this heading" sqref="F13" xr:uid="{038BB9FE-B3BA-460E-8A7A-325025B419BB}"/>
    <dataValidation allowBlank="1" showInputMessage="1" showErrorMessage="1" prompt="Enter Unit Price in this column under this heading" sqref="E13" xr:uid="{19849DFF-39CE-48F2-81C8-B1B692654FC3}"/>
    <dataValidation allowBlank="1" showInputMessage="1" showErrorMessage="1" prompt="Enter Quantity in this column under this heading" sqref="D13" xr:uid="{9108CB80-5A21-4001-B7DE-BC0CAF0FCE40}"/>
    <dataValidation allowBlank="1" showInputMessage="1" showErrorMessage="1" prompt="Enter Description in this column under this heading" sqref="C13" xr:uid="{CC8B07E3-F3CF-4EE3-AF18-06080A4A16C6}"/>
    <dataValidation allowBlank="1" showInputMessage="1" showErrorMessage="1" prompt="Enter Item number in this column under this heading" sqref="B13" xr:uid="{B659B781-9505-48E4-8D15-1C214045A717}"/>
    <dataValidation allowBlank="1" showInputMessage="1" showErrorMessage="1" prompt="Enter customer fax number in the cell at right" sqref="F11" xr:uid="{FA4F7EF4-1D00-4CD4-B1A3-D23984913B3D}"/>
    <dataValidation allowBlank="1" showInputMessage="1" showErrorMessage="1" prompt="Enter customer fax number in this cell" sqref="G11" xr:uid="{4FA06D1C-37DB-49DC-8469-077F63089D7C}"/>
    <dataValidation allowBlank="1" showInputMessage="1" showErrorMessage="1" prompt="Enter company phone number in this cell" sqref="B9" xr:uid="{47175C93-D0B0-42A3-BAA4-BB1BC8BF3FDF}"/>
    <dataValidation allowBlank="1" showInputMessage="1" showErrorMessage="1" prompt="Enter company email address in this cell" sqref="B11" xr:uid="{55E59109-620D-4BBA-9F0A-C8C05160F902}"/>
    <dataValidation allowBlank="1" showInputMessage="1" showErrorMessage="1" prompt="Create a simple invoice in this worksheet" sqref="A1" xr:uid="{DD298AC8-E3A8-4908-8B5F-CBC80C0414C8}"/>
    <dataValidation allowBlank="1" showInputMessage="1" showErrorMessage="1" prompt="Enter invoice date in this cell" sqref="G4" xr:uid="{78B2729B-771A-4795-AA2F-D43EB0FB98E8}"/>
    <dataValidation allowBlank="1" showInputMessage="1" showErrorMessage="1" prompt="Enter invoice # in the cell at right" sqref="F3" xr:uid="{3F6D90D2-218A-4A5F-8012-B163AD338382}"/>
    <dataValidation allowBlank="1" showInputMessage="1" showErrorMessage="1" prompt="Enter invoice # in this cell" sqref="G3" xr:uid="{635E6E91-A345-4A13-B735-0E6A46F7E867}"/>
    <dataValidation allowBlank="1" showInputMessage="1" showErrorMessage="1" prompt="Enter job type in the cell at right" sqref="F5" xr:uid="{D4C3EAAC-CF51-42BE-AEFD-D343F0F4506F}"/>
    <dataValidation allowBlank="1" showInputMessage="1" showErrorMessage="1" prompt="Enter job type in this cell" sqref="G5" xr:uid="{51099F5D-07BA-4BA8-99DF-5637BD325BEF}"/>
    <dataValidation allowBlank="1" showInputMessage="1" showErrorMessage="1" prompt="Enter your company street address in this cell" sqref="B7" xr:uid="{2298A6B3-8BC8-4DEA-B7FD-F369770D568F}"/>
    <dataValidation allowBlank="1" showInputMessage="1" showErrorMessage="1" prompt="Enter invoice date in the cell at right" sqref="F4" xr:uid="{16C5DD15-F3E3-4C32-AFF0-D4BA83D07954}"/>
    <dataValidation allowBlank="1" showInputMessage="1" showErrorMessage="1" prompt="Enter company's city, state, and ZIP in this cell" sqref="B8" xr:uid="{A6ACFAB6-41CA-495A-AD2D-7F5E74842E33}"/>
    <dataValidation allowBlank="1" showInputMessage="1" showErrorMessage="1" prompt="Enter company fax number in this cell" sqref="B10" xr:uid="{ABCB41C3-BCDD-4457-A24B-2EFB49ED9FAC}"/>
    <dataValidation allowBlank="1" showInputMessage="1" showErrorMessage="1" prompt="Enter customer name in the cell at right" sqref="F7" xr:uid="{8F26CFA8-5237-4650-87B6-72B31234AA2A}"/>
    <dataValidation allowBlank="1" showInputMessage="1" showErrorMessage="1" prompt="Enter customer name in this cell" sqref="G7" xr:uid="{4A381DC6-3BB3-4A37-983F-F668FF197178}"/>
    <dataValidation allowBlank="1" showInputMessage="1" showErrorMessage="1" prompt="Enter customer address in the cell at right" sqref="F8" xr:uid="{96A03E53-F042-4864-8B7B-C64F26C33C76}"/>
    <dataValidation allowBlank="1" showInputMessage="1" showErrorMessage="1" prompt="Enter customer street address in this cell" sqref="G8" xr:uid="{4F14D65D-4DF0-4E13-A3B3-971A2B80017A}"/>
    <dataValidation allowBlank="1" showInputMessage="1" showErrorMessage="1" prompt="Enter customer phone number in the cell at right" sqref="F10" xr:uid="{7313BCF5-E72B-440A-BCAB-8A99CC6C5897}"/>
    <dataValidation allowBlank="1" showInputMessage="1" showErrorMessage="1" prompt="Enter customer phone number in this cell" sqref="G10" xr:uid="{579B8B05-8D56-453D-B00E-739B7791F53E}"/>
    <dataValidation allowBlank="1" showInputMessage="1" showErrorMessage="1" prompt="Enter customer city, state, and ZIP in this cell" sqref="G9" xr:uid="{6F460F96-B25E-4160-A733-25498A3C020A}"/>
    <dataValidation allowBlank="1" showInputMessage="1" showErrorMessage="1" prompt="Update this cell with your company's email address and website" sqref="B30:G30" xr:uid="{74B0744C-3D26-4FD9-B73C-C5E86ED4A11B}"/>
    <dataValidation allowBlank="1" showInputMessage="1" showErrorMessage="1" prompt="Modify company name in this cell and the cell below. Enter company address, phone, fax, and email in cells B7 to B11. Enter Billing details in cells G3 to G11." sqref="C2:D2" xr:uid="{740BD1F9-8986-4617-BEBD-0EC3F3C229DF}"/>
    <dataValidation allowBlank="1" showInputMessage="1" showErrorMessage="1" prompt="Replace the number of days in which the balance is due and service charge percent per month in this cell" sqref="B29:G29" xr:uid="{1CADCD9C-3F79-4EDF-A907-4608F4F321AC}"/>
    <dataValidation allowBlank="1" showInputMessage="1" showErrorMessage="1" prompt="Company name is automatically appended in this cell" sqref="B28:G28" xr:uid="{9AA2A260-B88E-47B9-84CE-75696D66BAF6}"/>
  </dataValidations>
  <printOptions horizontalCentered="1"/>
  <pageMargins left="0.23622047244094491" right="0.23622047244094491" top="0.74803149606299213" bottom="0.74803149606299213" header="0.31496062992125984" footer="0.31496062992125984"/>
  <pageSetup scale="80" fitToHeight="0" orientation="portrait" horizontalDpi="300" verticalDpi="300" r:id="rId1"/>
  <headerFooter differentFirst="1" alignWithMargins="0"/>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0B05F-436A-476C-BC62-2CC0CB25B4B3}">
  <sheetPr>
    <tabColor theme="4" tint="-0.499984740745262"/>
    <pageSetUpPr autoPageBreaks="0" fitToPage="1"/>
  </sheetPr>
  <dimension ref="A1:H31"/>
  <sheetViews>
    <sheetView showGridLines="0" zoomScaleNormal="100" workbookViewId="0">
      <selection activeCell="G3" sqref="G3"/>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36</v>
      </c>
      <c r="H3" s="9"/>
    </row>
    <row r="4" spans="1:8" ht="26.25" customHeight="1">
      <c r="A4" s="1"/>
      <c r="B4" s="10" t="s">
        <v>5</v>
      </c>
      <c r="C4" s="67"/>
      <c r="D4" s="67"/>
      <c r="E4" s="11"/>
      <c r="F4" s="59" t="s">
        <v>6</v>
      </c>
      <c r="G4" s="54">
        <v>45312</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19" t="s">
        <v>7</v>
      </c>
      <c r="C7" s="19"/>
      <c r="D7" s="20"/>
      <c r="E7" s="20"/>
      <c r="F7" s="55" t="s">
        <v>8</v>
      </c>
      <c r="G7" s="49" t="s">
        <v>37</v>
      </c>
      <c r="H7" s="21"/>
    </row>
    <row r="8" spans="1:8" ht="15.95" customHeight="1">
      <c r="A8" s="1"/>
      <c r="B8" s="19" t="s">
        <v>10</v>
      </c>
      <c r="C8" s="19"/>
      <c r="D8" s="22"/>
      <c r="E8" s="22"/>
      <c r="F8" s="60" t="s">
        <v>11</v>
      </c>
      <c r="G8" s="50" t="s">
        <v>38</v>
      </c>
      <c r="H8" s="21"/>
    </row>
    <row r="9" spans="1:8" ht="15.95" customHeight="1">
      <c r="A9" s="1"/>
      <c r="B9" s="19"/>
      <c r="C9" s="23"/>
      <c r="D9" s="20"/>
      <c r="E9" s="20"/>
      <c r="F9" s="56"/>
      <c r="G9" s="52" t="s">
        <v>39</v>
      </c>
      <c r="H9" s="21"/>
    </row>
    <row r="10" spans="1:8" ht="15.95" customHeight="1">
      <c r="A10" s="1"/>
      <c r="B10" s="19"/>
      <c r="C10" s="19"/>
      <c r="D10" s="22"/>
      <c r="E10" s="22"/>
      <c r="F10" s="61" t="s">
        <v>14</v>
      </c>
      <c r="G10" s="51" t="s">
        <v>40</v>
      </c>
      <c r="H10" s="21"/>
    </row>
    <row r="11" spans="1:8" ht="15.95" customHeight="1">
      <c r="A11" s="1"/>
      <c r="B11" s="24"/>
      <c r="C11" s="22"/>
      <c r="D11" s="20"/>
      <c r="E11" s="20"/>
      <c r="F11" s="57"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42">
        <v>7019.35</v>
      </c>
      <c r="F14" s="42">
        <v>0</v>
      </c>
      <c r="G14" s="42">
        <f>IFERROR(IF(SimpleInvoice67121517192023[[#This Row],[Unit price]]="","",(SimpleInvoice67121517192023[[#This Row],[Qty]]*SimpleInvoice67121517192023[[#This Row],[Unit price]])-SimpleInvoice67121517192023[[#This Row],[Discount]]),"")</f>
        <v>140387</v>
      </c>
      <c r="H14" s="26"/>
    </row>
    <row r="15" spans="1:8" ht="26.1" customHeight="1">
      <c r="A15" s="1"/>
      <c r="B15" s="37"/>
      <c r="C15" s="37"/>
      <c r="D15" s="39"/>
      <c r="E15" s="42"/>
      <c r="F15" s="42"/>
      <c r="G15" s="42"/>
      <c r="H15" s="26"/>
    </row>
    <row r="16" spans="1:8" ht="26.1" customHeight="1">
      <c r="A16" s="1"/>
      <c r="B16" s="37"/>
      <c r="C16" s="37"/>
      <c r="D16" s="39"/>
      <c r="E16" s="42"/>
      <c r="F16" s="42"/>
      <c r="G16" s="42"/>
      <c r="H16" s="26"/>
    </row>
    <row r="17" spans="1:8" ht="26.1" customHeight="1">
      <c r="A17" s="1"/>
      <c r="B17" s="37"/>
      <c r="C17" s="37"/>
      <c r="D17" s="39"/>
      <c r="E17" s="40"/>
      <c r="F17" s="41"/>
      <c r="G17" s="40" t="str">
        <f>IFERROR(IF(SimpleInvoice67121517192023[[#This Row],[Unit price]]="","",(SimpleInvoice67121517192023[[#This Row],[Qty]]*SimpleInvoice67121517192023[[#This Row],[Unit price]])-SimpleInvoice67121517192023[[#This Row],[Discount]]),"")</f>
        <v/>
      </c>
      <c r="H17" s="26"/>
    </row>
    <row r="18" spans="1:8" ht="26.1" customHeight="1">
      <c r="A18" s="1"/>
      <c r="B18" s="37"/>
      <c r="C18" s="37"/>
      <c r="D18" s="39"/>
      <c r="E18" s="40"/>
      <c r="F18" s="41"/>
      <c r="G18" s="40" t="str">
        <f>IFERROR(IF(SimpleInvoice67121517192023[[#This Row],[Unit price]]="","",(SimpleInvoice67121517192023[[#This Row],[Qty]]*SimpleInvoice67121517192023[[#This Row],[Unit price]])-SimpleInvoice67121517192023[[#This Row],[Discount]]),"")</f>
        <v/>
      </c>
      <c r="H18" s="26"/>
    </row>
    <row r="19" spans="1:8" ht="26.1" customHeight="1">
      <c r="A19" s="1"/>
      <c r="B19" s="37"/>
      <c r="C19" s="37"/>
      <c r="D19" s="39"/>
      <c r="E19" s="40"/>
      <c r="F19" s="41"/>
      <c r="G19" s="40" t="str">
        <f>IFERROR(IF(SimpleInvoice67121517192023[[#This Row],[Unit price]]="","",(SimpleInvoice67121517192023[[#This Row],[Qty]]*SimpleInvoice67121517192023[[#This Row],[Unit price]])-SimpleInvoice67121517192023[[#This Row],[Discount]]),"")</f>
        <v/>
      </c>
      <c r="H19" s="26"/>
    </row>
    <row r="20" spans="1:8" ht="26.1" customHeight="1">
      <c r="A20" s="1"/>
      <c r="B20" s="37"/>
      <c r="C20" s="37"/>
      <c r="D20" s="39"/>
      <c r="E20" s="40"/>
      <c r="F20" s="41"/>
      <c r="G20" s="40" t="str">
        <f>IFERROR(IF(SimpleInvoice67121517192023[[#This Row],[Unit price]]="","",(SimpleInvoice67121517192023[[#This Row],[Qty]]*SimpleInvoice67121517192023[[#This Row],[Unit price]])-SimpleInvoice67121517192023[[#This Row],[Discount]]),"")</f>
        <v/>
      </c>
      <c r="H20" s="26"/>
    </row>
    <row r="21" spans="1:8" ht="26.1" customHeight="1">
      <c r="A21" s="1"/>
      <c r="B21" s="37"/>
      <c r="C21" s="37"/>
      <c r="D21" s="39"/>
      <c r="E21" s="40"/>
      <c r="F21" s="41"/>
      <c r="G21" s="40"/>
      <c r="H21" s="26"/>
    </row>
    <row r="22" spans="1:8" ht="26.1" customHeight="1">
      <c r="A22" s="1"/>
      <c r="B22" s="27"/>
      <c r="C22" s="27"/>
      <c r="D22" s="13"/>
      <c r="E22" s="13"/>
      <c r="F22" s="28" t="s">
        <v>25</v>
      </c>
      <c r="G22" s="62">
        <v>140387</v>
      </c>
      <c r="H22" s="26"/>
    </row>
    <row r="23" spans="1:8" ht="26.1" customHeight="1">
      <c r="A23" s="1"/>
      <c r="B23" s="27"/>
      <c r="C23" s="27"/>
      <c r="D23" s="13"/>
      <c r="E23" s="13"/>
      <c r="F23" s="28" t="s">
        <v>26</v>
      </c>
      <c r="G23" s="44">
        <v>9.7000000000000003E-2</v>
      </c>
      <c r="H23" s="26"/>
    </row>
    <row r="24" spans="1:8" ht="26.1" customHeight="1">
      <c r="A24" s="1"/>
      <c r="B24" s="27"/>
      <c r="C24" s="27"/>
      <c r="D24" s="13"/>
      <c r="E24" s="13"/>
      <c r="F24" s="28" t="s">
        <v>27</v>
      </c>
      <c r="G24" s="62">
        <v>13603</v>
      </c>
      <c r="H24" s="26"/>
    </row>
    <row r="25" spans="1:8" ht="26.1" customHeight="1">
      <c r="A25" s="1"/>
      <c r="B25" s="29"/>
      <c r="C25" s="29"/>
      <c r="D25" s="29"/>
      <c r="E25" s="30"/>
      <c r="F25" s="28" t="s">
        <v>28</v>
      </c>
      <c r="G25" s="62">
        <v>0</v>
      </c>
      <c r="H25" s="26"/>
    </row>
    <row r="26" spans="1:8" ht="26.1" customHeight="1">
      <c r="A26" s="1"/>
      <c r="B26" s="31"/>
      <c r="C26" s="31"/>
      <c r="D26" s="31"/>
      <c r="E26" s="32"/>
      <c r="F26" s="33" t="s">
        <v>29</v>
      </c>
      <c r="G26" s="45">
        <v>153990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5">
    <mergeCell ref="C2:D2"/>
    <mergeCell ref="C3:D4"/>
    <mergeCell ref="B28:G28"/>
    <mergeCell ref="B29:G29"/>
    <mergeCell ref="B30:G30"/>
  </mergeCells>
  <dataValidations count="36">
    <dataValidation allowBlank="1" showInputMessage="1" showErrorMessage="1" prompt="The total amount is automatically calculated in this cell" sqref="G26" xr:uid="{357EED9F-3856-428D-AC52-38A900166668}"/>
    <dataValidation allowBlank="1" showInputMessage="1" showErrorMessage="1" prompt="Enter the deposit amount, if any" sqref="G25" xr:uid="{DF8860E6-AAE7-4BC1-A895-56A4CAA3D56E}"/>
    <dataValidation allowBlank="1" showInputMessage="1" showErrorMessage="1" prompt="The sales tax is automatically calculated in this cell" sqref="G24" xr:uid="{B2C7F6B1-0AFE-4972-B912-D21D7A34B1CE}"/>
    <dataValidation allowBlank="1" showInputMessage="1" showErrorMessage="1" prompt="Enter tax rate in this cell" sqref="G23" xr:uid="{C7F69E40-3323-4BA4-86AB-B790C8BD7215}"/>
    <dataValidation allowBlank="1" showInputMessage="1" showErrorMessage="1" prompt="The subtotal amount is automatically calculated in this cell" sqref="G22" xr:uid="{1C457E1E-ADAE-4FCB-887F-85FFE5FE71E7}"/>
    <dataValidation allowBlank="1" showInputMessage="1" showErrorMessage="1" prompt="Price is auto calculated under this heading" sqref="G13" xr:uid="{2A2953DB-7073-46C8-BD92-0BEAFBE8D670}"/>
    <dataValidation allowBlank="1" showInputMessage="1" showErrorMessage="1" prompt="Enter Discount in this column under this heading" sqref="F13" xr:uid="{26C51CAE-9F10-4CE7-AFE5-A2EEC989381A}"/>
    <dataValidation allowBlank="1" showInputMessage="1" showErrorMessage="1" prompt="Enter Unit Price in this column under this heading" sqref="E13" xr:uid="{975EA747-A851-4D4C-A5BC-8E4A591E3726}"/>
    <dataValidation allowBlank="1" showInputMessage="1" showErrorMessage="1" prompt="Enter Quantity in this column under this heading" sqref="D13" xr:uid="{C7CC1BC3-DC71-495A-B797-3F4798C449EF}"/>
    <dataValidation allowBlank="1" showInputMessage="1" showErrorMessage="1" prompt="Enter Description in this column under this heading" sqref="C13" xr:uid="{79381EEA-8027-4D10-9505-BCE6EE4CDAC9}"/>
    <dataValidation allowBlank="1" showInputMessage="1" showErrorMessage="1" prompt="Enter Item number in this column under this heading" sqref="B13" xr:uid="{A3FAC5C0-09A9-4AA8-B89D-16DCB345677A}"/>
    <dataValidation allowBlank="1" showInputMessage="1" showErrorMessage="1" prompt="Enter customer fax number in the cell at right" sqref="F11" xr:uid="{3A818AC9-9A3D-42B3-BF3D-9FFAB6B7FF21}"/>
    <dataValidation allowBlank="1" showInputMessage="1" showErrorMessage="1" prompt="Enter customer fax number in this cell" sqref="G11" xr:uid="{0DE79D7A-A8CB-49DF-A696-0E338F1C49A3}"/>
    <dataValidation allowBlank="1" showInputMessage="1" showErrorMessage="1" prompt="Enter company phone number in this cell" sqref="B9" xr:uid="{8362FBE5-C6F2-4B15-B01B-5CE79AA65C2E}"/>
    <dataValidation allowBlank="1" showInputMessage="1" showErrorMessage="1" prompt="Enter company email address in this cell" sqref="B11" xr:uid="{BEAAEDE3-3776-4EDF-8C10-D0C2694E8A81}"/>
    <dataValidation allowBlank="1" showInputMessage="1" showErrorMessage="1" prompt="Create a simple invoice in this worksheet" sqref="A1" xr:uid="{51C220C7-D38C-4DB7-A64F-11608EBE2407}"/>
    <dataValidation allowBlank="1" showInputMessage="1" showErrorMessage="1" prompt="Enter invoice date in this cell" sqref="G4" xr:uid="{E1B1794C-C092-4EFD-84CF-4609E97EBDEF}"/>
    <dataValidation allowBlank="1" showInputMessage="1" showErrorMessage="1" prompt="Enter invoice # in the cell at right" sqref="F3" xr:uid="{BE7E9382-1EC2-417A-A453-F0F3C14D7369}"/>
    <dataValidation allowBlank="1" showInputMessage="1" showErrorMessage="1" prompt="Enter invoice # in this cell" sqref="G3" xr:uid="{322B49EF-C3F5-46A6-BE45-6FE78193470F}"/>
    <dataValidation allowBlank="1" showInputMessage="1" showErrorMessage="1" prompt="Enter job type in the cell at right" sqref="F5" xr:uid="{7E21DFFC-172F-40E2-BDBF-895CD9C538C5}"/>
    <dataValidation allowBlank="1" showInputMessage="1" showErrorMessage="1" prompt="Enter job type in this cell" sqref="G5" xr:uid="{2E16F9D4-1724-458A-B717-972ADB7E0387}"/>
    <dataValidation allowBlank="1" showInputMessage="1" showErrorMessage="1" prompt="Enter your company street address in this cell" sqref="B7" xr:uid="{4C698A64-9D2F-44FE-8441-58F521B758D2}"/>
    <dataValidation allowBlank="1" showInputMessage="1" showErrorMessage="1" prompt="Enter invoice date in the cell at right" sqref="F4" xr:uid="{C8C8DD9C-E8FE-4C89-96D8-2CFBF70F7892}"/>
    <dataValidation allowBlank="1" showInputMessage="1" showErrorMessage="1" prompt="Enter company's city, state, and ZIP in this cell" sqref="B8" xr:uid="{DD352FA1-A660-4633-B966-74BF1DD0F1D4}"/>
    <dataValidation allowBlank="1" showInputMessage="1" showErrorMessage="1" prompt="Enter company fax number in this cell" sqref="B10" xr:uid="{741B677D-DD5F-4D2D-AC74-25534847620B}"/>
    <dataValidation allowBlank="1" showInputMessage="1" showErrorMessage="1" prompt="Enter customer name in the cell at right" sqref="F7" xr:uid="{0D814A2D-9F00-4228-9F65-265DAD86134F}"/>
    <dataValidation allowBlank="1" showInputMessage="1" showErrorMessage="1" prompt="Enter customer name in this cell" sqref="G7" xr:uid="{A02A2536-995C-4D46-857C-7A1E7FB62E2C}"/>
    <dataValidation allowBlank="1" showInputMessage="1" showErrorMessage="1" prompt="Enter customer address in the cell at right" sqref="F8" xr:uid="{95F83E63-3C42-436D-AE95-A673A11B5388}"/>
    <dataValidation allowBlank="1" showInputMessage="1" showErrorMessage="1" prompt="Enter customer street address in this cell" sqref="G8" xr:uid="{AF80045C-B030-4E84-A756-E2BADDBCCB8D}"/>
    <dataValidation allowBlank="1" showInputMessage="1" showErrorMessage="1" prompt="Enter customer phone number in the cell at right" sqref="F10" xr:uid="{F4D14A2B-9CB2-402C-9AEB-8C92299F8EB5}"/>
    <dataValidation allowBlank="1" showInputMessage="1" showErrorMessage="1" prompt="Enter customer phone number in this cell" sqref="G10" xr:uid="{E8D14BA7-1CAD-4C6E-A259-998A3629B286}"/>
    <dataValidation allowBlank="1" showInputMessage="1" showErrorMessage="1" prompt="Enter customer city, state, and ZIP in this cell" sqref="G9" xr:uid="{C2C2061C-D7D5-42C9-BBEE-A47273B11EA2}"/>
    <dataValidation allowBlank="1" showInputMessage="1" showErrorMessage="1" prompt="Update this cell with your company's email address and website" sqref="B30:G30" xr:uid="{97D8AB79-16A7-45B8-BE49-30F90042BEAC}"/>
    <dataValidation allowBlank="1" showInputMessage="1" showErrorMessage="1" prompt="Modify company name in this cell and the cell below. Enter company address, phone, fax, and email in cells B7 to B11. Enter Billing details in cells G3 to G11." sqref="C2:D2" xr:uid="{C737D61F-699E-4B81-97C3-46CFF0FF5A03}"/>
    <dataValidation allowBlank="1" showInputMessage="1" showErrorMessage="1" prompt="Replace the number of days in which the balance is due and service charge percent per month in this cell" sqref="B29:G29" xr:uid="{AFCC2E04-C498-4739-BDE5-3550C9D61657}"/>
    <dataValidation allowBlank="1" showInputMessage="1" showErrorMessage="1" prompt="Company name is automatically appended in this cell" sqref="B28:G28" xr:uid="{828A1E52-658E-4B83-91CF-AAFD042BCF91}"/>
  </dataValidations>
  <printOptions horizontalCentered="1"/>
  <pageMargins left="0.23622047244094491" right="0.23622047244094491" top="0.74803149606299213" bottom="0.74803149606299213" header="0.31496062992125984" footer="0.31496062992125984"/>
  <pageSetup scale="80" fitToHeight="0" orientation="portrait" horizontalDpi="300" verticalDpi="300" r:id="rId1"/>
  <headerFooter differentFirst="1" alignWithMargins="0"/>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E70E-17D5-4DB8-9592-84871295FE55}">
  <sheetPr>
    <tabColor theme="4" tint="-0.499984740745262"/>
    <pageSetUpPr autoPageBreaks="0" fitToPage="1"/>
  </sheetPr>
  <dimension ref="A1:H31"/>
  <sheetViews>
    <sheetView showGridLines="0" zoomScaleNormal="100" workbookViewId="0">
      <selection activeCell="G3" sqref="G3"/>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41</v>
      </c>
      <c r="H3" s="9"/>
    </row>
    <row r="4" spans="1:8" ht="26.25" customHeight="1">
      <c r="A4" s="1"/>
      <c r="B4" s="10" t="s">
        <v>5</v>
      </c>
      <c r="C4" s="67"/>
      <c r="D4" s="67"/>
      <c r="E4" s="11"/>
      <c r="F4" s="59" t="s">
        <v>6</v>
      </c>
      <c r="G4" s="54">
        <v>45344</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69" t="s">
        <v>7</v>
      </c>
      <c r="C7" s="69"/>
      <c r="D7" s="20"/>
      <c r="E7" s="20"/>
      <c r="F7" s="55" t="s">
        <v>8</v>
      </c>
      <c r="G7" s="49" t="s">
        <v>42</v>
      </c>
      <c r="H7" s="21"/>
    </row>
    <row r="8" spans="1:8" ht="15.95" customHeight="1">
      <c r="A8" s="1"/>
      <c r="B8" s="69" t="s">
        <v>10</v>
      </c>
      <c r="C8" s="69"/>
      <c r="D8" s="22"/>
      <c r="E8" s="22"/>
      <c r="F8" s="55" t="s">
        <v>11</v>
      </c>
      <c r="G8" s="50" t="s">
        <v>43</v>
      </c>
      <c r="H8" s="21"/>
    </row>
    <row r="9" spans="1:8" ht="15.95" customHeight="1">
      <c r="A9" s="1"/>
      <c r="B9" s="19"/>
      <c r="C9" s="23"/>
      <c r="D9" s="20"/>
      <c r="E9" s="20"/>
      <c r="F9" s="56"/>
      <c r="G9" s="52" t="s">
        <v>44</v>
      </c>
      <c r="H9" s="21"/>
    </row>
    <row r="10" spans="1:8" ht="15.95" customHeight="1">
      <c r="A10" s="1"/>
      <c r="B10" s="19"/>
      <c r="C10" s="19"/>
      <c r="D10" s="22"/>
      <c r="E10" s="22"/>
      <c r="F10" s="57" t="s">
        <v>14</v>
      </c>
      <c r="G10" s="51" t="s">
        <v>45</v>
      </c>
      <c r="H10" s="21"/>
    </row>
    <row r="11" spans="1:8" ht="15.95" customHeight="1">
      <c r="A11" s="1"/>
      <c r="B11" s="24"/>
      <c r="C11" s="22"/>
      <c r="D11" s="20"/>
      <c r="E11" s="20"/>
      <c r="F11" s="57"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64">
        <v>7019.35</v>
      </c>
      <c r="F14" s="64">
        <v>0</v>
      </c>
      <c r="G14" s="64">
        <f>IFERROR(IF(SimpleInvoice67121517192024[[#This Row],[Unit price]]="","",(SimpleInvoice67121517192024[[#This Row],[Qty]]*SimpleInvoice67121517192024[[#This Row],[Unit price]])-SimpleInvoice67121517192024[[#This Row],[Discount]]),"")</f>
        <v>140387</v>
      </c>
      <c r="H14" s="26"/>
    </row>
    <row r="15" spans="1:8" ht="26.1" customHeight="1">
      <c r="A15" s="1"/>
      <c r="B15" s="37"/>
      <c r="C15" s="37"/>
      <c r="D15" s="39"/>
      <c r="E15" s="42"/>
      <c r="F15" s="42"/>
      <c r="G15" s="42"/>
      <c r="H15" s="26"/>
    </row>
    <row r="16" spans="1:8" ht="26.1" customHeight="1">
      <c r="A16" s="1"/>
      <c r="B16" s="37"/>
      <c r="C16" s="37"/>
      <c r="D16" s="39"/>
      <c r="E16" s="42"/>
      <c r="F16" s="42"/>
      <c r="G16" s="42"/>
      <c r="H16" s="26"/>
    </row>
    <row r="17" spans="1:8" ht="26.1" customHeight="1">
      <c r="A17" s="1"/>
      <c r="B17" s="37"/>
      <c r="C17" s="37"/>
      <c r="D17" s="39"/>
      <c r="E17" s="40"/>
      <c r="F17" s="41"/>
      <c r="G17" s="40" t="str">
        <f>IFERROR(IF(SimpleInvoice67121517192024[[#This Row],[Unit price]]="","",(SimpleInvoice67121517192024[[#This Row],[Qty]]*SimpleInvoice67121517192024[[#This Row],[Unit price]])-SimpleInvoice67121517192024[[#This Row],[Discount]]),"")</f>
        <v/>
      </c>
      <c r="H17" s="26"/>
    </row>
    <row r="18" spans="1:8" ht="26.1" customHeight="1">
      <c r="A18" s="1"/>
      <c r="B18" s="37"/>
      <c r="C18" s="37"/>
      <c r="D18" s="39"/>
      <c r="E18" s="40"/>
      <c r="F18" s="41"/>
      <c r="G18" s="40" t="str">
        <f>IFERROR(IF(SimpleInvoice67121517192024[[#This Row],[Unit price]]="","",(SimpleInvoice67121517192024[[#This Row],[Qty]]*SimpleInvoice67121517192024[[#This Row],[Unit price]])-SimpleInvoice67121517192024[[#This Row],[Discount]]),"")</f>
        <v/>
      </c>
      <c r="H18" s="26"/>
    </row>
    <row r="19" spans="1:8" ht="26.1" customHeight="1">
      <c r="A19" s="1"/>
      <c r="B19" s="37"/>
      <c r="C19" s="37"/>
      <c r="D19" s="39"/>
      <c r="E19" s="40"/>
      <c r="F19" s="41"/>
      <c r="G19" s="40" t="str">
        <f>IFERROR(IF(SimpleInvoice67121517192024[[#This Row],[Unit price]]="","",(SimpleInvoice67121517192024[[#This Row],[Qty]]*SimpleInvoice67121517192024[[#This Row],[Unit price]])-SimpleInvoice67121517192024[[#This Row],[Discount]]),"")</f>
        <v/>
      </c>
      <c r="H19" s="26"/>
    </row>
    <row r="20" spans="1:8" ht="26.1" customHeight="1">
      <c r="A20" s="1"/>
      <c r="B20" s="37"/>
      <c r="C20" s="37"/>
      <c r="D20" s="39"/>
      <c r="E20" s="40"/>
      <c r="F20" s="41"/>
      <c r="G20" s="40" t="str">
        <f>IFERROR(IF(SimpleInvoice67121517192024[[#This Row],[Unit price]]="","",(SimpleInvoice67121517192024[[#This Row],[Qty]]*SimpleInvoice67121517192024[[#This Row],[Unit price]])-SimpleInvoice67121517192024[[#This Row],[Discount]]),"")</f>
        <v/>
      </c>
      <c r="H20" s="26"/>
    </row>
    <row r="21" spans="1:8" ht="26.1" customHeight="1">
      <c r="A21" s="1"/>
      <c r="B21" s="37"/>
      <c r="C21" s="37"/>
      <c r="D21" s="39"/>
      <c r="E21" s="40"/>
      <c r="F21" s="41"/>
      <c r="G21" s="40"/>
      <c r="H21" s="26"/>
    </row>
    <row r="22" spans="1:8" ht="26.1" customHeight="1">
      <c r="A22" s="1"/>
      <c r="B22" s="27"/>
      <c r="C22" s="27"/>
      <c r="D22" s="13"/>
      <c r="E22" s="13"/>
      <c r="F22" s="28" t="s">
        <v>25</v>
      </c>
      <c r="G22" s="62">
        <v>140387</v>
      </c>
      <c r="H22" s="26"/>
    </row>
    <row r="23" spans="1:8" ht="26.1" customHeight="1">
      <c r="A23" s="1"/>
      <c r="B23" s="27"/>
      <c r="C23" s="27"/>
      <c r="D23" s="13"/>
      <c r="E23" s="13"/>
      <c r="F23" s="28" t="s">
        <v>26</v>
      </c>
      <c r="G23" s="44">
        <v>9.7000000000000003E-2</v>
      </c>
      <c r="H23" s="26"/>
    </row>
    <row r="24" spans="1:8" ht="26.1" customHeight="1">
      <c r="A24" s="1"/>
      <c r="B24" s="27"/>
      <c r="C24" s="27"/>
      <c r="D24" s="13"/>
      <c r="E24" s="13"/>
      <c r="F24" s="28" t="s">
        <v>27</v>
      </c>
      <c r="G24" s="62">
        <v>13603</v>
      </c>
      <c r="H24" s="26"/>
    </row>
    <row r="25" spans="1:8" ht="26.1" customHeight="1">
      <c r="A25" s="1"/>
      <c r="B25" s="29"/>
      <c r="C25" s="29"/>
      <c r="D25" s="29"/>
      <c r="E25" s="30"/>
      <c r="F25" s="28" t="s">
        <v>28</v>
      </c>
      <c r="G25" s="62">
        <v>0</v>
      </c>
      <c r="H25" s="26"/>
    </row>
    <row r="26" spans="1:8" ht="26.1" customHeight="1">
      <c r="A26" s="1"/>
      <c r="B26" s="31"/>
      <c r="C26" s="31"/>
      <c r="D26" s="31"/>
      <c r="E26" s="32"/>
      <c r="F26" s="33" t="s">
        <v>29</v>
      </c>
      <c r="G26" s="63">
        <v>153990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7">
    <mergeCell ref="C2:D2"/>
    <mergeCell ref="C3:D4"/>
    <mergeCell ref="B28:G28"/>
    <mergeCell ref="B29:G29"/>
    <mergeCell ref="B30:G30"/>
    <mergeCell ref="B7:C7"/>
    <mergeCell ref="B8:C8"/>
  </mergeCells>
  <dataValidations count="36">
    <dataValidation allowBlank="1" showInputMessage="1" showErrorMessage="1" prompt="The total amount is automatically calculated in this cell" sqref="G26" xr:uid="{6753EBB2-43AF-4B82-9021-43AFE8B43326}"/>
    <dataValidation allowBlank="1" showInputMessage="1" showErrorMessage="1" prompt="Enter the deposit amount, if any" sqref="G25" xr:uid="{B6A0E786-3ED2-4688-B4E6-6EC2B4EBCFE8}"/>
    <dataValidation allowBlank="1" showInputMessage="1" showErrorMessage="1" prompt="The sales tax is automatically calculated in this cell" sqref="G24" xr:uid="{407D284D-0B0C-44BE-8412-1E07312E4607}"/>
    <dataValidation allowBlank="1" showInputMessage="1" showErrorMessage="1" prompt="Enter tax rate in this cell" sqref="G23" xr:uid="{2A82DFA6-4774-4A13-9D71-CE81F033C7F5}"/>
    <dataValidation allowBlank="1" showInputMessage="1" showErrorMessage="1" prompt="The subtotal amount is automatically calculated in this cell" sqref="G22" xr:uid="{58E9AB75-B370-481E-AD4A-8802122843EA}"/>
    <dataValidation allowBlank="1" showInputMessage="1" showErrorMessage="1" prompt="Price is auto calculated under this heading" sqref="G13" xr:uid="{0E3DB9B8-9D26-497F-B736-15C35C418983}"/>
    <dataValidation allowBlank="1" showInputMessage="1" showErrorMessage="1" prompt="Enter Discount in this column under this heading" sqref="F13" xr:uid="{D132C102-98BA-4F48-B39F-4A0EBA38409A}"/>
    <dataValidation allowBlank="1" showInputMessage="1" showErrorMessage="1" prompt="Enter Unit Price in this column under this heading" sqref="E13" xr:uid="{2DFBC137-EDB0-495A-9C04-4E3E7C5201E1}"/>
    <dataValidation allowBlank="1" showInputMessage="1" showErrorMessage="1" prompt="Enter Quantity in this column under this heading" sqref="D13" xr:uid="{6E4CC3A3-FCA4-476C-B848-4146B22E4A37}"/>
    <dataValidation allowBlank="1" showInputMessage="1" showErrorMessage="1" prompt="Enter Description in this column under this heading" sqref="C13" xr:uid="{38D62312-610C-499F-95AD-77F4864DC413}"/>
    <dataValidation allowBlank="1" showInputMessage="1" showErrorMessage="1" prompt="Enter Item number in this column under this heading" sqref="B13" xr:uid="{0A3E7A4A-8358-41FA-9312-77B3B767C47A}"/>
    <dataValidation allowBlank="1" showInputMessage="1" showErrorMessage="1" prompt="Enter customer fax number in the cell at right" sqref="F11" xr:uid="{B30DCEB6-732D-4304-907D-44FD1BD457D9}"/>
    <dataValidation allowBlank="1" showInputMessage="1" showErrorMessage="1" prompt="Enter customer fax number in this cell" sqref="G11" xr:uid="{B72C51DA-3ECC-411C-9A14-483753E3AD8C}"/>
    <dataValidation allowBlank="1" showInputMessage="1" showErrorMessage="1" prompt="Enter company phone number in this cell" sqref="B9" xr:uid="{16B26329-81F7-4094-A33A-A6F9120C7AC6}"/>
    <dataValidation allowBlank="1" showInputMessage="1" showErrorMessage="1" prompt="Enter company email address in this cell" sqref="B11" xr:uid="{37ECC630-A3C4-4856-9AAE-5696AC313570}"/>
    <dataValidation allowBlank="1" showInputMessage="1" showErrorMessage="1" prompt="Create a simple invoice in this worksheet" sqref="A1" xr:uid="{4B79D5A6-BD6A-4E30-98AB-8C78557C5C68}"/>
    <dataValidation allowBlank="1" showInputMessage="1" showErrorMessage="1" prompt="Enter invoice date in this cell" sqref="G4" xr:uid="{DDB48881-B284-4E7A-B999-752A39F72FA8}"/>
    <dataValidation allowBlank="1" showInputMessage="1" showErrorMessage="1" prompt="Enter invoice # in the cell at right" sqref="F3" xr:uid="{A2E5B8C8-02F5-4AC7-AB34-FE330A595448}"/>
    <dataValidation allowBlank="1" showInputMessage="1" showErrorMessage="1" prompt="Enter invoice # in this cell" sqref="G3" xr:uid="{A8358F76-4B4A-454A-86A1-612259168C77}"/>
    <dataValidation allowBlank="1" showInputMessage="1" showErrorMessage="1" prompt="Enter job type in the cell at right" sqref="F5" xr:uid="{3F06A659-4FD5-45F6-B1A6-DC406C2A3AB4}"/>
    <dataValidation allowBlank="1" showInputMessage="1" showErrorMessage="1" prompt="Enter job type in this cell" sqref="G5" xr:uid="{6135C673-ECE7-470D-81A8-099F33E9FB27}"/>
    <dataValidation allowBlank="1" showInputMessage="1" showErrorMessage="1" prompt="Enter your company street address in this cell" sqref="B7" xr:uid="{C8D2E410-8143-496B-B2A3-5E5199B23115}"/>
    <dataValidation allowBlank="1" showInputMessage="1" showErrorMessage="1" prompt="Enter invoice date in the cell at right" sqref="F4" xr:uid="{54FBFD75-F904-40BF-92DA-876929B7FDEE}"/>
    <dataValidation allowBlank="1" showInputMessage="1" showErrorMessage="1" prompt="Enter company's city, state, and ZIP in this cell" sqref="B8" xr:uid="{E23227F3-5672-4A7F-9C88-BDCD725BA68D}"/>
    <dataValidation allowBlank="1" showInputMessage="1" showErrorMessage="1" prompt="Enter company fax number in this cell" sqref="B10" xr:uid="{F4BE8CF2-D2B8-4DFA-BEF0-7EC0F9AFC9B2}"/>
    <dataValidation allowBlank="1" showInputMessage="1" showErrorMessage="1" prompt="Enter customer name in the cell at right" sqref="F7" xr:uid="{7CD0FC72-901A-440C-A58C-27D6CE1D14BA}"/>
    <dataValidation allowBlank="1" showInputMessage="1" showErrorMessage="1" prompt="Enter customer name in this cell" sqref="G7" xr:uid="{D0630C51-5936-4F36-ADFD-AB437B464DBC}"/>
    <dataValidation allowBlank="1" showInputMessage="1" showErrorMessage="1" prompt="Enter customer address in the cell at right" sqref="F8" xr:uid="{6DC94DCB-AFB4-4C0A-AE00-56B33927BD12}"/>
    <dataValidation allowBlank="1" showInputMessage="1" showErrorMessage="1" prompt="Enter customer street address in this cell" sqref="G8" xr:uid="{BEC481EA-19D5-4297-9574-1A479376CC23}"/>
    <dataValidation allowBlank="1" showInputMessage="1" showErrorMessage="1" prompt="Enter customer phone number in the cell at right" sqref="F10" xr:uid="{73DF7464-83FE-4848-9578-299FD4170324}"/>
    <dataValidation allowBlank="1" showInputMessage="1" showErrorMessage="1" prompt="Enter customer phone number in this cell" sqref="G10" xr:uid="{B3A02AAA-FA53-4730-97BC-F2B25EBEA5FB}"/>
    <dataValidation allowBlank="1" showInputMessage="1" showErrorMessage="1" prompt="Enter customer city, state, and ZIP in this cell" sqref="G9" xr:uid="{7B9881B0-9C2A-49BB-8C0B-F3E6CBC6A3E3}"/>
    <dataValidation allowBlank="1" showInputMessage="1" showErrorMessage="1" prompt="Update this cell with your company's email address and website" sqref="B30:G30" xr:uid="{2E4691D0-E295-4F7D-B287-5EA184101128}"/>
    <dataValidation allowBlank="1" showInputMessage="1" showErrorMessage="1" prompt="Modify company name in this cell and the cell below. Enter company address, phone, fax, and email in cells B7 to B11. Enter Billing details in cells G3 to G11." sqref="C2:D2" xr:uid="{A2007DD1-50F3-4B7E-A116-68E607AE5128}"/>
    <dataValidation allowBlank="1" showInputMessage="1" showErrorMessage="1" prompt="Replace the number of days in which the balance is due and service charge percent per month in this cell" sqref="B29:G29" xr:uid="{07A70B1D-30DC-401A-B5CF-BD58346663CE}"/>
    <dataValidation allowBlank="1" showInputMessage="1" showErrorMessage="1" prompt="Company name is automatically appended in this cell" sqref="B28:G28" xr:uid="{55CE2861-542C-47F8-9EED-67974204DB3D}"/>
  </dataValidations>
  <printOptions horizontalCentered="1"/>
  <pageMargins left="0.23622047244094491" right="0.23622047244094491" top="0.74803149606299213" bottom="0.74803149606299213" header="0.31496062992125984" footer="0.31496062992125984"/>
  <pageSetup paperSize="9" scale="77" fitToHeight="0" orientation="portrait" horizontalDpi="300" verticalDpi="300" r:id="rId1"/>
  <headerFooter differentFirst="1" alignWithMargins="0"/>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913B-D31E-478F-B089-456D00BD1DB6}">
  <sheetPr>
    <tabColor theme="4" tint="-0.499984740745262"/>
    <pageSetUpPr autoPageBreaks="0" fitToPage="1"/>
  </sheetPr>
  <dimension ref="A1:H31"/>
  <sheetViews>
    <sheetView showGridLines="0" zoomScaleNormal="100" workbookViewId="0">
      <selection activeCell="G3" sqref="G3"/>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46</v>
      </c>
      <c r="H3" s="9"/>
    </row>
    <row r="4" spans="1:8" ht="26.25" customHeight="1">
      <c r="A4" s="1"/>
      <c r="B4" s="10" t="s">
        <v>5</v>
      </c>
      <c r="C4" s="67"/>
      <c r="D4" s="67"/>
      <c r="E4" s="11"/>
      <c r="F4" s="59" t="s">
        <v>6</v>
      </c>
      <c r="G4" s="54">
        <v>45527</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19" t="s">
        <v>7</v>
      </c>
      <c r="C7" s="19"/>
      <c r="D7" s="20"/>
      <c r="E7" s="20"/>
      <c r="F7" s="55" t="s">
        <v>8</v>
      </c>
      <c r="G7" s="49" t="s">
        <v>47</v>
      </c>
      <c r="H7" s="21"/>
    </row>
    <row r="8" spans="1:8" ht="15.95" customHeight="1">
      <c r="A8" s="1"/>
      <c r="B8" s="19" t="s">
        <v>10</v>
      </c>
      <c r="C8" s="19"/>
      <c r="D8" s="22"/>
      <c r="E8" s="22"/>
      <c r="F8" s="60" t="s">
        <v>11</v>
      </c>
      <c r="G8" s="50" t="s">
        <v>48</v>
      </c>
      <c r="H8" s="21"/>
    </row>
    <row r="9" spans="1:8" ht="15.95" customHeight="1">
      <c r="A9" s="1"/>
      <c r="B9" s="19"/>
      <c r="C9" s="23"/>
      <c r="D9" s="20"/>
      <c r="E9" s="20"/>
      <c r="F9" s="56"/>
      <c r="G9" s="52" t="s">
        <v>13</v>
      </c>
      <c r="H9" s="21"/>
    </row>
    <row r="10" spans="1:8" ht="15.95" customHeight="1">
      <c r="A10" s="1"/>
      <c r="B10" s="19"/>
      <c r="C10" s="19"/>
      <c r="D10" s="22"/>
      <c r="E10" s="22"/>
      <c r="F10" s="61" t="s">
        <v>14</v>
      </c>
      <c r="G10" s="51" t="s">
        <v>49</v>
      </c>
      <c r="H10" s="21"/>
    </row>
    <row r="11" spans="1:8" ht="15.95" customHeight="1">
      <c r="A11" s="1"/>
      <c r="B11" s="24"/>
      <c r="C11" s="22"/>
      <c r="D11" s="20"/>
      <c r="E11" s="20"/>
      <c r="F11" s="57"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64">
        <v>7019.35</v>
      </c>
      <c r="F14" s="64">
        <v>0</v>
      </c>
      <c r="G14" s="64">
        <f>IFERROR(IF(SimpleInvoice671215171920[[#This Row],[Unit price]]="","",(SimpleInvoice671215171920[[#This Row],[Qty]]*SimpleInvoice671215171920[[#This Row],[Unit price]])-SimpleInvoice671215171920[[#This Row],[Discount]]),"")</f>
        <v>140387</v>
      </c>
      <c r="H14" s="26"/>
    </row>
    <row r="15" spans="1:8" ht="26.1" customHeight="1">
      <c r="A15" s="1"/>
      <c r="B15" s="37"/>
      <c r="C15" s="37"/>
      <c r="D15" s="39"/>
      <c r="E15" s="42"/>
      <c r="F15" s="42"/>
      <c r="G15" s="42"/>
      <c r="H15" s="26"/>
    </row>
    <row r="16" spans="1:8" ht="26.1" customHeight="1">
      <c r="A16" s="1"/>
      <c r="B16" s="37"/>
      <c r="C16" s="37"/>
      <c r="D16" s="39"/>
      <c r="E16" s="42"/>
      <c r="F16" s="42"/>
      <c r="G16" s="42"/>
      <c r="H16" s="26"/>
    </row>
    <row r="17" spans="1:8" ht="26.1" customHeight="1">
      <c r="A17" s="1"/>
      <c r="B17" s="37"/>
      <c r="C17" s="37"/>
      <c r="D17" s="39"/>
      <c r="E17" s="40"/>
      <c r="F17" s="41"/>
      <c r="G17" s="40" t="str">
        <f>IFERROR(IF(SimpleInvoice671215171920[[#This Row],[Unit price]]="","",(SimpleInvoice671215171920[[#This Row],[Qty]]*SimpleInvoice671215171920[[#This Row],[Unit price]])-SimpleInvoice671215171920[[#This Row],[Discount]]),"")</f>
        <v/>
      </c>
      <c r="H17" s="26"/>
    </row>
    <row r="18" spans="1:8" ht="26.1" customHeight="1">
      <c r="A18" s="1"/>
      <c r="B18" s="37"/>
      <c r="C18" s="37"/>
      <c r="D18" s="39"/>
      <c r="E18" s="40"/>
      <c r="F18" s="41"/>
      <c r="G18" s="40" t="str">
        <f>IFERROR(IF(SimpleInvoice671215171920[[#This Row],[Unit price]]="","",(SimpleInvoice671215171920[[#This Row],[Qty]]*SimpleInvoice671215171920[[#This Row],[Unit price]])-SimpleInvoice671215171920[[#This Row],[Discount]]),"")</f>
        <v/>
      </c>
      <c r="H18" s="26"/>
    </row>
    <row r="19" spans="1:8" ht="26.1" customHeight="1">
      <c r="A19" s="1"/>
      <c r="B19" s="37"/>
      <c r="C19" s="37"/>
      <c r="D19" s="39"/>
      <c r="E19" s="40"/>
      <c r="F19" s="41"/>
      <c r="G19" s="40" t="str">
        <f>IFERROR(IF(SimpleInvoice671215171920[[#This Row],[Unit price]]="","",(SimpleInvoice671215171920[[#This Row],[Qty]]*SimpleInvoice671215171920[[#This Row],[Unit price]])-SimpleInvoice671215171920[[#This Row],[Discount]]),"")</f>
        <v/>
      </c>
      <c r="H19" s="26"/>
    </row>
    <row r="20" spans="1:8" ht="26.1" customHeight="1">
      <c r="A20" s="1"/>
      <c r="B20" s="37"/>
      <c r="C20" s="37"/>
      <c r="D20" s="39"/>
      <c r="E20" s="40"/>
      <c r="F20" s="41"/>
      <c r="G20" s="40" t="str">
        <f>IFERROR(IF(SimpleInvoice671215171920[[#This Row],[Unit price]]="","",(SimpleInvoice671215171920[[#This Row],[Qty]]*SimpleInvoice671215171920[[#This Row],[Unit price]])-SimpleInvoice671215171920[[#This Row],[Discount]]),"")</f>
        <v/>
      </c>
      <c r="H20" s="26"/>
    </row>
    <row r="21" spans="1:8" ht="26.1" customHeight="1">
      <c r="A21" s="1"/>
      <c r="B21" s="37"/>
      <c r="C21" s="37"/>
      <c r="D21" s="39"/>
      <c r="E21" s="40"/>
      <c r="F21" s="41"/>
      <c r="G21" s="40"/>
      <c r="H21" s="26"/>
    </row>
    <row r="22" spans="1:8" ht="26.1" customHeight="1">
      <c r="A22" s="1"/>
      <c r="B22" s="27"/>
      <c r="C22" s="27"/>
      <c r="D22" s="13"/>
      <c r="E22" s="13"/>
      <c r="F22" s="28" t="s">
        <v>25</v>
      </c>
      <c r="G22" s="62">
        <v>140387</v>
      </c>
      <c r="H22" s="26"/>
    </row>
    <row r="23" spans="1:8" ht="26.1" customHeight="1">
      <c r="A23" s="1"/>
      <c r="B23" s="27"/>
      <c r="C23" s="27"/>
      <c r="D23" s="13"/>
      <c r="E23" s="13"/>
      <c r="F23" s="28" t="s">
        <v>26</v>
      </c>
      <c r="G23" s="44">
        <v>9.7000000000000003E-2</v>
      </c>
      <c r="H23" s="26"/>
    </row>
    <row r="24" spans="1:8" ht="26.1" customHeight="1">
      <c r="A24" s="1"/>
      <c r="B24" s="27"/>
      <c r="C24" s="27"/>
      <c r="D24" s="13"/>
      <c r="E24" s="13"/>
      <c r="F24" s="28" t="s">
        <v>27</v>
      </c>
      <c r="G24" s="62">
        <v>13603</v>
      </c>
      <c r="H24" s="26"/>
    </row>
    <row r="25" spans="1:8" ht="26.1" customHeight="1">
      <c r="A25" s="1"/>
      <c r="B25" s="29"/>
      <c r="C25" s="29"/>
      <c r="D25" s="29"/>
      <c r="E25" s="30"/>
      <c r="F25" s="28" t="s">
        <v>28</v>
      </c>
      <c r="G25" s="62">
        <v>0</v>
      </c>
      <c r="H25" s="26"/>
    </row>
    <row r="26" spans="1:8" ht="26.1" customHeight="1">
      <c r="A26" s="1"/>
      <c r="B26" s="31"/>
      <c r="C26" s="31"/>
      <c r="D26" s="31"/>
      <c r="E26" s="32"/>
      <c r="F26" s="33" t="s">
        <v>29</v>
      </c>
      <c r="G26" s="63">
        <v>153990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5">
    <mergeCell ref="C2:D2"/>
    <mergeCell ref="C3:D4"/>
    <mergeCell ref="B28:G28"/>
    <mergeCell ref="B29:G29"/>
    <mergeCell ref="B30:G30"/>
  </mergeCells>
  <dataValidations count="36">
    <dataValidation allowBlank="1" showInputMessage="1" showErrorMessage="1" prompt="Company name is automatically appended in this cell" sqref="B28:G28" xr:uid="{E879E2EF-2CD7-436F-83A2-143D38C5210E}"/>
    <dataValidation allowBlank="1" showInputMessage="1" showErrorMessage="1" prompt="Replace the number of days in which the balance is due and service charge percent per month in this cell" sqref="B29:G29" xr:uid="{3C8611BE-B691-45CC-BC56-9B84AA3FE362}"/>
    <dataValidation allowBlank="1" showInputMessage="1" showErrorMessage="1" prompt="Modify company name in this cell and the cell below. Enter company address, phone, fax, and email in cells B7 to B11. Enter Billing details in cells G3 to G11." sqref="C2:D2" xr:uid="{234F8C01-6E76-49F8-91D3-0210979B946E}"/>
    <dataValidation allowBlank="1" showInputMessage="1" showErrorMessage="1" prompt="Update this cell with your company's email address and website" sqref="B30:G30" xr:uid="{91E2CCBC-C41B-4DCD-AEBE-53E783E9C8EF}"/>
    <dataValidation allowBlank="1" showInputMessage="1" showErrorMessage="1" prompt="Enter customer city, state, and ZIP in this cell" sqref="G9" xr:uid="{969939C4-A6F9-4F4B-8495-50E4B19FA13E}"/>
    <dataValidation allowBlank="1" showInputMessage="1" showErrorMessage="1" prompt="Enter customer phone number in this cell" sqref="G10" xr:uid="{2A442CB8-F23C-44FE-A288-D5C558AAAD37}"/>
    <dataValidation allowBlank="1" showInputMessage="1" showErrorMessage="1" prompt="Enter customer phone number in the cell at right" sqref="F10" xr:uid="{945EDBF8-BDBA-4529-8845-6BC9F4F142C9}"/>
    <dataValidation allowBlank="1" showInputMessage="1" showErrorMessage="1" prompt="Enter customer street address in this cell" sqref="G8" xr:uid="{0A08049E-8BF4-4233-9475-19DB317B204D}"/>
    <dataValidation allowBlank="1" showInputMessage="1" showErrorMessage="1" prompt="Enter customer address in the cell at right" sqref="F8" xr:uid="{3C096943-B6B9-4EE3-BB52-F3C44B4D5E89}"/>
    <dataValidation allowBlank="1" showInputMessage="1" showErrorMessage="1" prompt="Enter customer name in this cell" sqref="G7" xr:uid="{D86277C3-76AB-4CB0-93CC-57D32D06F030}"/>
    <dataValidation allowBlank="1" showInputMessage="1" showErrorMessage="1" prompt="Enter customer name in the cell at right" sqref="F7" xr:uid="{C08F4534-AEE2-448F-A29A-EC6E9304067D}"/>
    <dataValidation allowBlank="1" showInputMessage="1" showErrorMessage="1" prompt="Enter company fax number in this cell" sqref="B10" xr:uid="{086855CB-441D-4236-8CBF-B5D006465D18}"/>
    <dataValidation allowBlank="1" showInputMessage="1" showErrorMessage="1" prompt="Enter company's city, state, and ZIP in this cell" sqref="B8" xr:uid="{7C5F0D17-4EF1-46B0-9D47-8599C72C68DD}"/>
    <dataValidation allowBlank="1" showInputMessage="1" showErrorMessage="1" prompt="Enter invoice date in the cell at right" sqref="F4" xr:uid="{E40DB2EF-B097-4519-97EF-887B513826A4}"/>
    <dataValidation allowBlank="1" showInputMessage="1" showErrorMessage="1" prompt="Enter your company street address in this cell" sqref="B7" xr:uid="{6C420B71-C885-4C0C-9195-B96488435874}"/>
    <dataValidation allowBlank="1" showInputMessage="1" showErrorMessage="1" prompt="Enter job type in this cell" sqref="G5" xr:uid="{8F798C26-993E-40FD-9BC8-65D8BBC9109F}"/>
    <dataValidation allowBlank="1" showInputMessage="1" showErrorMessage="1" prompt="Enter job type in the cell at right" sqref="F5" xr:uid="{A28E608D-C7A8-4605-AFD4-38D0C277C7B9}"/>
    <dataValidation allowBlank="1" showInputMessage="1" showErrorMessage="1" prompt="Enter invoice # in this cell" sqref="G3" xr:uid="{E59D4112-71A7-4C2C-9B38-8A8987DB6CB4}"/>
    <dataValidation allowBlank="1" showInputMessage="1" showErrorMessage="1" prompt="Enter invoice # in the cell at right" sqref="F3" xr:uid="{9870C728-2D9B-4401-8F1C-45DDC5C0F43C}"/>
    <dataValidation allowBlank="1" showInputMessage="1" showErrorMessage="1" prompt="Enter invoice date in this cell" sqref="G4" xr:uid="{C8C0E566-D654-4386-B832-414BC6D7182C}"/>
    <dataValidation allowBlank="1" showInputMessage="1" showErrorMessage="1" prompt="Create a simple invoice in this worksheet" sqref="A1" xr:uid="{548DB36C-1E98-4D7F-85B8-25094FDA51FE}"/>
    <dataValidation allowBlank="1" showInputMessage="1" showErrorMessage="1" prompt="Enter company email address in this cell" sqref="B11" xr:uid="{51BBF7C3-2E6D-430D-B95B-82CBE260B14C}"/>
    <dataValidation allowBlank="1" showInputMessage="1" showErrorMessage="1" prompt="Enter company phone number in this cell" sqref="B9" xr:uid="{4258850D-F8F2-4F64-8C46-D2B915A96122}"/>
    <dataValidation allowBlank="1" showInputMessage="1" showErrorMessage="1" prompt="Enter customer fax number in this cell" sqref="G11" xr:uid="{30BC65A2-55EF-4CA9-9277-9A9BA007CD50}"/>
    <dataValidation allowBlank="1" showInputMessage="1" showErrorMessage="1" prompt="Enter customer fax number in the cell at right" sqref="F11" xr:uid="{76A54774-63FB-413C-8C7D-3ABFABD1C515}"/>
    <dataValidation allowBlank="1" showInputMessage="1" showErrorMessage="1" prompt="Enter Item number in this column under this heading" sqref="B13" xr:uid="{77D9C0D6-92FA-4418-91CC-138E21FF017E}"/>
    <dataValidation allowBlank="1" showInputMessage="1" showErrorMessage="1" prompt="Enter Description in this column under this heading" sqref="C13" xr:uid="{C82315D1-FB17-4DBB-8958-21234D21BB15}"/>
    <dataValidation allowBlank="1" showInputMessage="1" showErrorMessage="1" prompt="Enter Quantity in this column under this heading" sqref="D13" xr:uid="{D91490E1-8176-470A-9FB1-B2557D8CA862}"/>
    <dataValidation allowBlank="1" showInputMessage="1" showErrorMessage="1" prompt="Enter Unit Price in this column under this heading" sqref="E13" xr:uid="{6626E07C-589B-4C20-A0F8-D94CE418050D}"/>
    <dataValidation allowBlank="1" showInputMessage="1" showErrorMessage="1" prompt="Enter Discount in this column under this heading" sqref="F13" xr:uid="{3BCC8149-AA92-4E70-BC0D-C9A27F8D905C}"/>
    <dataValidation allowBlank="1" showInputMessage="1" showErrorMessage="1" prompt="Price is auto calculated under this heading" sqref="G13" xr:uid="{9EC3D443-A7A0-40FA-B5DD-9516F4F8E4AD}"/>
    <dataValidation allowBlank="1" showInputMessage="1" showErrorMessage="1" prompt="The subtotal amount is automatically calculated in this cell" sqref="G22" xr:uid="{28FC09BF-AD54-49AF-BCD6-1796C95BD03E}"/>
    <dataValidation allowBlank="1" showInputMessage="1" showErrorMessage="1" prompt="Enter tax rate in this cell" sqref="G23" xr:uid="{44390E95-CD98-4C67-A39C-C22EA4A6CD58}"/>
    <dataValidation allowBlank="1" showInputMessage="1" showErrorMessage="1" prompt="The sales tax is automatically calculated in this cell" sqref="G24" xr:uid="{176CDF28-044C-4E80-BF1F-1B1D28C371F2}"/>
    <dataValidation allowBlank="1" showInputMessage="1" showErrorMessage="1" prompt="Enter the deposit amount, if any" sqref="G25" xr:uid="{987BE785-CCA1-4458-8877-A43E4C8CD8F9}"/>
    <dataValidation allowBlank="1" showInputMessage="1" showErrorMessage="1" prompt="The total amount is automatically calculated in this cell" sqref="G26" xr:uid="{EE412590-3A87-426A-A9C3-C76D63BDCD6B}"/>
  </dataValidations>
  <printOptions horizontalCentered="1"/>
  <pageMargins left="0.23622047244094491" right="0.23622047244094491" top="0.74803149606299213" bottom="0.74803149606299213" header="0.31496062992125984" footer="0.31496062992125984"/>
  <pageSetup scale="80" fitToHeight="0" orientation="portrait" horizontalDpi="300" verticalDpi="300" r:id="rId1"/>
  <headerFooter differentFirst="1" alignWithMargins="0"/>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0B545-A06B-47CB-B4B4-9CCF1C92067F}">
  <sheetPr>
    <tabColor theme="4" tint="-0.499984740745262"/>
    <pageSetUpPr autoPageBreaks="0" fitToPage="1"/>
  </sheetPr>
  <dimension ref="A1:H31"/>
  <sheetViews>
    <sheetView showGridLines="0" topLeftCell="A2" zoomScaleNormal="100" workbookViewId="0">
      <selection activeCell="E4" sqref="E4"/>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50</v>
      </c>
      <c r="H3" s="9"/>
    </row>
    <row r="4" spans="1:8" ht="26.25" customHeight="1">
      <c r="A4" s="1"/>
      <c r="B4" s="10" t="s">
        <v>5</v>
      </c>
      <c r="C4" s="67"/>
      <c r="D4" s="67"/>
      <c r="E4" s="11"/>
      <c r="F4" s="59" t="s">
        <v>6</v>
      </c>
      <c r="G4" s="54">
        <v>44949</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19" t="s">
        <v>7</v>
      </c>
      <c r="C7" s="19"/>
      <c r="D7" s="20"/>
      <c r="E7" s="20"/>
      <c r="F7" s="55" t="s">
        <v>8</v>
      </c>
      <c r="G7" s="49" t="s">
        <v>37</v>
      </c>
      <c r="H7" s="21"/>
    </row>
    <row r="8" spans="1:8" ht="15.95" customHeight="1">
      <c r="A8" s="1"/>
      <c r="B8" s="19" t="s">
        <v>10</v>
      </c>
      <c r="C8" s="19"/>
      <c r="D8" s="22"/>
      <c r="E8" s="22"/>
      <c r="F8" s="60" t="s">
        <v>11</v>
      </c>
      <c r="G8" s="50" t="s">
        <v>38</v>
      </c>
      <c r="H8" s="21"/>
    </row>
    <row r="9" spans="1:8" ht="15.95" customHeight="1">
      <c r="A9" s="1"/>
      <c r="B9" s="19"/>
      <c r="C9" s="23"/>
      <c r="D9" s="20"/>
      <c r="E9" s="20"/>
      <c r="F9" s="56"/>
      <c r="G9" s="52" t="s">
        <v>39</v>
      </c>
      <c r="H9" s="21"/>
    </row>
    <row r="10" spans="1:8" ht="15.95" customHeight="1">
      <c r="A10" s="1"/>
      <c r="B10" s="19"/>
      <c r="C10" s="19"/>
      <c r="D10" s="22"/>
      <c r="E10" s="22"/>
      <c r="F10" s="61" t="s">
        <v>14</v>
      </c>
      <c r="G10" s="51" t="s">
        <v>40</v>
      </c>
      <c r="H10" s="21"/>
    </row>
    <row r="11" spans="1:8" ht="15.95" customHeight="1">
      <c r="A11" s="1"/>
      <c r="B11" s="24"/>
      <c r="C11" s="22"/>
      <c r="D11" s="20"/>
      <c r="E11" s="20"/>
      <c r="F11" s="55"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46">
        <v>7019.35</v>
      </c>
      <c r="F14" s="48">
        <v>0</v>
      </c>
      <c r="G14" s="46">
        <f>IFERROR(IF(SimpleInvoice67111316182126[[#This Row],[Unit price]]="","",(SimpleInvoice67111316182126[[#This Row],[Qty]]*SimpleInvoice67111316182126[[#This Row],[Unit price]])-SimpleInvoice67111316182126[[#This Row],[Discount]]),"")</f>
        <v>140387</v>
      </c>
      <c r="H14" s="26"/>
    </row>
    <row r="15" spans="1:8" ht="28.5" customHeight="1">
      <c r="A15" s="1"/>
      <c r="B15" s="37">
        <v>2</v>
      </c>
      <c r="C15" s="37" t="s">
        <v>51</v>
      </c>
      <c r="D15" s="39">
        <v>60</v>
      </c>
      <c r="E15" s="46">
        <v>2500</v>
      </c>
      <c r="F15" s="48">
        <v>167</v>
      </c>
      <c r="G15" s="46">
        <f>IFERROR(IF(SimpleInvoice67111316182126[[#This Row],[Unit price]]="","",(SimpleInvoice67111316182126[[#This Row],[Qty]]*SimpleInvoice67111316182126[[#This Row],[Unit price]])-SimpleInvoice67111316182126[[#This Row],[Discount]]),"")</f>
        <v>149833</v>
      </c>
      <c r="H15" s="26"/>
    </row>
    <row r="16" spans="1:8" ht="26.1" customHeight="1">
      <c r="A16" s="1"/>
      <c r="B16" s="37">
        <v>3</v>
      </c>
      <c r="C16" s="37" t="s">
        <v>52</v>
      </c>
      <c r="D16" s="39">
        <v>20</v>
      </c>
      <c r="E16" s="46">
        <v>250</v>
      </c>
      <c r="F16" s="48">
        <v>0</v>
      </c>
      <c r="G16" s="46">
        <v>9000</v>
      </c>
      <c r="H16" s="26"/>
    </row>
    <row r="17" spans="1:8" ht="26.1" customHeight="1">
      <c r="A17" s="1"/>
      <c r="B17" s="37">
        <v>4</v>
      </c>
      <c r="C17" s="37" t="s">
        <v>53</v>
      </c>
      <c r="D17" s="39">
        <v>20</v>
      </c>
      <c r="E17" s="46">
        <v>560</v>
      </c>
      <c r="F17" s="48">
        <v>0</v>
      </c>
      <c r="G17" s="47">
        <f>IFERROR(IF(SimpleInvoice67111316182126[[#This Row],[Unit price]]="","",(SimpleInvoice67111316182126[[#This Row],[Qty]]*SimpleInvoice67111316182126[[#This Row],[Unit price]])-SimpleInvoice67111316182126[[#This Row],[Discount]]),"")</f>
        <v>11200</v>
      </c>
      <c r="H17" s="26"/>
    </row>
    <row r="18" spans="1:8" ht="26.1" customHeight="1">
      <c r="A18" s="1"/>
      <c r="B18" s="37">
        <v>5</v>
      </c>
      <c r="C18" s="37" t="s">
        <v>54</v>
      </c>
      <c r="D18" s="39">
        <v>20</v>
      </c>
      <c r="E18" s="46">
        <v>733</v>
      </c>
      <c r="F18" s="48">
        <v>0</v>
      </c>
      <c r="G18" s="46">
        <f>IFERROR(IF(SimpleInvoice67111316182126[[#This Row],[Unit price]]="","",(SimpleInvoice67111316182126[[#This Row],[Qty]]*SimpleInvoice67111316182126[[#This Row],[Unit price]])-SimpleInvoice67111316182126[[#This Row],[Discount]]),"")</f>
        <v>14660</v>
      </c>
      <c r="H18" s="26"/>
    </row>
    <row r="19" spans="1:8" ht="26.1" customHeight="1">
      <c r="A19" s="1"/>
      <c r="B19" s="37"/>
      <c r="C19" s="37"/>
      <c r="D19" s="39"/>
      <c r="E19" s="40"/>
      <c r="F19" s="41"/>
      <c r="G19" s="40" t="str">
        <f>IFERROR(IF(SimpleInvoice67111316182126[[#This Row],[Unit price]]="","",(SimpleInvoice67111316182126[[#This Row],[Qty]]*SimpleInvoice67111316182126[[#This Row],[Unit price]])-SimpleInvoice67111316182126[[#This Row],[Discount]]),"")</f>
        <v/>
      </c>
      <c r="H19" s="26"/>
    </row>
    <row r="20" spans="1:8" ht="26.1" customHeight="1">
      <c r="A20" s="1"/>
      <c r="B20" s="37"/>
      <c r="C20" s="37"/>
      <c r="D20" s="39"/>
      <c r="E20" s="40"/>
      <c r="F20" s="41"/>
      <c r="G20" s="40" t="str">
        <f>IFERROR(IF(SimpleInvoice67111316182126[[#This Row],[Unit price]]="","",(SimpleInvoice67111316182126[[#This Row],[Qty]]*SimpleInvoice67111316182126[[#This Row],[Unit price]])-SimpleInvoice67111316182126[[#This Row],[Discount]]),"")</f>
        <v/>
      </c>
      <c r="H20" s="26"/>
    </row>
    <row r="21" spans="1:8" ht="26.1" customHeight="1">
      <c r="A21" s="1"/>
      <c r="B21" s="37"/>
      <c r="C21" s="37"/>
      <c r="D21" s="39"/>
      <c r="E21" s="40"/>
      <c r="F21" s="41"/>
      <c r="G21" s="40" t="str">
        <f>IFERROR(IF(SimpleInvoice67111316182126[[#This Row],[Unit price]]="","",(SimpleInvoice67111316182126[[#This Row],[Qty]]*SimpleInvoice67111316182126[[#This Row],[Unit price]])-SimpleInvoice67111316182126[[#This Row],[Discount]]),"")</f>
        <v/>
      </c>
      <c r="H21" s="26"/>
    </row>
    <row r="22" spans="1:8" ht="26.1" customHeight="1">
      <c r="A22" s="1"/>
      <c r="B22" s="27"/>
      <c r="C22" s="27"/>
      <c r="D22" s="13"/>
      <c r="E22" s="13"/>
      <c r="F22" s="28" t="s">
        <v>25</v>
      </c>
      <c r="G22" s="62">
        <f>SUM(SimpleInvoice67111316182126[Price])</f>
        <v>325080</v>
      </c>
      <c r="H22" s="26"/>
    </row>
    <row r="23" spans="1:8" ht="26.1" customHeight="1">
      <c r="A23" s="1"/>
      <c r="B23" s="27"/>
      <c r="C23" s="27"/>
      <c r="D23" s="13"/>
      <c r="E23" s="13"/>
      <c r="F23" s="28" t="s">
        <v>26</v>
      </c>
      <c r="G23" s="65">
        <v>9.7000000000000003E-2</v>
      </c>
      <c r="H23" s="26"/>
    </row>
    <row r="24" spans="1:8" ht="26.1" customHeight="1">
      <c r="A24" s="1"/>
      <c r="B24" s="27"/>
      <c r="C24" s="27"/>
      <c r="D24" s="13"/>
      <c r="E24" s="13"/>
      <c r="F24" s="28" t="s">
        <v>27</v>
      </c>
      <c r="G24" s="62">
        <v>31500</v>
      </c>
      <c r="H24" s="26"/>
    </row>
    <row r="25" spans="1:8" ht="26.1" customHeight="1">
      <c r="A25" s="1"/>
      <c r="B25" s="29"/>
      <c r="C25" s="29"/>
      <c r="D25" s="29"/>
      <c r="E25" s="30"/>
      <c r="F25" s="28" t="s">
        <v>28</v>
      </c>
      <c r="G25" s="62">
        <v>0</v>
      </c>
      <c r="H25" s="26"/>
    </row>
    <row r="26" spans="1:8" ht="26.1" customHeight="1">
      <c r="A26" s="1"/>
      <c r="B26" s="31"/>
      <c r="C26" s="31"/>
      <c r="D26" s="31"/>
      <c r="E26" s="32"/>
      <c r="F26" s="33" t="s">
        <v>29</v>
      </c>
      <c r="G26" s="63">
        <f>G24+G22</f>
        <v>356580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5">
    <mergeCell ref="C2:D2"/>
    <mergeCell ref="C3:D4"/>
    <mergeCell ref="B28:G28"/>
    <mergeCell ref="B29:G29"/>
    <mergeCell ref="B30:G30"/>
  </mergeCells>
  <dataValidations count="36">
    <dataValidation allowBlank="1" showInputMessage="1" showErrorMessage="1" prompt="The total amount is automatically calculated in this cell" sqref="G26" xr:uid="{D57AC0BB-A8D2-4FCE-8E7F-D34547AC133A}"/>
    <dataValidation allowBlank="1" showInputMessage="1" showErrorMessage="1" prompt="Enter the deposit amount, if any" sqref="G25" xr:uid="{8E93F128-BB4C-4677-B855-96DDBC98A08C}"/>
    <dataValidation allowBlank="1" showInputMessage="1" showErrorMessage="1" prompt="The sales tax is automatically calculated in this cell" sqref="G24" xr:uid="{CB3DC6B7-80FC-434F-B390-7D5ACC1D5C3B}"/>
    <dataValidation allowBlank="1" showInputMessage="1" showErrorMessage="1" prompt="Enter tax rate in this cell" sqref="G23" xr:uid="{5D5F989F-541E-4BE1-8083-7AE8677CB246}"/>
    <dataValidation allowBlank="1" showInputMessage="1" showErrorMessage="1" prompt="The subtotal amount is automatically calculated in this cell" sqref="G22" xr:uid="{C6925ED6-C1A8-49BC-A030-332414D59A44}"/>
    <dataValidation allowBlank="1" showInputMessage="1" showErrorMessage="1" prompt="Price is auto calculated under this heading" sqref="G13" xr:uid="{1C11D0CB-FECA-46AB-AE07-04DC36562B2C}"/>
    <dataValidation allowBlank="1" showInputMessage="1" showErrorMessage="1" prompt="Enter Discount in this column under this heading" sqref="F13" xr:uid="{A97931FD-4BA1-4389-B3AA-C329178DB5C6}"/>
    <dataValidation allowBlank="1" showInputMessage="1" showErrorMessage="1" prompt="Enter Unit Price in this column under this heading" sqref="E13" xr:uid="{686E810D-1EF4-4EA9-ADAC-18B5EB8A26F0}"/>
    <dataValidation allowBlank="1" showInputMessage="1" showErrorMessage="1" prompt="Enter Quantity in this column under this heading" sqref="D13" xr:uid="{5A173134-CEB5-4C6D-B587-53DF5EE44668}"/>
    <dataValidation allowBlank="1" showInputMessage="1" showErrorMessage="1" prompt="Enter Description in this column under this heading" sqref="C13" xr:uid="{DAEE4A23-6EA9-46A7-9CF1-90EFF9DEC683}"/>
    <dataValidation allowBlank="1" showInputMessage="1" showErrorMessage="1" prompt="Enter Item number in this column under this heading" sqref="B13" xr:uid="{BED54DEB-DAA7-4D36-9F1C-CC1725E1F476}"/>
    <dataValidation allowBlank="1" showInputMessage="1" showErrorMessage="1" prompt="Enter customer fax number in the cell at right" sqref="F11" xr:uid="{077B968E-131D-435D-93AD-0FE7B91C2249}"/>
    <dataValidation allowBlank="1" showInputMessage="1" showErrorMessage="1" prompt="Enter customer fax number in this cell" sqref="G11" xr:uid="{2AC1ABDF-17C4-4B65-9044-5C0315E25CD8}"/>
    <dataValidation allowBlank="1" showInputMessage="1" showErrorMessage="1" prompt="Enter company phone number in this cell" sqref="B9" xr:uid="{BCB79221-75CE-4941-B5B8-AB37CA837808}"/>
    <dataValidation allowBlank="1" showInputMessage="1" showErrorMessage="1" prompt="Enter company email address in this cell" sqref="B11" xr:uid="{240AAADB-1DCD-4E8A-BBDC-84AA7EE48588}"/>
    <dataValidation allowBlank="1" showInputMessage="1" showErrorMessage="1" prompt="Create a simple invoice in this worksheet" sqref="A1" xr:uid="{83306900-C666-48DB-8F76-3594E10598DC}"/>
    <dataValidation allowBlank="1" showInputMessage="1" showErrorMessage="1" prompt="Enter invoice date in this cell" sqref="G4" xr:uid="{416DF17A-54E7-43C9-B0D1-090C9B0E23C1}"/>
    <dataValidation allowBlank="1" showInputMessage="1" showErrorMessage="1" prompt="Enter invoice # in the cell at right" sqref="F3" xr:uid="{50149F27-D549-479B-98A9-0FCAD3C4B7D3}"/>
    <dataValidation allowBlank="1" showInputMessage="1" showErrorMessage="1" prompt="Enter invoice # in this cell" sqref="G3" xr:uid="{A13055CD-5D15-4BF5-A08C-12C3F466F30B}"/>
    <dataValidation allowBlank="1" showInputMessage="1" showErrorMessage="1" prompt="Enter job type in the cell at right" sqref="F5" xr:uid="{1725FB1C-26C5-48B6-BC20-F2B503A08FC1}"/>
    <dataValidation allowBlank="1" showInputMessage="1" showErrorMessage="1" prompt="Enter job type in this cell" sqref="G5" xr:uid="{4CFEEAAD-760F-4E28-9F67-B9CC9FC7AC4A}"/>
    <dataValidation allowBlank="1" showInputMessage="1" showErrorMessage="1" prompt="Enter your company street address in this cell" sqref="B7" xr:uid="{59062D3B-76CA-4599-9658-C1005FE18983}"/>
    <dataValidation allowBlank="1" showInputMessage="1" showErrorMessage="1" prompt="Enter invoice date in the cell at right" sqref="F4" xr:uid="{6F162CAE-C6DD-43AF-AAE6-0387A1A10C81}"/>
    <dataValidation allowBlank="1" showInputMessage="1" showErrorMessage="1" prompt="Enter company's city, state, and ZIP in this cell" sqref="B8" xr:uid="{8DF00D83-D7FF-48E9-B7E4-193B4BFB6674}"/>
    <dataValidation allowBlank="1" showInputMessage="1" showErrorMessage="1" prompt="Enter company fax number in this cell" sqref="B10" xr:uid="{1002A90C-AC78-467C-9554-9625912841F4}"/>
    <dataValidation allowBlank="1" showInputMessage="1" showErrorMessage="1" prompt="Enter customer name in the cell at right" sqref="F7" xr:uid="{D81C9B63-CDE7-4549-98DC-EF4BC30B9410}"/>
    <dataValidation allowBlank="1" showInputMessage="1" showErrorMessage="1" prompt="Enter customer name in this cell" sqref="G7" xr:uid="{4E9F42D4-D0A9-4EE3-BC93-2405CDFFD75C}"/>
    <dataValidation allowBlank="1" showInputMessage="1" showErrorMessage="1" prompt="Enter customer address in the cell at right" sqref="F8" xr:uid="{CFF27AD7-0742-4BF9-883A-DA65BD8215B9}"/>
    <dataValidation allowBlank="1" showInputMessage="1" showErrorMessage="1" prompt="Enter customer street address in this cell" sqref="G8" xr:uid="{0CB6A638-F13E-4BB3-9015-66C5EB357D46}"/>
    <dataValidation allowBlank="1" showInputMessage="1" showErrorMessage="1" prompt="Enter customer phone number in the cell at right" sqref="F10" xr:uid="{8EB05AFB-9C6B-4F17-B4CD-FAE6B25664FB}"/>
    <dataValidation allowBlank="1" showInputMessage="1" showErrorMessage="1" prompt="Enter customer phone number in this cell" sqref="G10" xr:uid="{59EBD910-B960-4273-BF0F-C3A2644CF6F6}"/>
    <dataValidation allowBlank="1" showInputMessage="1" showErrorMessage="1" prompt="Enter customer city, state, and ZIP in this cell" sqref="G9" xr:uid="{43FB48DC-A522-410B-B04E-3FFAE6D2FE67}"/>
    <dataValidation allowBlank="1" showInputMessage="1" showErrorMessage="1" prompt="Update this cell with your company's email address and website" sqref="B30:G30" xr:uid="{CCC60033-7659-47F0-AB14-FFC557EF44FC}"/>
    <dataValidation allowBlank="1" showInputMessage="1" showErrorMessage="1" prompt="Modify company name in this cell and the cell below. Enter company address, phone, fax, and email in cells B7 to B11. Enter Billing details in cells G3 to G11." sqref="C2:D2" xr:uid="{8F8B8770-17C6-4F2D-B466-7831E6606EE7}"/>
    <dataValidation allowBlank="1" showInputMessage="1" showErrorMessage="1" prompt="Replace the number of days in which the balance is due and service charge percent per month in this cell" sqref="B29:G29" xr:uid="{7D5AB2EA-B04D-4FFF-B6FB-F884D452B732}"/>
    <dataValidation allowBlank="1" showInputMessage="1" showErrorMessage="1" prompt="Company name is automatically appended in this cell" sqref="B28:G28" xr:uid="{011B117B-83CB-42A1-A1A0-34D962199B69}"/>
  </dataValidations>
  <printOptions horizontalCentered="1"/>
  <pageMargins left="0.70866141732283472" right="0.70866141732283472" top="0.74803149606299213" bottom="0.74803149606299213" header="0.31496062992125984" footer="0.31496062992125984"/>
  <pageSetup paperSize="9" scale="68" fitToHeight="0" orientation="portrait" horizontalDpi="300" verticalDpi="300" r:id="rId1"/>
  <headerFooter differentFirst="1" alignWithMargins="0"/>
  <ignoredErrors>
    <ignoredError sqref="G16" calculatedColumn="1"/>
  </ignoredErrors>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685D5-6768-49A6-9B6B-B94857808E1E}">
  <sheetPr>
    <tabColor theme="4" tint="-0.499984740745262"/>
    <pageSetUpPr autoPageBreaks="0" fitToPage="1"/>
  </sheetPr>
  <dimension ref="A1:H31"/>
  <sheetViews>
    <sheetView showGridLines="0" zoomScaleNormal="100" workbookViewId="0">
      <selection activeCell="G3" sqref="G3"/>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55</v>
      </c>
      <c r="H3" s="9"/>
    </row>
    <row r="4" spans="1:8" ht="26.25" customHeight="1">
      <c r="A4" s="1"/>
      <c r="B4" s="10" t="s">
        <v>5</v>
      </c>
      <c r="C4" s="67"/>
      <c r="D4" s="67"/>
      <c r="E4" s="11"/>
      <c r="F4" s="59" t="s">
        <v>6</v>
      </c>
      <c r="G4" s="54">
        <v>45192</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19" t="s">
        <v>7</v>
      </c>
      <c r="C7" s="19"/>
      <c r="D7" s="20"/>
      <c r="E7" s="20"/>
      <c r="F7" s="55" t="s">
        <v>8</v>
      </c>
      <c r="G7" s="49" t="s">
        <v>42</v>
      </c>
      <c r="H7" s="21"/>
    </row>
    <row r="8" spans="1:8" ht="15.95" customHeight="1">
      <c r="A8" s="1"/>
      <c r="B8" s="19" t="s">
        <v>10</v>
      </c>
      <c r="C8" s="19"/>
      <c r="D8" s="22"/>
      <c r="E8" s="22"/>
      <c r="F8" s="61" t="s">
        <v>11</v>
      </c>
      <c r="G8" s="50" t="s">
        <v>43</v>
      </c>
      <c r="H8" s="21"/>
    </row>
    <row r="9" spans="1:8" ht="15.95" customHeight="1">
      <c r="A9" s="1"/>
      <c r="B9" s="19"/>
      <c r="C9" s="23"/>
      <c r="D9" s="20"/>
      <c r="E9" s="20"/>
      <c r="F9" s="56"/>
      <c r="G9" s="52" t="s">
        <v>44</v>
      </c>
      <c r="H9" s="21"/>
    </row>
    <row r="10" spans="1:8" ht="15.95" customHeight="1">
      <c r="A10" s="1"/>
      <c r="B10" s="19"/>
      <c r="C10" s="19"/>
      <c r="D10" s="22"/>
      <c r="E10" s="22"/>
      <c r="F10" s="61" t="s">
        <v>14</v>
      </c>
      <c r="G10" s="51" t="s">
        <v>45</v>
      </c>
      <c r="H10" s="21"/>
    </row>
    <row r="11" spans="1:8" ht="15.95" customHeight="1">
      <c r="A11" s="1"/>
      <c r="B11" s="24"/>
      <c r="C11" s="22"/>
      <c r="D11" s="20"/>
      <c r="E11" s="20"/>
      <c r="F11" s="55"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46">
        <v>7019.35</v>
      </c>
      <c r="F14" s="48">
        <v>0</v>
      </c>
      <c r="G14" s="46">
        <f>IFERROR(IF(SimpleInvoice67111316182125[[#This Row],[Unit price]]="","",(SimpleInvoice67111316182125[[#This Row],[Qty]]*SimpleInvoice67111316182125[[#This Row],[Unit price]])-SimpleInvoice67111316182125[[#This Row],[Discount]]),"")</f>
        <v>140387</v>
      </c>
      <c r="H14" s="26"/>
    </row>
    <row r="15" spans="1:8" ht="28.5" customHeight="1">
      <c r="A15" s="1"/>
      <c r="B15" s="37">
        <v>2</v>
      </c>
      <c r="C15" s="37" t="s">
        <v>51</v>
      </c>
      <c r="D15" s="39">
        <v>60</v>
      </c>
      <c r="E15" s="46">
        <v>2500</v>
      </c>
      <c r="F15" s="48">
        <v>167</v>
      </c>
      <c r="G15" s="46">
        <f>IFERROR(IF(SimpleInvoice67111316182125[[#This Row],[Unit price]]="","",(SimpleInvoice67111316182125[[#This Row],[Qty]]*SimpleInvoice67111316182125[[#This Row],[Unit price]])-SimpleInvoice67111316182125[[#This Row],[Discount]]),"")</f>
        <v>149833</v>
      </c>
      <c r="H15" s="26"/>
    </row>
    <row r="16" spans="1:8" ht="26.1" customHeight="1">
      <c r="A16" s="1"/>
      <c r="B16" s="37">
        <v>3</v>
      </c>
      <c r="C16" s="37" t="s">
        <v>52</v>
      </c>
      <c r="D16" s="39">
        <v>20</v>
      </c>
      <c r="E16" s="46">
        <v>250</v>
      </c>
      <c r="F16" s="48">
        <v>0</v>
      </c>
      <c r="G16" s="46">
        <v>9000</v>
      </c>
      <c r="H16" s="26"/>
    </row>
    <row r="17" spans="1:8" ht="26.1" customHeight="1">
      <c r="A17" s="1"/>
      <c r="B17" s="37">
        <v>4</v>
      </c>
      <c r="C17" s="37" t="s">
        <v>53</v>
      </c>
      <c r="D17" s="39">
        <v>20</v>
      </c>
      <c r="E17" s="46">
        <v>560</v>
      </c>
      <c r="F17" s="48">
        <v>0</v>
      </c>
      <c r="G17" s="47">
        <f>IFERROR(IF(SimpleInvoice67111316182125[[#This Row],[Unit price]]="","",(SimpleInvoice67111316182125[[#This Row],[Qty]]*SimpleInvoice67111316182125[[#This Row],[Unit price]])-SimpleInvoice67111316182125[[#This Row],[Discount]]),"")</f>
        <v>11200</v>
      </c>
      <c r="H17" s="26"/>
    </row>
    <row r="18" spans="1:8" ht="26.1" customHeight="1">
      <c r="A18" s="1"/>
      <c r="B18" s="37">
        <v>5</v>
      </c>
      <c r="C18" s="37" t="s">
        <v>54</v>
      </c>
      <c r="D18" s="39">
        <v>20</v>
      </c>
      <c r="E18" s="46">
        <v>733</v>
      </c>
      <c r="F18" s="48">
        <v>0</v>
      </c>
      <c r="G18" s="46">
        <f>IFERROR(IF(SimpleInvoice67111316182125[[#This Row],[Unit price]]="","",(SimpleInvoice67111316182125[[#This Row],[Qty]]*SimpleInvoice67111316182125[[#This Row],[Unit price]])-SimpleInvoice67111316182125[[#This Row],[Discount]]),"")</f>
        <v>14660</v>
      </c>
      <c r="H18" s="26"/>
    </row>
    <row r="19" spans="1:8" ht="26.1" customHeight="1">
      <c r="A19" s="1"/>
      <c r="B19" s="37"/>
      <c r="C19" s="37"/>
      <c r="D19" s="39"/>
      <c r="E19" s="40"/>
      <c r="F19" s="41"/>
      <c r="G19" s="40" t="str">
        <f>IFERROR(IF(SimpleInvoice67111316182125[[#This Row],[Unit price]]="","",(SimpleInvoice67111316182125[[#This Row],[Qty]]*SimpleInvoice67111316182125[[#This Row],[Unit price]])-SimpleInvoice67111316182125[[#This Row],[Discount]]),"")</f>
        <v/>
      </c>
      <c r="H19" s="26"/>
    </row>
    <row r="20" spans="1:8" ht="26.1" customHeight="1">
      <c r="A20" s="1"/>
      <c r="B20" s="37"/>
      <c r="C20" s="37"/>
      <c r="D20" s="39"/>
      <c r="E20" s="40"/>
      <c r="F20" s="41"/>
      <c r="G20" s="40" t="str">
        <f>IFERROR(IF(SimpleInvoice67111316182125[[#This Row],[Unit price]]="","",(SimpleInvoice67111316182125[[#This Row],[Qty]]*SimpleInvoice67111316182125[[#This Row],[Unit price]])-SimpleInvoice67111316182125[[#This Row],[Discount]]),"")</f>
        <v/>
      </c>
      <c r="H20" s="26"/>
    </row>
    <row r="21" spans="1:8" ht="26.1" customHeight="1">
      <c r="A21" s="1"/>
      <c r="B21" s="37"/>
      <c r="C21" s="37"/>
      <c r="D21" s="39"/>
      <c r="E21" s="40"/>
      <c r="F21" s="41"/>
      <c r="G21" s="40" t="str">
        <f>IFERROR(IF(SimpleInvoice67111316182125[[#This Row],[Unit price]]="","",(SimpleInvoice67111316182125[[#This Row],[Qty]]*SimpleInvoice67111316182125[[#This Row],[Unit price]])-SimpleInvoice67111316182125[[#This Row],[Discount]]),"")</f>
        <v/>
      </c>
      <c r="H21" s="26"/>
    </row>
    <row r="22" spans="1:8" ht="26.1" customHeight="1">
      <c r="A22" s="1"/>
      <c r="B22" s="27"/>
      <c r="C22" s="27"/>
      <c r="D22" s="13"/>
      <c r="E22" s="13"/>
      <c r="F22" s="28" t="s">
        <v>25</v>
      </c>
      <c r="G22" s="62">
        <f>SUM(SimpleInvoice67111316182125[Price])</f>
        <v>325080</v>
      </c>
      <c r="H22" s="26"/>
    </row>
    <row r="23" spans="1:8" ht="26.1" customHeight="1">
      <c r="A23" s="1"/>
      <c r="B23" s="27"/>
      <c r="C23" s="27"/>
      <c r="D23" s="13"/>
      <c r="E23" s="13"/>
      <c r="F23" s="28" t="s">
        <v>26</v>
      </c>
      <c r="G23" s="65">
        <v>9.7000000000000003E-2</v>
      </c>
      <c r="H23" s="26"/>
    </row>
    <row r="24" spans="1:8" ht="26.1" customHeight="1">
      <c r="A24" s="1"/>
      <c r="B24" s="27"/>
      <c r="C24" s="27"/>
      <c r="D24" s="13"/>
      <c r="E24" s="13"/>
      <c r="F24" s="28" t="s">
        <v>27</v>
      </c>
      <c r="G24" s="62">
        <v>31500</v>
      </c>
      <c r="H24" s="26"/>
    </row>
    <row r="25" spans="1:8" ht="26.1" customHeight="1">
      <c r="A25" s="1"/>
      <c r="B25" s="29"/>
      <c r="C25" s="29"/>
      <c r="D25" s="29"/>
      <c r="E25" s="30"/>
      <c r="F25" s="28" t="s">
        <v>28</v>
      </c>
      <c r="G25" s="62">
        <v>0</v>
      </c>
      <c r="H25" s="26"/>
    </row>
    <row r="26" spans="1:8" ht="26.1" customHeight="1">
      <c r="A26" s="1"/>
      <c r="B26" s="31"/>
      <c r="C26" s="31"/>
      <c r="D26" s="31"/>
      <c r="E26" s="32"/>
      <c r="F26" s="33" t="s">
        <v>29</v>
      </c>
      <c r="G26" s="63">
        <f>G24+G22</f>
        <v>356580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5">
    <mergeCell ref="C2:D2"/>
    <mergeCell ref="C3:D4"/>
    <mergeCell ref="B28:G28"/>
    <mergeCell ref="B29:G29"/>
    <mergeCell ref="B30:G30"/>
  </mergeCells>
  <dataValidations count="36">
    <dataValidation allowBlank="1" showInputMessage="1" showErrorMessage="1" prompt="The total amount is automatically calculated in this cell" sqref="G26" xr:uid="{1258F57F-1211-4B5D-AC04-B35F4BB6FFD3}"/>
    <dataValidation allowBlank="1" showInputMessage="1" showErrorMessage="1" prompt="Enter the deposit amount, if any" sqref="G25" xr:uid="{70B87E6E-21B7-4CA1-A5AC-6E4B4DF4E305}"/>
    <dataValidation allowBlank="1" showInputMessage="1" showErrorMessage="1" prompt="The sales tax is automatically calculated in this cell" sqref="G24" xr:uid="{B93E27F3-3DAB-42D4-AD48-33E215790C83}"/>
    <dataValidation allowBlank="1" showInputMessage="1" showErrorMessage="1" prompt="Enter tax rate in this cell" sqref="G23" xr:uid="{086B6DC2-2B4D-4DC8-8CE0-F5E8C2B8A21A}"/>
    <dataValidation allowBlank="1" showInputMessage="1" showErrorMessage="1" prompt="The subtotal amount is automatically calculated in this cell" sqref="G22" xr:uid="{37381515-8CA1-4D2F-AB18-2A5AC94593CB}"/>
    <dataValidation allowBlank="1" showInputMessage="1" showErrorMessage="1" prompt="Price is auto calculated under this heading" sqref="G13" xr:uid="{F9421B5E-3458-4996-9D4B-307D06D045A0}"/>
    <dataValidation allowBlank="1" showInputMessage="1" showErrorMessage="1" prompt="Enter Discount in this column under this heading" sqref="F13" xr:uid="{702A9AC3-009A-4AFE-AA8E-FE248118E32B}"/>
    <dataValidation allowBlank="1" showInputMessage="1" showErrorMessage="1" prompt="Enter Unit Price in this column under this heading" sqref="E13" xr:uid="{0134485F-A135-494E-A39A-3E4F569F0620}"/>
    <dataValidation allowBlank="1" showInputMessage="1" showErrorMessage="1" prompt="Enter Quantity in this column under this heading" sqref="D13" xr:uid="{2E5CB291-AE59-460F-A9DB-DEBBEC3E229C}"/>
    <dataValidation allowBlank="1" showInputMessage="1" showErrorMessage="1" prompt="Enter Description in this column under this heading" sqref="C13" xr:uid="{F4E39BE1-43C9-4CA3-97B5-EAC8D25A25E3}"/>
    <dataValidation allowBlank="1" showInputMessage="1" showErrorMessage="1" prompt="Enter Item number in this column under this heading" sqref="B13" xr:uid="{C51C3C9C-8084-4F82-86F6-CAC509FB1ACD}"/>
    <dataValidation allowBlank="1" showInputMessage="1" showErrorMessage="1" prompt="Enter customer fax number in the cell at right" sqref="F11" xr:uid="{787D2C54-0D00-4BFE-90E4-C31CFCDA28DC}"/>
    <dataValidation allowBlank="1" showInputMessage="1" showErrorMessage="1" prompt="Enter customer fax number in this cell" sqref="G11" xr:uid="{B58764FE-AF49-449F-B909-41A6E6C6F142}"/>
    <dataValidation allowBlank="1" showInputMessage="1" showErrorMessage="1" prompt="Enter company phone number in this cell" sqref="B9" xr:uid="{B9955F50-234F-4D32-B66B-3F5EF6EEAEBF}"/>
    <dataValidation allowBlank="1" showInputMessage="1" showErrorMessage="1" prompt="Enter company email address in this cell" sqref="B11" xr:uid="{C72A7FF7-9753-4F9B-B49A-0550E9CFC169}"/>
    <dataValidation allowBlank="1" showInputMessage="1" showErrorMessage="1" prompt="Create a simple invoice in this worksheet" sqref="A1" xr:uid="{C4D17B2F-AB88-40F3-92DE-185835D96854}"/>
    <dataValidation allowBlank="1" showInputMessage="1" showErrorMessage="1" prompt="Enter invoice date in this cell" sqref="G4" xr:uid="{5B881546-1C34-4686-BB4A-0956D759397E}"/>
    <dataValidation allowBlank="1" showInputMessage="1" showErrorMessage="1" prompt="Enter invoice # in the cell at right" sqref="F3" xr:uid="{343ED4E4-DF42-43D8-B088-3EEDCC781F1A}"/>
    <dataValidation allowBlank="1" showInputMessage="1" showErrorMessage="1" prompt="Enter invoice # in this cell" sqref="G3" xr:uid="{C34162E7-9354-4338-B974-A2EF03DB7D80}"/>
    <dataValidation allowBlank="1" showInputMessage="1" showErrorMessage="1" prompt="Enter job type in the cell at right" sqref="F5" xr:uid="{221FF6EF-7232-460E-A074-6F8B07AA52C7}"/>
    <dataValidation allowBlank="1" showInputMessage="1" showErrorMessage="1" prompt="Enter job type in this cell" sqref="G5" xr:uid="{DDFC049B-06CC-40A6-AFE6-979E6FD063A8}"/>
    <dataValidation allowBlank="1" showInputMessage="1" showErrorMessage="1" prompt="Enter your company street address in this cell" sqref="B7" xr:uid="{9BF768F6-3D54-46F9-B19C-B8016CB05125}"/>
    <dataValidation allowBlank="1" showInputMessage="1" showErrorMessage="1" prompt="Enter invoice date in the cell at right" sqref="F4" xr:uid="{9949C519-3C70-4A19-BB66-8DE2E4FB31DE}"/>
    <dataValidation allowBlank="1" showInputMessage="1" showErrorMessage="1" prompt="Enter company's city, state, and ZIP in this cell" sqref="B8" xr:uid="{2838AB66-5ABB-43DC-A5BE-9F95E0FB94F2}"/>
    <dataValidation allowBlank="1" showInputMessage="1" showErrorMessage="1" prompt="Enter company fax number in this cell" sqref="B10" xr:uid="{12DD7058-D5AA-49F4-9CDF-016008F68F9B}"/>
    <dataValidation allowBlank="1" showInputMessage="1" showErrorMessage="1" prompt="Enter customer name in the cell at right" sqref="F7" xr:uid="{E3E95E84-F0D1-40B5-9977-9340CA83F642}"/>
    <dataValidation allowBlank="1" showInputMessage="1" showErrorMessage="1" prompt="Enter customer name in this cell" sqref="G7" xr:uid="{0B1FB189-6B96-4C08-93ED-B3E41E3E2DF6}"/>
    <dataValidation allowBlank="1" showInputMessage="1" showErrorMessage="1" prompt="Enter customer address in the cell at right" sqref="F8" xr:uid="{4B6CFDAB-FAAB-467F-BCAC-FCC34A38B7FC}"/>
    <dataValidation allowBlank="1" showInputMessage="1" showErrorMessage="1" prompt="Enter customer street address in this cell" sqref="G8" xr:uid="{AC3905E0-921F-40D9-9B6F-C21CB30E2AC8}"/>
    <dataValidation allowBlank="1" showInputMessage="1" showErrorMessage="1" prompt="Enter customer phone number in the cell at right" sqref="F10" xr:uid="{F81830FD-579D-4AD2-9A22-BEB6EF60D3CB}"/>
    <dataValidation allowBlank="1" showInputMessage="1" showErrorMessage="1" prompt="Enter customer phone number in this cell" sqref="G10" xr:uid="{D49B4AE6-4B56-486D-814C-2A7F0E79D0DD}"/>
    <dataValidation allowBlank="1" showInputMessage="1" showErrorMessage="1" prompt="Enter customer city, state, and ZIP in this cell" sqref="G9" xr:uid="{9079C878-DAA9-4161-99E7-12CFD231130B}"/>
    <dataValidation allowBlank="1" showInputMessage="1" showErrorMessage="1" prompt="Update this cell with your company's email address and website" sqref="B30:G30" xr:uid="{273176A1-17EC-482E-BB64-8207D0B136A5}"/>
    <dataValidation allowBlank="1" showInputMessage="1" showErrorMessage="1" prompt="Modify company name in this cell and the cell below. Enter company address, phone, fax, and email in cells B7 to B11. Enter Billing details in cells G3 to G11." sqref="C2:D2" xr:uid="{E4B9CE7B-88F6-4B3F-BD75-991C27CDE53D}"/>
    <dataValidation allowBlank="1" showInputMessage="1" showErrorMessage="1" prompt="Replace the number of days in which the balance is due and service charge percent per month in this cell" sqref="B29:G29" xr:uid="{8A95A8CC-2CE3-4AEC-97CF-2633194B65A9}"/>
    <dataValidation allowBlank="1" showInputMessage="1" showErrorMessage="1" prompt="Company name is automatically appended in this cell" sqref="B28:G28" xr:uid="{836C7A40-6E5A-4C44-83FB-C10A23902E6A}"/>
  </dataValidations>
  <printOptions horizontalCentered="1"/>
  <pageMargins left="0.23622047244094491" right="0.23622047244094491" top="0.74803149606299213" bottom="0.74803149606299213" header="0.31496062992125984" footer="0.31496062992125984"/>
  <pageSetup paperSize="9" scale="77" fitToHeight="0" orientation="portrait" horizontalDpi="300" verticalDpi="300" r:id="rId1"/>
  <headerFooter differentFirst="1" alignWithMargins="0"/>
  <ignoredErrors>
    <ignoredError sqref="G16" calculatedColumn="1"/>
  </ignoredErrors>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7C84-F885-41F7-8D49-DC4B6E5DA630}">
  <sheetPr>
    <tabColor theme="4" tint="-0.499984740745262"/>
    <pageSetUpPr autoPageBreaks="0" fitToPage="1"/>
  </sheetPr>
  <dimension ref="A1:H31"/>
  <sheetViews>
    <sheetView showGridLines="0" topLeftCell="A2" zoomScaleNormal="100" workbookViewId="0">
      <selection activeCell="G7" sqref="G7"/>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56</v>
      </c>
      <c r="H3" s="9"/>
    </row>
    <row r="4" spans="1:8" ht="26.25" customHeight="1">
      <c r="A4" s="1"/>
      <c r="B4" s="10" t="s">
        <v>5</v>
      </c>
      <c r="C4" s="67"/>
      <c r="D4" s="67"/>
      <c r="E4" s="11"/>
      <c r="F4" s="59" t="s">
        <v>6</v>
      </c>
      <c r="G4" s="54">
        <v>45243</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19" t="s">
        <v>7</v>
      </c>
      <c r="C7" s="19"/>
      <c r="D7" s="20"/>
      <c r="E7" s="20"/>
      <c r="F7" s="55" t="s">
        <v>8</v>
      </c>
      <c r="G7" s="49" t="s">
        <v>32</v>
      </c>
      <c r="H7" s="21"/>
    </row>
    <row r="8" spans="1:8" ht="15.95" customHeight="1">
      <c r="A8" s="1"/>
      <c r="B8" s="19" t="s">
        <v>10</v>
      </c>
      <c r="C8" s="19"/>
      <c r="D8" s="22"/>
      <c r="E8" s="22"/>
      <c r="F8" s="61" t="s">
        <v>11</v>
      </c>
      <c r="G8" s="50" t="s">
        <v>33</v>
      </c>
      <c r="H8" s="21"/>
    </row>
    <row r="9" spans="1:8" ht="15.95" customHeight="1">
      <c r="A9" s="1"/>
      <c r="B9" s="19"/>
      <c r="C9" s="23"/>
      <c r="D9" s="20"/>
      <c r="E9" s="20"/>
      <c r="F9" s="56"/>
      <c r="G9" s="52" t="s">
        <v>34</v>
      </c>
      <c r="H9" s="21"/>
    </row>
    <row r="10" spans="1:8" ht="15.95" customHeight="1">
      <c r="A10" s="1"/>
      <c r="B10" s="19"/>
      <c r="C10" s="19"/>
      <c r="D10" s="22"/>
      <c r="E10" s="22"/>
      <c r="F10" s="61" t="s">
        <v>14</v>
      </c>
      <c r="G10" s="51" t="s">
        <v>35</v>
      </c>
      <c r="H10" s="21"/>
    </row>
    <row r="11" spans="1:8" ht="15.95" customHeight="1">
      <c r="A11" s="1"/>
      <c r="B11" s="24"/>
      <c r="C11" s="22"/>
      <c r="D11" s="20"/>
      <c r="E11" s="20"/>
      <c r="F11" s="55"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46">
        <v>7019.35</v>
      </c>
      <c r="F14" s="48">
        <v>0</v>
      </c>
      <c r="G14" s="46">
        <f>IFERROR(IF(SimpleInvoice67111316182127[[#This Row],[Unit price]]="","",(SimpleInvoice67111316182127[[#This Row],[Qty]]*SimpleInvoice67111316182127[[#This Row],[Unit price]])-SimpleInvoice67111316182127[[#This Row],[Discount]]),"")</f>
        <v>140387</v>
      </c>
      <c r="H14" s="26"/>
    </row>
    <row r="15" spans="1:8" ht="28.5" customHeight="1">
      <c r="A15" s="1"/>
      <c r="B15" s="37">
        <v>2</v>
      </c>
      <c r="C15" s="37" t="s">
        <v>51</v>
      </c>
      <c r="D15" s="39">
        <v>60</v>
      </c>
      <c r="E15" s="46">
        <v>2500</v>
      </c>
      <c r="F15" s="48">
        <v>167</v>
      </c>
      <c r="G15" s="46">
        <f>IFERROR(IF(SimpleInvoice67111316182127[[#This Row],[Unit price]]="","",(SimpleInvoice67111316182127[[#This Row],[Qty]]*SimpleInvoice67111316182127[[#This Row],[Unit price]])-SimpleInvoice67111316182127[[#This Row],[Discount]]),"")</f>
        <v>149833</v>
      </c>
      <c r="H15" s="26"/>
    </row>
    <row r="16" spans="1:8" ht="26.1" customHeight="1">
      <c r="A16" s="1"/>
      <c r="B16" s="37">
        <v>3</v>
      </c>
      <c r="C16" s="37" t="s">
        <v>52</v>
      </c>
      <c r="D16" s="39">
        <v>20</v>
      </c>
      <c r="E16" s="46">
        <v>250</v>
      </c>
      <c r="F16" s="48">
        <v>0</v>
      </c>
      <c r="G16" s="46">
        <v>9000</v>
      </c>
      <c r="H16" s="26"/>
    </row>
    <row r="17" spans="1:8" ht="26.1" customHeight="1">
      <c r="A17" s="1"/>
      <c r="B17" s="37">
        <v>4</v>
      </c>
      <c r="C17" s="37" t="s">
        <v>53</v>
      </c>
      <c r="D17" s="39">
        <v>20</v>
      </c>
      <c r="E17" s="46">
        <v>560</v>
      </c>
      <c r="F17" s="48">
        <v>0</v>
      </c>
      <c r="G17" s="47">
        <f>IFERROR(IF(SimpleInvoice67111316182127[[#This Row],[Unit price]]="","",(SimpleInvoice67111316182127[[#This Row],[Qty]]*SimpleInvoice67111316182127[[#This Row],[Unit price]])-SimpleInvoice67111316182127[[#This Row],[Discount]]),"")</f>
        <v>11200</v>
      </c>
      <c r="H17" s="26"/>
    </row>
    <row r="18" spans="1:8" ht="26.1" customHeight="1">
      <c r="A18" s="1"/>
      <c r="B18" s="37">
        <v>5</v>
      </c>
      <c r="C18" s="37" t="s">
        <v>54</v>
      </c>
      <c r="D18" s="39">
        <v>20</v>
      </c>
      <c r="E18" s="46">
        <v>733</v>
      </c>
      <c r="F18" s="48">
        <v>0</v>
      </c>
      <c r="G18" s="46">
        <f>IFERROR(IF(SimpleInvoice67111316182127[[#This Row],[Unit price]]="","",(SimpleInvoice67111316182127[[#This Row],[Qty]]*SimpleInvoice67111316182127[[#This Row],[Unit price]])-SimpleInvoice67111316182127[[#This Row],[Discount]]),"")</f>
        <v>14660</v>
      </c>
      <c r="H18" s="26"/>
    </row>
    <row r="19" spans="1:8" ht="26.1" customHeight="1">
      <c r="A19" s="1"/>
      <c r="B19" s="37"/>
      <c r="C19" s="37"/>
      <c r="D19" s="39"/>
      <c r="E19" s="40"/>
      <c r="F19" s="41"/>
      <c r="G19" s="40" t="str">
        <f>IFERROR(IF(SimpleInvoice67111316182127[[#This Row],[Unit price]]="","",(SimpleInvoice67111316182127[[#This Row],[Qty]]*SimpleInvoice67111316182127[[#This Row],[Unit price]])-SimpleInvoice67111316182127[[#This Row],[Discount]]),"")</f>
        <v/>
      </c>
      <c r="H19" s="26"/>
    </row>
    <row r="20" spans="1:8" ht="26.1" customHeight="1">
      <c r="A20" s="1"/>
      <c r="B20" s="37"/>
      <c r="C20" s="37"/>
      <c r="D20" s="39"/>
      <c r="E20" s="40"/>
      <c r="F20" s="41"/>
      <c r="G20" s="40" t="str">
        <f>IFERROR(IF(SimpleInvoice67111316182127[[#This Row],[Unit price]]="","",(SimpleInvoice67111316182127[[#This Row],[Qty]]*SimpleInvoice67111316182127[[#This Row],[Unit price]])-SimpleInvoice67111316182127[[#This Row],[Discount]]),"")</f>
        <v/>
      </c>
      <c r="H20" s="26"/>
    </row>
    <row r="21" spans="1:8" ht="26.1" customHeight="1">
      <c r="A21" s="1"/>
      <c r="B21" s="37"/>
      <c r="C21" s="37"/>
      <c r="D21" s="39"/>
      <c r="E21" s="40"/>
      <c r="F21" s="41"/>
      <c r="G21" s="40" t="str">
        <f>IFERROR(IF(SimpleInvoice67111316182127[[#This Row],[Unit price]]="","",(SimpleInvoice67111316182127[[#This Row],[Qty]]*SimpleInvoice67111316182127[[#This Row],[Unit price]])-SimpleInvoice67111316182127[[#This Row],[Discount]]),"")</f>
        <v/>
      </c>
      <c r="H21" s="26"/>
    </row>
    <row r="22" spans="1:8" ht="26.1" customHeight="1">
      <c r="A22" s="1"/>
      <c r="B22" s="27"/>
      <c r="C22" s="27"/>
      <c r="D22" s="13"/>
      <c r="E22" s="13"/>
      <c r="F22" s="28" t="s">
        <v>25</v>
      </c>
      <c r="G22" s="62">
        <f>SUM(SimpleInvoice67111316182127[Price])</f>
        <v>325080</v>
      </c>
      <c r="H22" s="26"/>
    </row>
    <row r="23" spans="1:8" ht="26.1" customHeight="1">
      <c r="A23" s="1"/>
      <c r="B23" s="27"/>
      <c r="C23" s="27"/>
      <c r="D23" s="13"/>
      <c r="E23" s="13"/>
      <c r="F23" s="28" t="s">
        <v>26</v>
      </c>
      <c r="G23" s="65">
        <v>9.7000000000000003E-2</v>
      </c>
      <c r="H23" s="26"/>
    </row>
    <row r="24" spans="1:8" ht="26.1" customHeight="1">
      <c r="A24" s="1"/>
      <c r="B24" s="27"/>
      <c r="C24" s="27"/>
      <c r="D24" s="13"/>
      <c r="E24" s="13"/>
      <c r="F24" s="28" t="s">
        <v>27</v>
      </c>
      <c r="G24" s="62">
        <v>31500</v>
      </c>
      <c r="H24" s="26"/>
    </row>
    <row r="25" spans="1:8" ht="26.1" customHeight="1">
      <c r="A25" s="1"/>
      <c r="B25" s="29"/>
      <c r="C25" s="29"/>
      <c r="D25" s="29"/>
      <c r="E25" s="30"/>
      <c r="F25" s="28" t="s">
        <v>28</v>
      </c>
      <c r="G25" s="62">
        <v>0</v>
      </c>
      <c r="H25" s="26"/>
    </row>
    <row r="26" spans="1:8" ht="26.1" customHeight="1">
      <c r="A26" s="1"/>
      <c r="B26" s="31"/>
      <c r="C26" s="31"/>
      <c r="D26" s="31"/>
      <c r="E26" s="32"/>
      <c r="F26" s="33" t="s">
        <v>29</v>
      </c>
      <c r="G26" s="63">
        <f>G24+G22</f>
        <v>356580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5">
    <mergeCell ref="C2:D2"/>
    <mergeCell ref="C3:D4"/>
    <mergeCell ref="B28:G28"/>
    <mergeCell ref="B29:G29"/>
    <mergeCell ref="B30:G30"/>
  </mergeCells>
  <dataValidations count="36">
    <dataValidation allowBlank="1" showInputMessage="1" showErrorMessage="1" prompt="The total amount is automatically calculated in this cell" sqref="G26" xr:uid="{21BB8D62-3B0C-4232-A9A1-19F8C93F505B}"/>
    <dataValidation allowBlank="1" showInputMessage="1" showErrorMessage="1" prompt="Enter the deposit amount, if any" sqref="G25" xr:uid="{E943E7A5-866C-4EDC-89E9-63413DD2B9D3}"/>
    <dataValidation allowBlank="1" showInputMessage="1" showErrorMessage="1" prompt="The sales tax is automatically calculated in this cell" sqref="G24" xr:uid="{CBAE007A-858F-4865-A662-9F21EF20F4DA}"/>
    <dataValidation allowBlank="1" showInputMessage="1" showErrorMessage="1" prompt="Enter tax rate in this cell" sqref="G23" xr:uid="{01ADE3CC-5603-4A4A-9784-87105478BC0C}"/>
    <dataValidation allowBlank="1" showInputMessage="1" showErrorMessage="1" prompt="The subtotal amount is automatically calculated in this cell" sqref="G22" xr:uid="{4DAB0BCB-C510-4049-A489-D263C5455D0A}"/>
    <dataValidation allowBlank="1" showInputMessage="1" showErrorMessage="1" prompt="Price is auto calculated under this heading" sqref="G13" xr:uid="{8A1CF499-3CB0-4A94-84A5-22D15029924C}"/>
    <dataValidation allowBlank="1" showInputMessage="1" showErrorMessage="1" prompt="Enter Discount in this column under this heading" sqref="F13" xr:uid="{C79ED15B-B1DC-4B62-96DF-D5C6FDB1EA69}"/>
    <dataValidation allowBlank="1" showInputMessage="1" showErrorMessage="1" prompt="Enter Unit Price in this column under this heading" sqref="E13" xr:uid="{000AE096-25FE-4ACF-8DBE-E4FF1035043B}"/>
    <dataValidation allowBlank="1" showInputMessage="1" showErrorMessage="1" prompt="Enter Quantity in this column under this heading" sqref="D13" xr:uid="{C19C3812-9579-4C98-9056-1497AD88C781}"/>
    <dataValidation allowBlank="1" showInputMessage="1" showErrorMessage="1" prompt="Enter Description in this column under this heading" sqref="C13" xr:uid="{86A171E5-5642-4A27-96EE-AD172BB55A77}"/>
    <dataValidation allowBlank="1" showInputMessage="1" showErrorMessage="1" prompt="Enter Item number in this column under this heading" sqref="B13" xr:uid="{E79CCBCA-6B8D-492C-9823-496E244E6126}"/>
    <dataValidation allowBlank="1" showInputMessage="1" showErrorMessage="1" prompt="Enter customer fax number in the cell at right" sqref="F11" xr:uid="{801A4802-4276-44DC-BDF8-04FB949ECF8E}"/>
    <dataValidation allowBlank="1" showInputMessage="1" showErrorMessage="1" prompt="Enter customer fax number in this cell" sqref="G11" xr:uid="{9C047D36-6111-4DC9-B4CE-240B7984C8C4}"/>
    <dataValidation allowBlank="1" showInputMessage="1" showErrorMessage="1" prompt="Enter company phone number in this cell" sqref="B9" xr:uid="{0F874FF5-A599-4B1D-8701-49E10475D0BB}"/>
    <dataValidation allowBlank="1" showInputMessage="1" showErrorMessage="1" prompt="Enter company email address in this cell" sqref="B11" xr:uid="{6A665792-7758-4F55-BB28-2FA71CF751BF}"/>
    <dataValidation allowBlank="1" showInputMessage="1" showErrorMessage="1" prompt="Create a simple invoice in this worksheet" sqref="A1" xr:uid="{C31DE615-CDE9-4A59-9D38-00DD0686C74A}"/>
    <dataValidation allowBlank="1" showInputMessage="1" showErrorMessage="1" prompt="Enter invoice date in this cell" sqref="G4" xr:uid="{3776CAB7-8345-481C-B5D8-7BD9FB7FEC0C}"/>
    <dataValidation allowBlank="1" showInputMessage="1" showErrorMessage="1" prompt="Enter invoice # in the cell at right" sqref="F3" xr:uid="{6021654F-82AA-47DC-8A42-EEE2D2ACC2CD}"/>
    <dataValidation allowBlank="1" showInputMessage="1" showErrorMessage="1" prompt="Enter invoice # in this cell" sqref="G3" xr:uid="{A148A365-ED16-4C72-8B42-32788BC847D0}"/>
    <dataValidation allowBlank="1" showInputMessage="1" showErrorMessage="1" prompt="Enter job type in the cell at right" sqref="F5" xr:uid="{9584DAFD-BFDF-4AA4-8231-27632DDB5E74}"/>
    <dataValidation allowBlank="1" showInputMessage="1" showErrorMessage="1" prompt="Enter job type in this cell" sqref="G5" xr:uid="{558EAC9E-092D-4371-A40B-2A65AED20B63}"/>
    <dataValidation allowBlank="1" showInputMessage="1" showErrorMessage="1" prompt="Enter your company street address in this cell" sqref="B7" xr:uid="{BFF0A2B4-0236-4600-9153-EA86E85AC74B}"/>
    <dataValidation allowBlank="1" showInputMessage="1" showErrorMessage="1" prompt="Enter invoice date in the cell at right" sqref="F4" xr:uid="{942A1B23-FC4D-4FBF-BCE6-D0F06F01A459}"/>
    <dataValidation allowBlank="1" showInputMessage="1" showErrorMessage="1" prompt="Enter company's city, state, and ZIP in this cell" sqref="B8" xr:uid="{99302720-9FE8-4D75-B622-F65711917F2C}"/>
    <dataValidation allowBlank="1" showInputMessage="1" showErrorMessage="1" prompt="Enter company fax number in this cell" sqref="B10" xr:uid="{C542E5A0-A026-4453-9E1F-6D5DBAF9ACBB}"/>
    <dataValidation allowBlank="1" showInputMessage="1" showErrorMessage="1" prompt="Enter customer name in the cell at right" sqref="F7" xr:uid="{AED03341-2118-4001-A52C-AE62BA330B45}"/>
    <dataValidation allowBlank="1" showInputMessage="1" showErrorMessage="1" prompt="Enter customer name in this cell" sqref="G7" xr:uid="{17EE94BE-56E8-4F8B-8EAB-414EBC3C3CA2}"/>
    <dataValidation allowBlank="1" showInputMessage="1" showErrorMessage="1" prompt="Enter customer address in the cell at right" sqref="F8" xr:uid="{45930902-3888-4C0F-A6DD-475046028CDD}"/>
    <dataValidation allowBlank="1" showInputMessage="1" showErrorMessage="1" prompt="Enter customer street address in this cell" sqref="G8" xr:uid="{FD7FE6A4-3486-45E1-AFD1-A26150E4C35A}"/>
    <dataValidation allowBlank="1" showInputMessage="1" showErrorMessage="1" prompt="Enter customer phone number in the cell at right" sqref="F10" xr:uid="{CD80BC6B-BE81-4AF6-AA26-3350D72A4DA1}"/>
    <dataValidation allowBlank="1" showInputMessage="1" showErrorMessage="1" prompt="Enter customer phone number in this cell" sqref="G10" xr:uid="{B9AA401A-C9ED-4E90-990A-0D8A1A71275C}"/>
    <dataValidation allowBlank="1" showInputMessage="1" showErrorMessage="1" prompt="Enter customer city, state, and ZIP in this cell" sqref="G9" xr:uid="{0E583339-F47B-4642-9FB4-69E3AF6C4D42}"/>
    <dataValidation allowBlank="1" showInputMessage="1" showErrorMessage="1" prompt="Update this cell with your company's email address and website" sqref="B30:G30" xr:uid="{E3F3E6CB-7E48-4E4A-89DA-C01BBBB0EB4B}"/>
    <dataValidation allowBlank="1" showInputMessage="1" showErrorMessage="1" prompt="Modify company name in this cell and the cell below. Enter company address, phone, fax, and email in cells B7 to B11. Enter Billing details in cells G3 to G11." sqref="C2:D2" xr:uid="{723B4F84-EDC4-4EDB-9129-E2A1B3358428}"/>
    <dataValidation allowBlank="1" showInputMessage="1" showErrorMessage="1" prompt="Replace the number of days in which the balance is due and service charge percent per month in this cell" sqref="B29:G29" xr:uid="{AF56348F-2B96-4800-8EEC-269F8B819948}"/>
    <dataValidation allowBlank="1" showInputMessage="1" showErrorMessage="1" prompt="Company name is automatically appended in this cell" sqref="B28:G28" xr:uid="{6D04E908-15CD-4DE8-A96E-2AED23D49541}"/>
  </dataValidations>
  <printOptions horizontalCentered="1"/>
  <pageMargins left="0.23622047244094491" right="0.23622047244094491" top="0.74803149606299213" bottom="0.74803149606299213" header="0.31496062992125984" footer="0.31496062992125984"/>
  <pageSetup scale="80" fitToHeight="0" orientation="portrait" horizontalDpi="300" verticalDpi="300" r:id="rId1"/>
  <headerFooter differentFirst="1" alignWithMargins="0"/>
  <ignoredErrors>
    <ignoredError sqref="G16" calculatedColumn="1"/>
  </ignoredErrors>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8768-8766-458C-A7A3-366B5D78CF15}">
  <sheetPr>
    <tabColor theme="4" tint="-0.499984740745262"/>
    <pageSetUpPr autoPageBreaks="0" fitToPage="1"/>
  </sheetPr>
  <dimension ref="A1:H31"/>
  <sheetViews>
    <sheetView showGridLines="0" zoomScaleNormal="100" workbookViewId="0">
      <selection activeCell="G10" sqref="G10"/>
    </sheetView>
  </sheetViews>
  <sheetFormatPr defaultColWidth="9" defaultRowHeight="33.950000000000003" customHeight="1"/>
  <cols>
    <col min="1" max="1" width="8.28515625" style="2" customWidth="1"/>
    <col min="2" max="2" width="18.5703125" style="2" customWidth="1"/>
    <col min="3" max="3" width="25" style="2" customWidth="1"/>
    <col min="4" max="5" width="18.5703125" style="2" customWidth="1"/>
    <col min="6" max="6" width="20.140625" style="2" customWidth="1"/>
    <col min="7" max="7" width="21.85546875" style="2" customWidth="1"/>
    <col min="8" max="8" width="8.28515625" style="2" customWidth="1"/>
    <col min="9" max="10" width="9" style="2"/>
    <col min="11" max="11" width="14.85546875" style="2" bestFit="1" customWidth="1"/>
    <col min="12" max="16384" width="9" style="2"/>
  </cols>
  <sheetData>
    <row r="1" spans="1:8" ht="50.1" customHeight="1">
      <c r="A1" s="1"/>
      <c r="B1" s="1"/>
      <c r="C1" s="1"/>
      <c r="D1" s="1"/>
      <c r="E1" s="1"/>
      <c r="F1" s="1"/>
      <c r="G1" s="1"/>
      <c r="H1" s="1"/>
    </row>
    <row r="2" spans="1:8" ht="57.95" customHeight="1">
      <c r="A2" s="1"/>
      <c r="B2" s="3"/>
      <c r="C2" s="66" t="s">
        <v>0</v>
      </c>
      <c r="D2" s="66"/>
      <c r="E2" s="4"/>
      <c r="F2" s="5"/>
      <c r="G2" s="34" t="s">
        <v>1</v>
      </c>
      <c r="H2" s="6"/>
    </row>
    <row r="3" spans="1:8" ht="15.95" customHeight="1">
      <c r="A3" s="1"/>
      <c r="B3" s="7"/>
      <c r="C3" s="67" t="s">
        <v>2</v>
      </c>
      <c r="D3" s="67"/>
      <c r="E3" s="8"/>
      <c r="F3" s="58" t="s">
        <v>3</v>
      </c>
      <c r="G3" s="53" t="s">
        <v>57</v>
      </c>
      <c r="H3" s="9"/>
    </row>
    <row r="4" spans="1:8" ht="26.25" customHeight="1">
      <c r="A4" s="1"/>
      <c r="B4" s="10" t="s">
        <v>5</v>
      </c>
      <c r="C4" s="67"/>
      <c r="D4" s="67"/>
      <c r="E4" s="11"/>
      <c r="F4" s="59" t="s">
        <v>6</v>
      </c>
      <c r="G4" s="54">
        <v>45100</v>
      </c>
      <c r="H4" s="9"/>
    </row>
    <row r="5" spans="1:8" ht="15.95" customHeight="1">
      <c r="A5" s="1"/>
      <c r="B5" s="12"/>
      <c r="C5" s="13"/>
      <c r="D5" s="13"/>
      <c r="E5" s="14"/>
      <c r="F5" s="35"/>
      <c r="G5" s="15"/>
      <c r="H5" s="16"/>
    </row>
    <row r="6" spans="1:8" ht="60" customHeight="1">
      <c r="A6" s="1"/>
      <c r="B6" s="17"/>
      <c r="C6" s="17"/>
      <c r="D6" s="8"/>
      <c r="E6" s="8"/>
      <c r="F6" s="36"/>
      <c r="G6" s="18"/>
      <c r="H6" s="9"/>
    </row>
    <row r="7" spans="1:8" ht="36" customHeight="1">
      <c r="A7" s="1"/>
      <c r="B7" s="19" t="s">
        <v>7</v>
      </c>
      <c r="C7" s="19"/>
      <c r="D7" s="20"/>
      <c r="E7" s="20"/>
      <c r="F7" s="55" t="s">
        <v>8</v>
      </c>
      <c r="G7" s="49" t="s">
        <v>37</v>
      </c>
      <c r="H7" s="21"/>
    </row>
    <row r="8" spans="1:8" ht="15.95" customHeight="1">
      <c r="A8" s="1"/>
      <c r="B8" s="19" t="s">
        <v>10</v>
      </c>
      <c r="C8" s="19"/>
      <c r="D8" s="22"/>
      <c r="E8" s="22"/>
      <c r="F8" s="60" t="s">
        <v>11</v>
      </c>
      <c r="G8" s="50" t="s">
        <v>38</v>
      </c>
      <c r="H8" s="21"/>
    </row>
    <row r="9" spans="1:8" ht="15.95" customHeight="1">
      <c r="A9" s="1"/>
      <c r="B9" s="19"/>
      <c r="C9" s="23"/>
      <c r="D9" s="20"/>
      <c r="E9" s="20"/>
      <c r="F9" s="56"/>
      <c r="G9" s="52" t="s">
        <v>39</v>
      </c>
      <c r="H9" s="21"/>
    </row>
    <row r="10" spans="1:8" ht="15.95" customHeight="1">
      <c r="A10" s="1"/>
      <c r="B10" s="19"/>
      <c r="C10" s="19"/>
      <c r="D10" s="22"/>
      <c r="E10" s="22"/>
      <c r="F10" s="61" t="s">
        <v>14</v>
      </c>
      <c r="G10" s="51" t="s">
        <v>40</v>
      </c>
      <c r="H10" s="21"/>
    </row>
    <row r="11" spans="1:8" ht="15.95" customHeight="1">
      <c r="A11" s="1"/>
      <c r="B11" s="24"/>
      <c r="C11" s="22"/>
      <c r="D11" s="20"/>
      <c r="E11" s="20"/>
      <c r="F11" s="55" t="s">
        <v>16</v>
      </c>
      <c r="G11" s="51" t="s">
        <v>17</v>
      </c>
      <c r="H11" s="21"/>
    </row>
    <row r="12" spans="1:8" ht="60.95" customHeight="1">
      <c r="A12" s="1"/>
      <c r="B12" s="25"/>
      <c r="C12" s="13"/>
      <c r="D12" s="13"/>
      <c r="E12" s="13"/>
      <c r="F12" s="13"/>
      <c r="G12" s="13"/>
      <c r="H12" s="16"/>
    </row>
    <row r="13" spans="1:8" ht="26.1" customHeight="1">
      <c r="A13" s="1"/>
      <c r="B13" s="37" t="s">
        <v>18</v>
      </c>
      <c r="C13" s="37" t="s">
        <v>19</v>
      </c>
      <c r="D13" s="38" t="s">
        <v>20</v>
      </c>
      <c r="E13" s="38" t="s">
        <v>21</v>
      </c>
      <c r="F13" s="38" t="s">
        <v>22</v>
      </c>
      <c r="G13" s="38" t="s">
        <v>23</v>
      </c>
      <c r="H13" s="26"/>
    </row>
    <row r="14" spans="1:8" ht="39" customHeight="1">
      <c r="A14" s="1"/>
      <c r="B14" s="37">
        <v>1</v>
      </c>
      <c r="C14" s="37" t="s">
        <v>24</v>
      </c>
      <c r="D14" s="39">
        <v>20</v>
      </c>
      <c r="E14" s="46">
        <v>7019.35</v>
      </c>
      <c r="F14" s="46">
        <v>0</v>
      </c>
      <c r="G14" s="46">
        <f>IFERROR(IF(SimpleInvoice671113161821[[#This Row],[Unit price]]="","",(SimpleInvoice671113161821[[#This Row],[Qty]]*SimpleInvoice671113161821[[#This Row],[Unit price]])-SimpleInvoice671113161821[[#This Row],[Discount]]),"")</f>
        <v>140387</v>
      </c>
      <c r="H14" s="26"/>
    </row>
    <row r="15" spans="1:8" ht="28.5" customHeight="1">
      <c r="A15" s="1"/>
      <c r="B15" s="37">
        <v>2</v>
      </c>
      <c r="C15" s="37" t="s">
        <v>51</v>
      </c>
      <c r="D15" s="39">
        <v>60</v>
      </c>
      <c r="E15" s="46">
        <v>2500</v>
      </c>
      <c r="F15" s="46">
        <v>167</v>
      </c>
      <c r="G15" s="46">
        <f>IFERROR(IF(SimpleInvoice671113161821[[#This Row],[Unit price]]="","",(SimpleInvoice671113161821[[#This Row],[Qty]]*SimpleInvoice671113161821[[#This Row],[Unit price]])-SimpleInvoice671113161821[[#This Row],[Discount]]),"")</f>
        <v>149833</v>
      </c>
      <c r="H15" s="26"/>
    </row>
    <row r="16" spans="1:8" ht="26.1" customHeight="1">
      <c r="A16" s="1"/>
      <c r="B16" s="37">
        <v>3</v>
      </c>
      <c r="C16" s="37" t="s">
        <v>52</v>
      </c>
      <c r="D16" s="39">
        <v>20</v>
      </c>
      <c r="E16" s="46">
        <v>250</v>
      </c>
      <c r="F16" s="46">
        <v>0</v>
      </c>
      <c r="G16" s="46">
        <v>9000</v>
      </c>
      <c r="H16" s="26"/>
    </row>
    <row r="17" spans="1:8" ht="26.1" customHeight="1">
      <c r="A17" s="1"/>
      <c r="B17" s="37">
        <v>4</v>
      </c>
      <c r="C17" s="37" t="s">
        <v>53</v>
      </c>
      <c r="D17" s="39">
        <v>20</v>
      </c>
      <c r="E17" s="46">
        <v>560</v>
      </c>
      <c r="F17" s="46">
        <v>0</v>
      </c>
      <c r="G17" s="47">
        <f>IFERROR(IF(SimpleInvoice671113161821[[#This Row],[Unit price]]="","",(SimpleInvoice671113161821[[#This Row],[Qty]]*SimpleInvoice671113161821[[#This Row],[Unit price]])-SimpleInvoice671113161821[[#This Row],[Discount]]),"")</f>
        <v>11200</v>
      </c>
      <c r="H17" s="26"/>
    </row>
    <row r="18" spans="1:8" ht="26.1" customHeight="1">
      <c r="A18" s="1"/>
      <c r="B18" s="37">
        <v>5</v>
      </c>
      <c r="C18" s="37" t="s">
        <v>54</v>
      </c>
      <c r="D18" s="39">
        <v>20</v>
      </c>
      <c r="E18" s="46">
        <v>733</v>
      </c>
      <c r="F18" s="46">
        <v>0</v>
      </c>
      <c r="G18" s="46">
        <f>IFERROR(IF(SimpleInvoice671113161821[[#This Row],[Unit price]]="","",(SimpleInvoice671113161821[[#This Row],[Qty]]*SimpleInvoice671113161821[[#This Row],[Unit price]])-SimpleInvoice671113161821[[#This Row],[Discount]]),"")</f>
        <v>14660</v>
      </c>
      <c r="H18" s="26"/>
    </row>
    <row r="19" spans="1:8" ht="26.1" customHeight="1">
      <c r="A19" s="1"/>
      <c r="B19" s="37"/>
      <c r="C19" s="37"/>
      <c r="D19" s="39"/>
      <c r="E19" s="40"/>
      <c r="F19" s="41"/>
      <c r="G19" s="40" t="str">
        <f>IFERROR(IF(SimpleInvoice671113161821[[#This Row],[Unit price]]="","",(SimpleInvoice671113161821[[#This Row],[Qty]]*SimpleInvoice671113161821[[#This Row],[Unit price]])-SimpleInvoice671113161821[[#This Row],[Discount]]),"")</f>
        <v/>
      </c>
      <c r="H19" s="26"/>
    </row>
    <row r="20" spans="1:8" ht="26.1" customHeight="1">
      <c r="A20" s="1"/>
      <c r="B20" s="37"/>
      <c r="C20" s="37"/>
      <c r="D20" s="39"/>
      <c r="E20" s="40"/>
      <c r="F20" s="41"/>
      <c r="G20" s="40" t="str">
        <f>IFERROR(IF(SimpleInvoice671113161821[[#This Row],[Unit price]]="","",(SimpleInvoice671113161821[[#This Row],[Qty]]*SimpleInvoice671113161821[[#This Row],[Unit price]])-SimpleInvoice671113161821[[#This Row],[Discount]]),"")</f>
        <v/>
      </c>
      <c r="H20" s="26"/>
    </row>
    <row r="21" spans="1:8" ht="26.1" customHeight="1">
      <c r="A21" s="1"/>
      <c r="B21" s="37"/>
      <c r="C21" s="37"/>
      <c r="D21" s="39"/>
      <c r="E21" s="40"/>
      <c r="F21" s="41"/>
      <c r="G21" s="40" t="str">
        <f>IFERROR(IF(SimpleInvoice671113161821[[#This Row],[Unit price]]="","",(SimpleInvoice671113161821[[#This Row],[Qty]]*SimpleInvoice671113161821[[#This Row],[Unit price]])-SimpleInvoice671113161821[[#This Row],[Discount]]),"")</f>
        <v/>
      </c>
      <c r="H21" s="26"/>
    </row>
    <row r="22" spans="1:8" ht="26.1" customHeight="1">
      <c r="A22" s="1"/>
      <c r="B22" s="27"/>
      <c r="C22" s="27"/>
      <c r="D22" s="13"/>
      <c r="E22" s="13"/>
      <c r="F22" s="28" t="s">
        <v>25</v>
      </c>
      <c r="G22" s="62">
        <f>SUM(SimpleInvoice671113161821[Price])</f>
        <v>325080</v>
      </c>
      <c r="H22" s="26"/>
    </row>
    <row r="23" spans="1:8" ht="26.1" customHeight="1">
      <c r="A23" s="1"/>
      <c r="B23" s="27"/>
      <c r="C23" s="27"/>
      <c r="D23" s="13"/>
      <c r="E23" s="13"/>
      <c r="F23" s="28" t="s">
        <v>26</v>
      </c>
      <c r="G23" s="44">
        <v>9.7000000000000003E-2</v>
      </c>
      <c r="H23" s="26"/>
    </row>
    <row r="24" spans="1:8" ht="26.1" customHeight="1">
      <c r="A24" s="1"/>
      <c r="B24" s="27"/>
      <c r="C24" s="27"/>
      <c r="D24" s="13"/>
      <c r="E24" s="13"/>
      <c r="F24" s="28" t="s">
        <v>27</v>
      </c>
      <c r="G24" s="62">
        <v>31500</v>
      </c>
      <c r="H24" s="26"/>
    </row>
    <row r="25" spans="1:8" ht="26.1" customHeight="1">
      <c r="A25" s="1"/>
      <c r="B25" s="29"/>
      <c r="C25" s="29"/>
      <c r="D25" s="29"/>
      <c r="E25" s="30"/>
      <c r="F25" s="28" t="s">
        <v>28</v>
      </c>
      <c r="G25" s="43">
        <v>0</v>
      </c>
      <c r="H25" s="26"/>
    </row>
    <row r="26" spans="1:8" ht="26.1" customHeight="1">
      <c r="A26" s="1"/>
      <c r="B26" s="31"/>
      <c r="C26" s="31"/>
      <c r="D26" s="31"/>
      <c r="E26" s="32"/>
      <c r="F26" s="33" t="s">
        <v>29</v>
      </c>
      <c r="G26" s="63">
        <f>G24+G22</f>
        <v>356580</v>
      </c>
      <c r="H26" s="16"/>
    </row>
    <row r="27" spans="1:8" ht="50.1" customHeight="1">
      <c r="A27" s="1"/>
      <c r="B27" s="27"/>
      <c r="C27" s="27"/>
      <c r="D27" s="27"/>
      <c r="E27" s="27"/>
      <c r="F27" s="27"/>
      <c r="G27" s="27"/>
      <c r="H27" s="1"/>
    </row>
    <row r="28" spans="1:8" ht="15" customHeight="1">
      <c r="A28" s="1"/>
      <c r="B28" s="68" t="str">
        <f>"Please make all checks payable to " &amp; C2 &amp; IF(C3="",""," " &amp; C3) &amp; "."</f>
        <v>Please make all checks payable to Allcargo Logistics.</v>
      </c>
      <c r="C28" s="68"/>
      <c r="D28" s="68"/>
      <c r="E28" s="68"/>
      <c r="F28" s="68"/>
      <c r="G28" s="68"/>
      <c r="H28" s="1"/>
    </row>
    <row r="29" spans="1:8" ht="15" customHeight="1">
      <c r="A29" s="1"/>
      <c r="B29" s="68" t="s">
        <v>30</v>
      </c>
      <c r="C29" s="68"/>
      <c r="D29" s="68"/>
      <c r="E29" s="68"/>
      <c r="F29" s="68"/>
      <c r="G29" s="68"/>
      <c r="H29" s="1"/>
    </row>
    <row r="30" spans="1:8" ht="15.95" customHeight="1">
      <c r="A30" s="1"/>
      <c r="B30" s="68"/>
      <c r="C30" s="68"/>
      <c r="D30" s="68"/>
      <c r="E30" s="68"/>
      <c r="F30" s="68"/>
      <c r="G30" s="68"/>
      <c r="H30" s="1"/>
    </row>
    <row r="31" spans="1:8" ht="59.1" customHeight="1">
      <c r="A31" s="1"/>
      <c r="B31" s="1"/>
      <c r="C31" s="1"/>
      <c r="D31" s="1"/>
      <c r="E31" s="1"/>
      <c r="F31" s="1"/>
      <c r="G31" s="1"/>
      <c r="H31" s="1"/>
    </row>
  </sheetData>
  <sheetProtection formatCells="0" formatColumns="0" formatRows="0" selectLockedCells="1" sort="0"/>
  <mergeCells count="5">
    <mergeCell ref="C2:D2"/>
    <mergeCell ref="C3:D4"/>
    <mergeCell ref="B28:G28"/>
    <mergeCell ref="B29:G29"/>
    <mergeCell ref="B30:G30"/>
  </mergeCells>
  <dataValidations count="36">
    <dataValidation allowBlank="1" showInputMessage="1" showErrorMessage="1" prompt="Company name is automatically appended in this cell" sqref="B28:G28" xr:uid="{7FCF5C5A-2890-48C5-BA5B-34731C7DA086}"/>
    <dataValidation allowBlank="1" showInputMessage="1" showErrorMessage="1" prompt="Replace the number of days in which the balance is due and service charge percent per month in this cell" sqref="B29:G29" xr:uid="{66397234-0A00-4CD1-A906-155303604697}"/>
    <dataValidation allowBlank="1" showInputMessage="1" showErrorMessage="1" prompt="Modify company name in this cell and the cell below. Enter company address, phone, fax, and email in cells B7 to B11. Enter Billing details in cells G3 to G11." sqref="C2:D2" xr:uid="{5C8C46BB-093D-4A3D-AD65-73912D49318B}"/>
    <dataValidation allowBlank="1" showInputMessage="1" showErrorMessage="1" prompt="Update this cell with your company's email address and website" sqref="B30:G30" xr:uid="{B9ED7002-15A7-4B9D-8BD7-0DD006318BB2}"/>
    <dataValidation allowBlank="1" showInputMessage="1" showErrorMessage="1" prompt="Enter customer city, state, and ZIP in this cell" sqref="G9" xr:uid="{05B1AE5A-894F-4735-A7B5-1FC966D2C665}"/>
    <dataValidation allowBlank="1" showInputMessage="1" showErrorMessage="1" prompt="Enter customer phone number in this cell" sqref="G10" xr:uid="{FCFED45C-2874-45E0-AF67-F41045F6DA02}"/>
    <dataValidation allowBlank="1" showInputMessage="1" showErrorMessage="1" prompt="Enter customer phone number in the cell at right" sqref="F10" xr:uid="{F8CD76F7-CEFE-4A77-9022-2B5663F5C66A}"/>
    <dataValidation allowBlank="1" showInputMessage="1" showErrorMessage="1" prompt="Enter customer street address in this cell" sqref="G8" xr:uid="{7841C7C6-57D9-4983-989B-FC98EB7F2564}"/>
    <dataValidation allowBlank="1" showInputMessage="1" showErrorMessage="1" prompt="Enter customer address in the cell at right" sqref="F8" xr:uid="{FDC50323-D4E7-485A-B5B7-9A1136B112E7}"/>
    <dataValidation allowBlank="1" showInputMessage="1" showErrorMessage="1" prompt="Enter customer name in this cell" sqref="G7" xr:uid="{D4AECEB5-C321-44E0-B5A2-84C7D7438342}"/>
    <dataValidation allowBlank="1" showInputMessage="1" showErrorMessage="1" prompt="Enter customer name in the cell at right" sqref="F7" xr:uid="{3C3C20B9-CE19-4284-B18A-13F74B18FB81}"/>
    <dataValidation allowBlank="1" showInputMessage="1" showErrorMessage="1" prompt="Enter company fax number in this cell" sqref="B10" xr:uid="{AF5A4EF1-8EF7-4066-A2D4-A2C3BD782060}"/>
    <dataValidation allowBlank="1" showInputMessage="1" showErrorMessage="1" prompt="Enter company's city, state, and ZIP in this cell" sqref="B8" xr:uid="{0B8F06CE-3FE5-4F9C-9C56-CF7CBC12EE9D}"/>
    <dataValidation allowBlank="1" showInputMessage="1" showErrorMessage="1" prompt="Enter invoice date in the cell at right" sqref="F4" xr:uid="{C0A07B90-F5A6-4BE8-B96C-42D43D019290}"/>
    <dataValidation allowBlank="1" showInputMessage="1" showErrorMessage="1" prompt="Enter your company street address in this cell" sqref="B7" xr:uid="{B6015E3C-6DC2-4759-94AF-E2EEC9F6D57C}"/>
    <dataValidation allowBlank="1" showInputMessage="1" showErrorMessage="1" prompt="Enter job type in this cell" sqref="G5" xr:uid="{7855B94B-FF97-4353-9B42-AC0231246BE3}"/>
    <dataValidation allowBlank="1" showInputMessage="1" showErrorMessage="1" prompt="Enter job type in the cell at right" sqref="F5" xr:uid="{C3200616-FC24-46C3-B0E6-F892A54873CD}"/>
    <dataValidation allowBlank="1" showInputMessage="1" showErrorMessage="1" prompt="Enter invoice # in this cell" sqref="G3" xr:uid="{F656B36C-242F-4883-88D5-C9B9E0FBAD37}"/>
    <dataValidation allowBlank="1" showInputMessage="1" showErrorMessage="1" prompt="Enter invoice # in the cell at right" sqref="F3" xr:uid="{B4B9231A-E348-45C6-8D2E-BFF8FAA00163}"/>
    <dataValidation allowBlank="1" showInputMessage="1" showErrorMessage="1" prompt="Enter invoice date in this cell" sqref="G4" xr:uid="{5E7DD2E1-8F1E-4866-8CCD-6D386D7B1B84}"/>
    <dataValidation allowBlank="1" showInputMessage="1" showErrorMessage="1" prompt="Create a simple invoice in this worksheet" sqref="A1" xr:uid="{DC301A01-B085-4CB1-A659-8E5CA16BEA7E}"/>
    <dataValidation allowBlank="1" showInputMessage="1" showErrorMessage="1" prompt="Enter company email address in this cell" sqref="B11" xr:uid="{8A88BEE8-00CB-48BC-9440-6E06989F9387}"/>
    <dataValidation allowBlank="1" showInputMessage="1" showErrorMessage="1" prompt="Enter company phone number in this cell" sqref="B9" xr:uid="{6D953383-3427-4007-A833-676C5C282658}"/>
    <dataValidation allowBlank="1" showInputMessage="1" showErrorMessage="1" prompt="Enter customer fax number in this cell" sqref="G11" xr:uid="{45C1240E-12E0-41A0-A4EC-B70943341C49}"/>
    <dataValidation allowBlank="1" showInputMessage="1" showErrorMessage="1" prompt="Enter customer fax number in the cell at right" sqref="F11" xr:uid="{8CEA0425-8884-4643-AD6B-3C8EBF63A102}"/>
    <dataValidation allowBlank="1" showInputMessage="1" showErrorMessage="1" prompt="Enter Item number in this column under this heading" sqref="B13" xr:uid="{AAE1D500-4EBD-4C82-BD6F-1C5BA4EA6F87}"/>
    <dataValidation allowBlank="1" showInputMessage="1" showErrorMessage="1" prompt="Enter Description in this column under this heading" sqref="C13" xr:uid="{F4DB21F9-DD5D-46B4-852F-E3BE8EA1B187}"/>
    <dataValidation allowBlank="1" showInputMessage="1" showErrorMessage="1" prompt="Enter Quantity in this column under this heading" sqref="D13" xr:uid="{620A40DC-F32F-4DFA-BDFE-F5883D73649A}"/>
    <dataValidation allowBlank="1" showInputMessage="1" showErrorMessage="1" prompt="Enter Unit Price in this column under this heading" sqref="E13" xr:uid="{CA96F1EB-C39D-4216-995E-0BCD03B68A12}"/>
    <dataValidation allowBlank="1" showInputMessage="1" showErrorMessage="1" prompt="Enter Discount in this column under this heading" sqref="F13" xr:uid="{3A385243-9816-45E7-9F34-4C11AE3EF3AF}"/>
    <dataValidation allowBlank="1" showInputMessage="1" showErrorMessage="1" prompt="Price is auto calculated under this heading" sqref="G13" xr:uid="{7657E0C5-41D2-472E-85F5-4B4AB1C5B37C}"/>
    <dataValidation allowBlank="1" showInputMessage="1" showErrorMessage="1" prompt="The subtotal amount is automatically calculated in this cell" sqref="G22" xr:uid="{FC0B6F55-2821-4E2F-AA80-6180BB4F7CA3}"/>
    <dataValidation allowBlank="1" showInputMessage="1" showErrorMessage="1" prompt="Enter tax rate in this cell" sqref="G23" xr:uid="{1632B4DD-CD39-4769-A39C-2AC680BD1350}"/>
    <dataValidation allowBlank="1" showInputMessage="1" showErrorMessage="1" prompt="The sales tax is automatically calculated in this cell" sqref="G24" xr:uid="{9DDDBE8D-6B28-400C-9C35-576140A8C939}"/>
    <dataValidation allowBlank="1" showInputMessage="1" showErrorMessage="1" prompt="Enter the deposit amount, if any" sqref="G25" xr:uid="{CBADFBD4-9EE3-493D-95CF-B8876501926E}"/>
    <dataValidation allowBlank="1" showInputMessage="1" showErrorMessage="1" prompt="The total amount is automatically calculated in this cell" sqref="G26" xr:uid="{F8CD3C58-7DB1-49D7-BA77-EBFD64E09D2C}"/>
  </dataValidations>
  <printOptions horizontalCentered="1"/>
  <pageMargins left="0.23622047244094491" right="0.23622047244094491" top="0.74803149606299213" bottom="0.74803149606299213" header="0.31496062992125984" footer="0.31496062992125984"/>
  <pageSetup scale="80" fitToHeight="0" orientation="portrait" r:id="rId1"/>
  <headerFooter scaleWithDoc="0" alignWithMargins="0"/>
  <ignoredErrors>
    <ignoredError sqref="G16" calculatedColumn="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B52B035C6CA04981B992748DAF1181" ma:contentTypeVersion="11" ma:contentTypeDescription="Create a new document." ma:contentTypeScope="" ma:versionID="689806a56c686e51608d85adb48373cc">
  <xsd:schema xmlns:xsd="http://www.w3.org/2001/XMLSchema" xmlns:xs="http://www.w3.org/2001/XMLSchema" xmlns:p="http://schemas.microsoft.com/office/2006/metadata/properties" xmlns:ns2="a3ee3419-f813-43ff-8070-dce059c64b7d" xmlns:ns3="1e3a9498-45e1-4121-9cf9-83f762cff582" targetNamespace="http://schemas.microsoft.com/office/2006/metadata/properties" ma:root="true" ma:fieldsID="44474cc27978a1f6453014522ae89bb3" ns2:_="" ns3:_="">
    <xsd:import namespace="a3ee3419-f813-43ff-8070-dce059c64b7d"/>
    <xsd:import namespace="1e3a9498-45e1-4121-9cf9-83f762cff5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ee3419-f813-43ff-8070-dce059c64b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e96a25b-9aa6-4704-857f-a82f0192e78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3a9498-45e1-4121-9cf9-83f762cff5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1dc4f6-3018-41bc-847a-4a554e8662aa}" ma:internalName="TaxCatchAll" ma:showField="CatchAllData" ma:web="1e3a9498-45e1-4121-9cf9-83f762cff5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e3a9498-45e1-4121-9cf9-83f762cff582" xsi:nil="true"/>
    <lcf76f155ced4ddcb4097134ff3c332f xmlns="a3ee3419-f813-43ff-8070-dce059c64b7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D7B24A-7EB7-4211-9265-CDD63E9A102B}"/>
</file>

<file path=customXml/itemProps2.xml><?xml version="1.0" encoding="utf-8"?>
<ds:datastoreItem xmlns:ds="http://schemas.openxmlformats.org/officeDocument/2006/customXml" ds:itemID="{D1339199-89B4-4D89-B804-0058AC96CA42}"/>
</file>

<file path=customXml/itemProps3.xml><?xml version="1.0" encoding="utf-8"?>
<ds:datastoreItem xmlns:ds="http://schemas.openxmlformats.org/officeDocument/2006/customXml" ds:itemID="{3FF0F6D8-810E-4212-9EE6-9586F0C08C27}"/>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Abdul Irfan Yerraballi</cp:lastModifiedBy>
  <cp:revision/>
  <dcterms:created xsi:type="dcterms:W3CDTF">2023-09-06T10:30:21Z</dcterms:created>
  <dcterms:modified xsi:type="dcterms:W3CDTF">2024-10-14T06:39:57Z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0x0101001BB52B035C6CA04981B992748DAF1181</vt:lpwstr>
  </property>
</Properties>
</file>