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rapidspectrum.sharepoint.com/sites/GoldenDB/Shared Documents/FA Team/Demo 2.0/02. Invoices for Demo Data OCR/Usha Folder/"/>
    </mc:Choice>
  </mc:AlternateContent>
  <xr:revisionPtr revIDLastSave="139" documentId="8_{02895B7A-3FF2-418D-B581-69759B831E4E}" xr6:coauthVersionLast="47" xr6:coauthVersionMax="47" xr10:uidLastSave="{200B1295-5A4D-4AA0-AA8E-D6E4C0C15DC5}"/>
  <bookViews>
    <workbookView xWindow="-108" yWindow="-108" windowWidth="23256" windowHeight="12456" activeTab="4" xr2:uid="{00000000-000D-0000-FFFF-FFFF00000000}"/>
  </bookViews>
  <sheets>
    <sheet name="Zenefits-1" sheetId="1" r:id="rId1"/>
    <sheet name="Zenefits-2" sheetId="2" r:id="rId2"/>
    <sheet name="Zenefits-3" sheetId="3" r:id="rId3"/>
    <sheet name="Zenefits-4" sheetId="4" r:id="rId4"/>
    <sheet name="Zenefits-5" sheetId="5" r:id="rId5"/>
    <sheet name="Zenefits-6" sheetId="6" r:id="rId6"/>
    <sheet name="Zenefits-7" sheetId="7" r:id="rId7"/>
    <sheet name="Zenefits-8" sheetId="8" r:id="rId8"/>
    <sheet name="Zenefits-9" sheetId="9" r:id="rId9"/>
    <sheet name="Zenefits-10" sheetId="10" r:id="rId10"/>
  </sheets>
  <definedNames>
    <definedName name="_xlnm.Print_Area" localSheetId="0">'Zenefits-1'!$A$1:$F$28</definedName>
    <definedName name="_xlnm.Print_Area" localSheetId="9">'Zenefits-10'!$A$1:$F$28</definedName>
    <definedName name="_xlnm.Print_Area" localSheetId="1">'Zenefits-2'!$A$1:$F$28</definedName>
    <definedName name="_xlnm.Print_Area" localSheetId="2">'Zenefits-3'!$A$1:$F$28</definedName>
    <definedName name="_xlnm.Print_Area" localSheetId="3">'Zenefits-4'!$A$1:$F$28</definedName>
    <definedName name="_xlnm.Print_Area" localSheetId="4">'Zenefits-5'!$A$1:$F$28</definedName>
    <definedName name="_xlnm.Print_Area" localSheetId="5">'Zenefits-6'!$A$1:$F$28</definedName>
    <definedName name="_xlnm.Print_Area" localSheetId="6">'Zenefits-7'!$A$1:$F$28</definedName>
    <definedName name="_xlnm.Print_Area" localSheetId="7">'Zenefits-8'!$A$1:$F$28</definedName>
    <definedName name="_xlnm.Print_Area" localSheetId="8">'Zenefits-9'!$A$1:$F$28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0" l="1"/>
  <c r="F24" i="9"/>
  <c r="F24" i="8"/>
  <c r="F25" i="7"/>
  <c r="F24" i="7"/>
  <c r="F25" i="6"/>
  <c r="F24" i="6"/>
  <c r="F26" i="5"/>
  <c r="F25" i="5"/>
  <c r="F24" i="5"/>
  <c r="F26" i="4"/>
  <c r="F25" i="4"/>
  <c r="F24" i="4"/>
  <c r="F26" i="3"/>
  <c r="F25" i="3"/>
  <c r="F25" i="2"/>
  <c r="F26" i="2" s="1"/>
  <c r="F25" i="1"/>
  <c r="F15" i="10"/>
  <c r="F15" i="9"/>
  <c r="F15" i="8"/>
  <c r="F15" i="7"/>
  <c r="F15" i="6"/>
  <c r="F23" i="4"/>
  <c r="F15" i="5"/>
  <c r="F16" i="4"/>
  <c r="F15" i="4"/>
  <c r="F26" i="7"/>
  <c r="F26" i="6"/>
  <c r="F26" i="1"/>
  <c r="F26" i="10" l="1"/>
  <c r="F25" i="10"/>
  <c r="F26" i="9"/>
  <c r="F25" i="9"/>
  <c r="F26" i="8"/>
  <c r="F25" i="8"/>
</calcChain>
</file>

<file path=xl/sharedStrings.xml><?xml version="1.0" encoding="utf-8"?>
<sst xmlns="http://schemas.openxmlformats.org/spreadsheetml/2006/main" count="267" uniqueCount="58">
  <si>
    <t>INVOICE</t>
  </si>
  <si>
    <t>Zenefits</t>
  </si>
  <si>
    <t>4869 Stephanie Burgs Suite 896,</t>
  </si>
  <si>
    <t>Mccoyhaven, Minnesota, 66276</t>
  </si>
  <si>
    <r>
      <rPr>
        <b/>
        <sz val="12"/>
        <color rgb="FF000000"/>
        <rFont val="Roboto"/>
      </rPr>
      <t>INVOICE NO.</t>
    </r>
    <r>
      <rPr>
        <b/>
        <sz val="10"/>
        <color rgb="FF000000"/>
        <rFont val="Roboto"/>
      </rPr>
      <t xml:space="preserve"> : 43-48423-ZENE</t>
    </r>
  </si>
  <si>
    <t>Invoice Date:</t>
  </si>
  <si>
    <t>Due Date:</t>
  </si>
  <si>
    <t>BILL TO</t>
  </si>
  <si>
    <t>SHIP TO</t>
  </si>
  <si>
    <t>Steel Horse Auto Inc</t>
  </si>
  <si>
    <t xml:space="preserve"> 265 Lopez Orchard, East John, Michigan,43306</t>
  </si>
  <si>
    <t>(313) 555-1234</t>
  </si>
  <si>
    <t>DESCRIPTION</t>
  </si>
  <si>
    <t>QTY</t>
  </si>
  <si>
    <t>UNIT PRICE</t>
  </si>
  <si>
    <t>TOTAL</t>
  </si>
  <si>
    <r>
      <rPr>
        <sz val="9"/>
        <color rgb="FF000000"/>
        <rFont val="Roboto"/>
      </rPr>
      <t xml:space="preserve">Life Insurance Policy - Halfyearly
</t>
    </r>
    <r>
      <rPr>
        <i/>
        <sz val="9"/>
        <color rgb="FF000000"/>
        <rFont val="Roboto"/>
      </rPr>
      <t>- For 2400 employees</t>
    </r>
  </si>
  <si>
    <t>SUBTOTAL</t>
  </si>
  <si>
    <t>Payment due date, within 30 days</t>
  </si>
  <si>
    <t>Taxes</t>
  </si>
  <si>
    <t>Authorized Signatory</t>
  </si>
  <si>
    <t>Balance Due</t>
  </si>
  <si>
    <t>GRAND TOTAL</t>
  </si>
  <si>
    <t xml:space="preserve">4869 Stephanie Burgs Suite 896,  </t>
  </si>
  <si>
    <t>Mccoyhaven, Minnesota,-66276</t>
  </si>
  <si>
    <r>
      <rPr>
        <b/>
        <sz val="12"/>
        <color rgb="FF000000"/>
        <rFont val="Roboto"/>
      </rPr>
      <t>INVOICE NO.</t>
    </r>
    <r>
      <rPr>
        <b/>
        <sz val="10"/>
        <color rgb="FF000000"/>
        <rFont val="Roboto"/>
      </rPr>
      <t xml:space="preserve"> : 76-81223-ZENE</t>
    </r>
  </si>
  <si>
    <t xml:space="preserve">INVOICE TO </t>
  </si>
  <si>
    <r>
      <rPr>
        <b/>
        <sz val="12"/>
        <color rgb="FF000000"/>
        <rFont val="Roboto"/>
      </rPr>
      <t>INVOICE NO.</t>
    </r>
    <r>
      <rPr>
        <b/>
        <sz val="10"/>
        <color rgb="FF000000"/>
        <rFont val="Roboto"/>
      </rPr>
      <t xml:space="preserve"> : 21-49923-ZENE</t>
    </r>
  </si>
  <si>
    <t>Steel Horse Motors Canada Inc.</t>
  </si>
  <si>
    <t>50 Bay Street, Toronto, Canada, M5J 2X8</t>
  </si>
  <si>
    <t>46 362 234</t>
  </si>
  <si>
    <r>
      <rPr>
        <sz val="9"/>
        <color rgb="FF000000"/>
        <rFont val="Roboto"/>
      </rPr>
      <t xml:space="preserve">Pharmacy benefits For year 2022
</t>
    </r>
    <r>
      <rPr>
        <i/>
        <sz val="9"/>
        <color rgb="FF000000"/>
        <rFont val="Roboto"/>
      </rPr>
      <t>- For 2000 employees</t>
    </r>
  </si>
  <si>
    <t xml:space="preserve">4869 Stephanie Burgs Suite 896, </t>
  </si>
  <si>
    <r>
      <rPr>
        <b/>
        <sz val="12"/>
        <color rgb="FF000000"/>
        <rFont val="Roboto"/>
      </rPr>
      <t>INVOICE NO.</t>
    </r>
    <r>
      <rPr>
        <b/>
        <sz val="10"/>
        <color rgb="FF000000"/>
        <rFont val="Roboto"/>
      </rPr>
      <t xml:space="preserve"> : 68-43223-ZENE</t>
    </r>
  </si>
  <si>
    <t>Stainless steel Flask water bottels</t>
  </si>
  <si>
    <t>Laptop leather Bag</t>
  </si>
  <si>
    <t>Transfer charges</t>
  </si>
  <si>
    <r>
      <rPr>
        <b/>
        <sz val="12"/>
        <color rgb="FF000000"/>
        <rFont val="Roboto"/>
      </rPr>
      <t>INVOICE NO.</t>
    </r>
    <r>
      <rPr>
        <b/>
        <sz val="10"/>
        <color rgb="FF000000"/>
        <rFont val="Roboto"/>
      </rPr>
      <t xml:space="preserve"> : 81-15223-ZENE</t>
    </r>
  </si>
  <si>
    <t>Steel Horse Auto Assembly NJ Inc</t>
  </si>
  <si>
    <t>0015 Angela Mission, Kathyborough, New Jersey.</t>
  </si>
  <si>
    <t>(632) 363-4650</t>
  </si>
  <si>
    <r>
      <rPr>
        <sz val="9"/>
        <color rgb="FF000000"/>
        <rFont val="Roboto"/>
      </rPr>
      <t xml:space="preserve">Golf Club Membership
- </t>
    </r>
    <r>
      <rPr>
        <i/>
        <sz val="9"/>
        <color rgb="FF000000"/>
        <rFont val="Roboto"/>
      </rPr>
      <t>Includes weekly two meal for one member
- Includes ameties &amp; perks</t>
    </r>
  </si>
  <si>
    <t>(For 2000 employees)</t>
  </si>
  <si>
    <r>
      <rPr>
        <b/>
        <sz val="12"/>
        <color rgb="FF000000"/>
        <rFont val="Roboto"/>
      </rPr>
      <t>INVOICE NO.</t>
    </r>
    <r>
      <rPr>
        <b/>
        <sz val="10"/>
        <color rgb="FF000000"/>
        <rFont val="Roboto"/>
      </rPr>
      <t xml:space="preserve"> : 81-17723-ZENE</t>
    </r>
  </si>
  <si>
    <t>Steel Horse Motors Chicago Inc</t>
  </si>
  <si>
    <t>333 West Wacker Drive, Chicago 60606</t>
  </si>
  <si>
    <t>(32) 555 3456</t>
  </si>
  <si>
    <r>
      <rPr>
        <sz val="9"/>
        <color rgb="FF000000"/>
        <rFont val="Roboto"/>
      </rPr>
      <t xml:space="preserve">VIP Membership for Christmas party
</t>
    </r>
    <r>
      <rPr>
        <i/>
        <sz val="9"/>
        <color rgb="FF000000"/>
        <rFont val="Roboto"/>
      </rPr>
      <t>(Includes Music, Food &amp; Alcohol)</t>
    </r>
  </si>
  <si>
    <r>
      <rPr>
        <b/>
        <sz val="12"/>
        <color rgb="FF000000"/>
        <rFont val="Roboto"/>
      </rPr>
      <t>INVOICE NO.</t>
    </r>
    <r>
      <rPr>
        <b/>
        <sz val="10"/>
        <color rgb="FF000000"/>
        <rFont val="Roboto"/>
      </rPr>
      <t xml:space="preserve"> : 81-17923-ZENE</t>
    </r>
  </si>
  <si>
    <t xml:space="preserve">Half-yealy Vacation Pass </t>
  </si>
  <si>
    <t>- (For 500 employees)</t>
  </si>
  <si>
    <r>
      <rPr>
        <b/>
        <sz val="12"/>
        <color rgb="FF000000"/>
        <rFont val="Roboto"/>
      </rPr>
      <t>INVOICE NO.</t>
    </r>
    <r>
      <rPr>
        <b/>
        <sz val="10"/>
        <color rgb="FF000000"/>
        <rFont val="Roboto"/>
      </rPr>
      <t xml:space="preserve"> : 81-20423-ZENE</t>
    </r>
  </si>
  <si>
    <r>
      <rPr>
        <b/>
        <sz val="12"/>
        <color rgb="FF000000"/>
        <rFont val="Roboto"/>
      </rPr>
      <t>INVOICE NO.</t>
    </r>
    <r>
      <rPr>
        <b/>
        <sz val="10"/>
        <color rgb="FF000000"/>
        <rFont val="Roboto"/>
      </rPr>
      <t xml:space="preserve"> : 81-20523-ZENE</t>
    </r>
  </si>
  <si>
    <t>Steel Horse Auto Assembly Lincoln Inc</t>
  </si>
  <si>
    <t xml:space="preserve">21857 Clayton Forges Suite 897, Sherrybury, Lincoln </t>
  </si>
  <si>
    <t>21857 Clayton Forges Suite 897, Sherrybury, Lincoln</t>
  </si>
  <si>
    <t>(186) 556 7297</t>
  </si>
  <si>
    <r>
      <rPr>
        <b/>
        <sz val="12"/>
        <color rgb="FF000000"/>
        <rFont val="Roboto"/>
      </rPr>
      <t>INVOICE NO.</t>
    </r>
    <r>
      <rPr>
        <b/>
        <sz val="10"/>
        <color rgb="FF000000"/>
        <rFont val="Roboto"/>
      </rPr>
      <t xml:space="preserve"> : 81-20623-ZENE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</si>
</sst>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"/>
    <numFmt numFmtId="165" formatCode="[$$-409]#,##0.00"/>
    <numFmt numFmtId="166" formatCode="&quot;$&quot;#,##0.00"/>
  </numFmts>
  <fonts count="36" x14ac:knownFonts="1">
    <font>
      <sz val="10"/>
      <color rgb="FF000000"/>
      <name val="Arial"/>
    </font>
    <font>
      <sz val="12"/>
      <color rgb="FF000000"/>
      <name val="Roboto"/>
    </font>
    <font>
      <b/>
      <sz val="22"/>
      <color rgb="FF4472C4"/>
      <name val="Roboto"/>
    </font>
    <font>
      <b/>
      <sz val="21"/>
      <color rgb="FF666666"/>
      <name val="Roboto"/>
    </font>
    <font>
      <sz val="10"/>
      <color theme="1"/>
      <name val="Roboto"/>
    </font>
    <font>
      <i/>
      <sz val="11"/>
      <color rgb="FF434343"/>
      <name val="Roboto"/>
    </font>
    <font>
      <sz val="18"/>
      <color rgb="FF7F7F7F"/>
      <name val="Roboto"/>
    </font>
    <font>
      <i/>
      <sz val="10"/>
      <color theme="1"/>
      <name val="Arial"/>
      <family val="2"/>
    </font>
    <font>
      <sz val="11"/>
      <color rgb="FFFFFFFF"/>
      <name val="Roboto"/>
    </font>
    <font>
      <b/>
      <sz val="9"/>
      <color rgb="FF1F3864"/>
      <name val="Roboto"/>
    </font>
    <font>
      <sz val="10"/>
      <color rgb="FF000000"/>
      <name val="Roboto"/>
    </font>
    <font>
      <sz val="10"/>
      <name val="Arial"/>
      <family val="2"/>
    </font>
    <font>
      <sz val="9"/>
      <color rgb="FF000000"/>
      <name val="Roboto"/>
    </font>
    <font>
      <b/>
      <sz val="10"/>
      <color rgb="FF000000"/>
      <name val="Roboto"/>
    </font>
    <font>
      <i/>
      <sz val="9"/>
      <color rgb="FF333F4F"/>
      <name val="Roboto"/>
    </font>
    <font>
      <sz val="11"/>
      <color rgb="FF1F3864"/>
      <name val="Roboto"/>
    </font>
    <font>
      <b/>
      <sz val="9"/>
      <color rgb="FFFFFFFF"/>
      <name val="Roboto"/>
    </font>
    <font>
      <b/>
      <sz val="8"/>
      <color rgb="FF333F4F"/>
      <name val="Roboto"/>
    </font>
    <font>
      <b/>
      <sz val="12"/>
      <color theme="1"/>
      <name val="Roboto"/>
    </font>
    <font>
      <b/>
      <sz val="9"/>
      <color theme="1"/>
      <name val="Roboto"/>
    </font>
    <font>
      <sz val="9"/>
      <color rgb="FF333F4F"/>
      <name val="Roboto"/>
    </font>
    <font>
      <sz val="10"/>
      <color rgb="FF333F4F"/>
      <name val="Roboto"/>
    </font>
    <font>
      <b/>
      <sz val="10"/>
      <color theme="3" tint="0.34998626667073579"/>
      <name val="Roboto"/>
    </font>
    <font>
      <b/>
      <sz val="12"/>
      <color rgb="FF000000"/>
      <name val="Roboto"/>
    </font>
    <font>
      <b/>
      <sz val="12"/>
      <color theme="7" tint="-0.499984740745262"/>
      <name val="Roboto"/>
    </font>
    <font>
      <b/>
      <sz val="14"/>
      <color theme="7" tint="-0.499984740745262"/>
      <name val="Arial"/>
      <family val="2"/>
    </font>
    <font>
      <b/>
      <sz val="9"/>
      <color theme="7" tint="-0.499984740745262"/>
      <name val="Roboto"/>
    </font>
    <font>
      <b/>
      <sz val="28"/>
      <color theme="7" tint="-0.499984740745262"/>
      <name val="Roboto"/>
    </font>
    <font>
      <b/>
      <sz val="20"/>
      <color theme="7" tint="-0.499984740745262"/>
      <name val="Roboto"/>
    </font>
    <font>
      <b/>
      <sz val="10"/>
      <color theme="7" tint="-0.499984740745262"/>
      <name val="Roboto"/>
    </font>
    <font>
      <sz val="20"/>
      <color theme="7" tint="-0.499984740745262"/>
      <name val="Roboto"/>
    </font>
    <font>
      <b/>
      <sz val="18"/>
      <color theme="7" tint="-0.499984740745262"/>
      <name val="Roboto"/>
    </font>
    <font>
      <b/>
      <sz val="16"/>
      <color theme="7" tint="-0.499984740745262"/>
      <name val="Roboto"/>
    </font>
    <font>
      <i/>
      <sz val="9"/>
      <color rgb="FF000000"/>
      <name val="Roboto"/>
    </font>
    <font>
      <sz val="11"/>
      <color rgb="FF242424"/>
      <name val="Aptos Narrow"/>
      <family val="2"/>
    </font>
    <font>
      <i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theme="7" tint="-0.499984740745262"/>
        <bgColor rgb="FFC00000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rgb="FFFF7D7D"/>
      </patternFill>
    </fill>
    <fill>
      <patternFill patternType="solid">
        <fgColor theme="7" tint="0.59999389629810485"/>
        <bgColor rgb="FFFF7D7D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BFBFBF"/>
      </bottom>
      <diagonal/>
    </border>
    <border>
      <left style="thin">
        <color rgb="FFBFBFBF"/>
      </left>
      <right style="medium">
        <color indexed="64"/>
      </right>
      <top/>
      <bottom style="thin">
        <color rgb="FFBFBFBF"/>
      </bottom>
      <diagonal/>
    </border>
    <border>
      <left style="medium">
        <color indexed="64"/>
      </left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999999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999999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BFBFBF"/>
      </bottom>
      <diagonal/>
    </border>
    <border>
      <left style="medium">
        <color indexed="64"/>
      </left>
      <right/>
      <top style="thin">
        <color rgb="FF000000"/>
      </top>
      <bottom style="thin">
        <color rgb="FF999999"/>
      </bottom>
      <diagonal/>
    </border>
    <border>
      <left/>
      <right/>
      <top style="thin">
        <color rgb="FF000000"/>
      </top>
      <bottom style="thin">
        <color rgb="FF999999"/>
      </bottom>
      <diagonal/>
    </border>
    <border>
      <left/>
      <right style="medium">
        <color indexed="64"/>
      </right>
      <top style="thin">
        <color rgb="FF000000"/>
      </top>
      <bottom style="thin">
        <color rgb="FF999999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2" fillId="0" borderId="0" xfId="0" applyFont="1" applyAlignment="1">
      <alignment horizontal="right" vertical="center"/>
    </xf>
    <xf numFmtId="0" fontId="4" fillId="0" borderId="0" xfId="0" applyFont="1"/>
    <xf numFmtId="0" fontId="6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5" fillId="0" borderId="0" xfId="0" applyFont="1" applyAlignment="1">
      <alignment vertical="center"/>
    </xf>
    <xf numFmtId="0" fontId="12" fillId="0" borderId="3" xfId="0" applyFont="1" applyBorder="1" applyAlignment="1">
      <alignment horizontal="center" vertical="center"/>
    </xf>
    <xf numFmtId="2" fontId="12" fillId="0" borderId="0" xfId="0" applyNumberFormat="1" applyFont="1" applyAlignment="1">
      <alignment horizontal="right" vertical="center"/>
    </xf>
    <xf numFmtId="0" fontId="12" fillId="2" borderId="6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2" fontId="12" fillId="0" borderId="0" xfId="0" applyNumberFormat="1" applyFont="1" applyAlignment="1">
      <alignment vertical="center"/>
    </xf>
    <xf numFmtId="164" fontId="19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10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2" fontId="12" fillId="0" borderId="13" xfId="0" applyNumberFormat="1" applyFont="1" applyBorder="1" applyAlignment="1">
      <alignment horizontal="center" vertical="center"/>
    </xf>
    <xf numFmtId="2" fontId="12" fillId="0" borderId="16" xfId="0" applyNumberFormat="1" applyFont="1" applyBorder="1" applyAlignment="1">
      <alignment horizontal="center" vertical="center"/>
    </xf>
    <xf numFmtId="14" fontId="10" fillId="0" borderId="27" xfId="0" applyNumberFormat="1" applyFont="1" applyBorder="1" applyAlignment="1">
      <alignment horizontal="left" vertical="center"/>
    </xf>
    <xf numFmtId="14" fontId="10" fillId="0" borderId="28" xfId="0" applyNumberFormat="1" applyFont="1" applyBorder="1" applyAlignment="1">
      <alignment horizontal="left" vertical="top"/>
    </xf>
    <xf numFmtId="165" fontId="12" fillId="0" borderId="13" xfId="0" applyNumberFormat="1" applyFont="1" applyBorder="1" applyAlignment="1">
      <alignment horizontal="center" vertical="center"/>
    </xf>
    <xf numFmtId="165" fontId="12" fillId="0" borderId="24" xfId="0" applyNumberFormat="1" applyFont="1" applyBorder="1" applyAlignment="1">
      <alignment horizontal="center" vertical="center"/>
    </xf>
    <xf numFmtId="165" fontId="18" fillId="5" borderId="24" xfId="0" applyNumberFormat="1" applyFont="1" applyFill="1" applyBorder="1" applyAlignment="1">
      <alignment horizontal="center" vertical="center"/>
    </xf>
    <xf numFmtId="0" fontId="16" fillId="3" borderId="38" xfId="0" applyFont="1" applyFill="1" applyBorder="1" applyAlignment="1">
      <alignment horizontal="center" vertical="center"/>
    </xf>
    <xf numFmtId="0" fontId="10" fillId="0" borderId="39" xfId="0" applyFont="1" applyBorder="1" applyAlignment="1">
      <alignment horizontal="left" vertical="center"/>
    </xf>
    <xf numFmtId="0" fontId="10" fillId="0" borderId="40" xfId="0" applyFont="1" applyBorder="1" applyAlignment="1">
      <alignment horizontal="left" vertical="center"/>
    </xf>
    <xf numFmtId="165" fontId="12" fillId="0" borderId="46" xfId="0" applyNumberFormat="1" applyFont="1" applyBorder="1" applyAlignment="1">
      <alignment horizontal="center" vertical="center"/>
    </xf>
    <xf numFmtId="0" fontId="16" fillId="3" borderId="48" xfId="0" applyFont="1" applyFill="1" applyBorder="1" applyAlignment="1">
      <alignment horizontal="center" vertical="center"/>
    </xf>
    <xf numFmtId="0" fontId="16" fillId="3" borderId="49" xfId="0" applyFont="1" applyFill="1" applyBorder="1" applyAlignment="1">
      <alignment horizontal="center" vertical="center"/>
    </xf>
    <xf numFmtId="166" fontId="12" fillId="0" borderId="13" xfId="0" applyNumberFormat="1" applyFont="1" applyBorder="1" applyAlignment="1">
      <alignment horizontal="center" vertical="center"/>
    </xf>
    <xf numFmtId="166" fontId="34" fillId="0" borderId="50" xfId="0" applyNumberFormat="1" applyFont="1" applyBorder="1" applyAlignment="1">
      <alignment horizontal="center"/>
    </xf>
    <xf numFmtId="0" fontId="20" fillId="0" borderId="0" xfId="0" applyFont="1" applyAlignment="1">
      <alignment horizontal="left" vertical="center"/>
    </xf>
    <xf numFmtId="0" fontId="0" fillId="0" borderId="0" xfId="0"/>
    <xf numFmtId="0" fontId="21" fillId="0" borderId="0" xfId="0" applyFont="1" applyAlignment="1">
      <alignment horizontal="center"/>
    </xf>
    <xf numFmtId="0" fontId="16" fillId="3" borderId="48" xfId="0" applyFont="1" applyFill="1" applyBorder="1" applyAlignment="1">
      <alignment horizontal="center" vertical="center"/>
    </xf>
    <xf numFmtId="0" fontId="11" fillId="4" borderId="48" xfId="0" applyFont="1" applyFill="1" applyBorder="1"/>
    <xf numFmtId="165" fontId="12" fillId="0" borderId="1" xfId="0" applyNumberFormat="1" applyFont="1" applyBorder="1" applyAlignment="1">
      <alignment horizontal="center" vertical="center"/>
    </xf>
    <xf numFmtId="165" fontId="11" fillId="0" borderId="2" xfId="0" applyNumberFormat="1" applyFont="1" applyBorder="1"/>
    <xf numFmtId="0" fontId="12" fillId="2" borderId="4" xfId="0" applyFont="1" applyFill="1" applyBorder="1" applyAlignment="1">
      <alignment horizontal="center" vertical="center"/>
    </xf>
    <xf numFmtId="0" fontId="11" fillId="0" borderId="5" xfId="0" applyFont="1" applyBorder="1"/>
    <xf numFmtId="0" fontId="12" fillId="0" borderId="4" xfId="0" applyFont="1" applyBorder="1" applyAlignment="1">
      <alignment horizontal="center" vertical="center"/>
    </xf>
    <xf numFmtId="0" fontId="24" fillId="0" borderId="19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12" fillId="2" borderId="14" xfId="0" applyFont="1" applyFill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2" fillId="0" borderId="22" xfId="0" applyFont="1" applyBorder="1" applyAlignment="1">
      <alignment horizontal="center" vertical="center"/>
    </xf>
    <xf numFmtId="0" fontId="11" fillId="0" borderId="23" xfId="0" applyFont="1" applyBorder="1"/>
    <xf numFmtId="0" fontId="17" fillId="0" borderId="19" xfId="0" applyFont="1" applyBorder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22" fillId="0" borderId="32" xfId="0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0" fontId="13" fillId="0" borderId="10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26" xfId="0" applyFont="1" applyBorder="1" applyAlignment="1">
      <alignment horizontal="center" wrapText="1"/>
    </xf>
    <xf numFmtId="0" fontId="13" fillId="0" borderId="21" xfId="0" applyFont="1" applyBorder="1" applyAlignment="1">
      <alignment horizontal="center" wrapText="1"/>
    </xf>
    <xf numFmtId="0" fontId="25" fillId="0" borderId="19" xfId="0" applyFont="1" applyBorder="1" applyAlignment="1">
      <alignment horizontal="right" vertical="center"/>
    </xf>
    <xf numFmtId="0" fontId="25" fillId="0" borderId="0" xfId="0" applyFont="1" applyAlignment="1">
      <alignment horizontal="right" vertical="center"/>
    </xf>
    <xf numFmtId="0" fontId="25" fillId="0" borderId="20" xfId="0" applyFont="1" applyBorder="1" applyAlignment="1">
      <alignment horizontal="right" vertical="center"/>
    </xf>
    <xf numFmtId="0" fontId="25" fillId="0" borderId="21" xfId="0" applyFont="1" applyBorder="1" applyAlignment="1">
      <alignment horizontal="right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165" fontId="18" fillId="6" borderId="24" xfId="0" applyNumberFormat="1" applyFont="1" applyFill="1" applyBorder="1" applyAlignment="1">
      <alignment horizontal="center" vertical="center"/>
    </xf>
    <xf numFmtId="0" fontId="0" fillId="7" borderId="41" xfId="0" applyFill="1" applyBorder="1"/>
    <xf numFmtId="0" fontId="0" fillId="7" borderId="42" xfId="0" applyFill="1" applyBorder="1"/>
    <xf numFmtId="0" fontId="0" fillId="7" borderId="43" xfId="0" applyFill="1" applyBorder="1"/>
    <xf numFmtId="0" fontId="13" fillId="0" borderId="18" xfId="0" applyFont="1" applyBorder="1" applyAlignment="1">
      <alignment horizontal="right" vertical="center"/>
    </xf>
    <xf numFmtId="0" fontId="12" fillId="0" borderId="12" xfId="0" applyFont="1" applyBorder="1" applyAlignment="1">
      <alignment horizontal="left" vertical="center" wrapText="1"/>
    </xf>
    <xf numFmtId="0" fontId="11" fillId="0" borderId="2" xfId="0" applyFont="1" applyBorder="1"/>
    <xf numFmtId="0" fontId="13" fillId="0" borderId="25" xfId="0" applyFont="1" applyBorder="1" applyAlignment="1">
      <alignment horizontal="left" vertical="center"/>
    </xf>
    <xf numFmtId="0" fontId="13" fillId="0" borderId="18" xfId="0" applyFont="1" applyBorder="1" applyAlignment="1">
      <alignment horizontal="left" vertical="center"/>
    </xf>
    <xf numFmtId="0" fontId="13" fillId="0" borderId="26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0" fontId="29" fillId="7" borderId="32" xfId="0" applyFont="1" applyFill="1" applyBorder="1" applyAlignment="1">
      <alignment horizontal="left" vertical="center"/>
    </xf>
    <xf numFmtId="0" fontId="29" fillId="7" borderId="29" xfId="0" applyFont="1" applyFill="1" applyBorder="1" applyAlignment="1">
      <alignment horizontal="left" vertical="center"/>
    </xf>
    <xf numFmtId="0" fontId="29" fillId="7" borderId="33" xfId="0" applyFont="1" applyFill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24" fillId="0" borderId="18" xfId="0" applyFont="1" applyBorder="1" applyAlignment="1">
      <alignment horizontal="left" vertical="center"/>
    </xf>
    <xf numFmtId="0" fontId="24" fillId="0" borderId="27" xfId="0" applyFont="1" applyBorder="1" applyAlignment="1">
      <alignment horizontal="left" vertical="center"/>
    </xf>
    <xf numFmtId="0" fontId="13" fillId="0" borderId="21" xfId="0" applyFont="1" applyBorder="1" applyAlignment="1">
      <alignment horizontal="right" vertical="top"/>
    </xf>
    <xf numFmtId="0" fontId="16" fillId="3" borderId="47" xfId="0" applyFont="1" applyFill="1" applyBorder="1" applyAlignment="1">
      <alignment horizontal="center" vertical="center"/>
    </xf>
    <xf numFmtId="0" fontId="31" fillId="8" borderId="7" xfId="0" applyFont="1" applyFill="1" applyBorder="1" applyAlignment="1">
      <alignment horizontal="center" vertical="center"/>
    </xf>
    <xf numFmtId="0" fontId="31" fillId="8" borderId="8" xfId="0" applyFont="1" applyFill="1" applyBorder="1" applyAlignment="1">
      <alignment horizontal="center" vertical="center"/>
    </xf>
    <xf numFmtId="0" fontId="31" fillId="8" borderId="9" xfId="0" applyFont="1" applyFill="1" applyBorder="1" applyAlignment="1">
      <alignment horizontal="center" vertical="center"/>
    </xf>
    <xf numFmtId="0" fontId="30" fillId="0" borderId="10" xfId="0" applyFont="1" applyBorder="1" applyAlignment="1">
      <alignment vertical="center"/>
    </xf>
    <xf numFmtId="0" fontId="30" fillId="0" borderId="0" xfId="0" applyFont="1" applyAlignment="1">
      <alignment vertical="center"/>
    </xf>
    <xf numFmtId="0" fontId="5" fillId="9" borderId="10" xfId="0" applyFont="1" applyFill="1" applyBorder="1" applyAlignment="1">
      <alignment horizontal="left" vertical="center" wrapText="1"/>
    </xf>
    <xf numFmtId="0" fontId="5" fillId="9" borderId="0" xfId="0" applyFont="1" applyFill="1" applyAlignment="1">
      <alignment horizontal="left" vertical="center" wrapText="1"/>
    </xf>
    <xf numFmtId="0" fontId="7" fillId="9" borderId="10" xfId="0" applyFont="1" applyFill="1" applyBorder="1" applyAlignment="1">
      <alignment vertical="center"/>
    </xf>
    <xf numFmtId="0" fontId="7" fillId="9" borderId="0" xfId="0" applyFont="1" applyFill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0" fontId="17" fillId="0" borderId="17" xfId="0" applyFont="1" applyBorder="1" applyAlignment="1">
      <alignment horizontal="right" vertical="center"/>
    </xf>
    <xf numFmtId="0" fontId="17" fillId="0" borderId="18" xfId="0" applyFont="1" applyBorder="1" applyAlignment="1">
      <alignment horizontal="right" vertical="center"/>
    </xf>
    <xf numFmtId="0" fontId="24" fillId="0" borderId="25" xfId="0" applyFont="1" applyBorder="1" applyAlignment="1">
      <alignment horizontal="left" vertical="center"/>
    </xf>
    <xf numFmtId="0" fontId="26" fillId="0" borderId="34" xfId="0" applyFont="1" applyBorder="1" applyAlignment="1">
      <alignment horizontal="left" vertical="center"/>
    </xf>
    <xf numFmtId="0" fontId="26" fillId="0" borderId="15" xfId="0" applyFont="1" applyBorder="1" applyAlignment="1">
      <alignment horizontal="left" vertical="center"/>
    </xf>
    <xf numFmtId="0" fontId="0" fillId="7" borderId="32" xfId="0" applyFill="1" applyBorder="1"/>
    <xf numFmtId="0" fontId="0" fillId="7" borderId="29" xfId="0" applyFill="1" applyBorder="1"/>
    <xf numFmtId="0" fontId="0" fillId="7" borderId="33" xfId="0" applyFill="1" applyBorder="1"/>
    <xf numFmtId="0" fontId="5" fillId="0" borderId="10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6" fillId="3" borderId="31" xfId="0" applyFont="1" applyFill="1" applyBorder="1" applyAlignment="1">
      <alignment horizontal="center" vertical="center"/>
    </xf>
    <xf numFmtId="0" fontId="11" fillId="4" borderId="31" xfId="0" applyFont="1" applyFill="1" applyBorder="1"/>
    <xf numFmtId="0" fontId="25" fillId="0" borderId="44" xfId="0" applyFont="1" applyBorder="1" applyAlignment="1">
      <alignment horizontal="right" vertical="center"/>
    </xf>
    <xf numFmtId="0" fontId="25" fillId="0" borderId="45" xfId="0" applyFont="1" applyBorder="1" applyAlignment="1">
      <alignment horizontal="right" vertical="center"/>
    </xf>
    <xf numFmtId="0" fontId="10" fillId="0" borderId="10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27" fillId="8" borderId="7" xfId="0" applyFont="1" applyFill="1" applyBorder="1" applyAlignment="1">
      <alignment horizontal="center" vertical="center"/>
    </xf>
    <xf numFmtId="0" fontId="28" fillId="8" borderId="8" xfId="0" applyFont="1" applyFill="1" applyBorder="1" applyAlignment="1">
      <alignment horizontal="center" vertical="center"/>
    </xf>
    <xf numFmtId="0" fontId="28" fillId="8" borderId="9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left" vertical="center"/>
    </xf>
    <xf numFmtId="166" fontId="12" fillId="2" borderId="4" xfId="0" applyNumberFormat="1" applyFont="1" applyFill="1" applyBorder="1" applyAlignment="1">
      <alignment horizontal="center" vertical="center"/>
    </xf>
    <xf numFmtId="166" fontId="11" fillId="0" borderId="5" xfId="0" applyNumberFormat="1" applyFont="1" applyBorder="1"/>
    <xf numFmtId="0" fontId="34" fillId="0" borderId="10" xfId="0" applyFont="1" applyBorder="1" applyAlignment="1">
      <alignment horizontal="left" vertical="center"/>
    </xf>
    <xf numFmtId="0" fontId="33" fillId="0" borderId="14" xfId="0" applyFont="1" applyBorder="1" applyAlignment="1">
      <alignment horizontal="left" vertical="center"/>
    </xf>
    <xf numFmtId="0" fontId="35" fillId="0" borderId="5" xfId="0" applyFont="1" applyBorder="1"/>
    <xf numFmtId="0" fontId="12" fillId="2" borderId="14" xfId="0" applyFont="1" applyFill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/>
    </xf>
    <xf numFmtId="0" fontId="12" fillId="0" borderId="5" xfId="0" applyFont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left" vertical="center"/>
    </xf>
    <xf numFmtId="0" fontId="10" fillId="0" borderId="52" xfId="0" applyFont="1" applyBorder="1" applyAlignment="1">
      <alignment horizontal="left" vertical="center"/>
    </xf>
    <xf numFmtId="0" fontId="10" fillId="0" borderId="51" xfId="0" applyFont="1" applyBorder="1" applyAlignment="1">
      <alignment horizontal="left" vertical="center"/>
    </xf>
    <xf numFmtId="0" fontId="33" fillId="2" borderId="14" xfId="0" applyFont="1" applyFill="1" applyBorder="1" applyAlignment="1">
      <alignment horizontal="left" vertical="center"/>
    </xf>
    <xf numFmtId="0" fontId="32" fillId="8" borderId="7" xfId="0" applyFont="1" applyFill="1" applyBorder="1" applyAlignment="1">
      <alignment horizontal="center" vertical="center"/>
    </xf>
    <xf numFmtId="0" fontId="32" fillId="8" borderId="8" xfId="0" applyFont="1" applyFill="1" applyBorder="1" applyAlignment="1">
      <alignment horizontal="center" vertical="center"/>
    </xf>
    <xf numFmtId="0" fontId="32" fillId="8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657225</xdr:colOff>
      <xdr:row>1</xdr:row>
      <xdr:rowOff>19050</xdr:rowOff>
    </xdr:from>
    <xdr:to>
      <xdr:col>5</xdr:col>
      <xdr:colOff>419100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90E0C0-1716-4AAF-B896-AC4F88449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476250"/>
          <a:ext cx="781050" cy="685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657225</xdr:colOff>
      <xdr:row>1</xdr:row>
      <xdr:rowOff>19050</xdr:rowOff>
    </xdr:from>
    <xdr:to>
      <xdr:col>5</xdr:col>
      <xdr:colOff>419100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CA4AF7-EA93-380F-3074-B339AE6F8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476250"/>
          <a:ext cx="781050" cy="685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657225</xdr:colOff>
      <xdr:row>1</xdr:row>
      <xdr:rowOff>19050</xdr:rowOff>
    </xdr:from>
    <xdr:to>
      <xdr:col>5</xdr:col>
      <xdr:colOff>419100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359E56-FD05-4A81-B2E8-FBC729E95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476250"/>
          <a:ext cx="781050" cy="685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657225</xdr:colOff>
      <xdr:row>1</xdr:row>
      <xdr:rowOff>19050</xdr:rowOff>
    </xdr:from>
    <xdr:to>
      <xdr:col>5</xdr:col>
      <xdr:colOff>419100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2B64F6-11B1-4122-9CA3-D7A8D024A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476250"/>
          <a:ext cx="781050" cy="6858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657225</xdr:colOff>
      <xdr:row>1</xdr:row>
      <xdr:rowOff>19050</xdr:rowOff>
    </xdr:from>
    <xdr:to>
      <xdr:col>5</xdr:col>
      <xdr:colOff>419100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083B14-8B00-4613-8223-C4758F382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476250"/>
          <a:ext cx="781050" cy="6858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657225</xdr:colOff>
      <xdr:row>1</xdr:row>
      <xdr:rowOff>19050</xdr:rowOff>
    </xdr:from>
    <xdr:to>
      <xdr:col>5</xdr:col>
      <xdr:colOff>419100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7CA322-373D-4837-9D13-69C0884D4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476250"/>
          <a:ext cx="781050" cy="6858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657225</xdr:colOff>
      <xdr:row>1</xdr:row>
      <xdr:rowOff>19050</xdr:rowOff>
    </xdr:from>
    <xdr:to>
      <xdr:col>5</xdr:col>
      <xdr:colOff>419100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F4E438-8BA7-4744-B955-E28F37E7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476250"/>
          <a:ext cx="781050" cy="6858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657225</xdr:colOff>
      <xdr:row>1</xdr:row>
      <xdr:rowOff>19050</xdr:rowOff>
    </xdr:from>
    <xdr:to>
      <xdr:col>5</xdr:col>
      <xdr:colOff>419100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7D14B1-0DD5-43D2-B6F9-9C3CF807B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476250"/>
          <a:ext cx="781050" cy="6858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657225</xdr:colOff>
      <xdr:row>1</xdr:row>
      <xdr:rowOff>19050</xdr:rowOff>
    </xdr:from>
    <xdr:to>
      <xdr:col>5</xdr:col>
      <xdr:colOff>419100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564572-B421-4B3D-AB05-6A9E87F2D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476250"/>
          <a:ext cx="781050" cy="6858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657225</xdr:colOff>
      <xdr:row>1</xdr:row>
      <xdr:rowOff>19050</xdr:rowOff>
    </xdr:from>
    <xdr:to>
      <xdr:col>5</xdr:col>
      <xdr:colOff>419100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528A5D-B884-4FCE-9FD1-DBD8A7CD0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476250"/>
          <a:ext cx="78105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Green Yellow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outlinePr summaryBelow="0" summaryRight="0"/>
    <pageSetUpPr fitToPage="1"/>
  </sheetPr>
  <dimension ref="A1:G993"/>
  <sheetViews>
    <sheetView showGridLines="0" topLeftCell="A3" zoomScaleNormal="100" workbookViewId="0">
      <selection activeCell="A20" sqref="A20:B20"/>
    </sheetView>
  </sheetViews>
  <sheetFormatPr defaultColWidth="14.44140625" defaultRowHeight="15" customHeight="1" x14ac:dyDescent="0.25"/>
  <cols>
    <col min="1" max="1" width="25.44140625" customWidth="1"/>
    <col min="2" max="2" width="15.5546875" customWidth="1"/>
    <col min="3" max="3" width="11" customWidth="1"/>
    <col min="4" max="4" width="12.109375" customWidth="1"/>
    <col min="5" max="5" width="15.33203125" customWidth="1"/>
    <col min="6" max="6" width="20.44140625" customWidth="1"/>
    <col min="7" max="7" width="7.44140625" customWidth="1"/>
    <col min="8" max="24" width="17.33203125" customWidth="1"/>
  </cols>
  <sheetData>
    <row r="1" spans="1:7" ht="25.5" customHeight="1" x14ac:dyDescent="0.25">
      <c r="A1" s="91" t="s">
        <v>0</v>
      </c>
      <c r="B1" s="92"/>
      <c r="C1" s="92"/>
      <c r="D1" s="92"/>
      <c r="E1" s="92"/>
      <c r="F1" s="93"/>
      <c r="G1" s="1"/>
    </row>
    <row r="2" spans="1:7" ht="20.25" customHeight="1" x14ac:dyDescent="0.25">
      <c r="A2" s="94" t="s">
        <v>1</v>
      </c>
      <c r="B2" s="95"/>
      <c r="C2" s="95"/>
      <c r="D2" s="95"/>
      <c r="E2" s="100"/>
      <c r="F2" s="101"/>
      <c r="G2" s="1"/>
    </row>
    <row r="3" spans="1:7" ht="21" customHeight="1" x14ac:dyDescent="0.25">
      <c r="A3" s="96" t="s">
        <v>2</v>
      </c>
      <c r="B3" s="97"/>
      <c r="C3" s="97"/>
      <c r="D3" s="97"/>
      <c r="E3" s="100"/>
      <c r="F3" s="101"/>
      <c r="G3" s="3"/>
    </row>
    <row r="4" spans="1:7" ht="18.75" customHeight="1" x14ac:dyDescent="0.25">
      <c r="A4" s="98" t="s">
        <v>3</v>
      </c>
      <c r="B4" s="99"/>
      <c r="C4" s="99"/>
      <c r="D4" s="99"/>
      <c r="E4" s="100"/>
      <c r="F4" s="101"/>
      <c r="G4" s="3"/>
    </row>
    <row r="5" spans="1:7" ht="4.2" customHeight="1" x14ac:dyDescent="0.25">
      <c r="A5" s="71"/>
      <c r="B5" s="72"/>
      <c r="C5" s="72"/>
      <c r="D5" s="72"/>
      <c r="E5" s="72"/>
      <c r="F5" s="73"/>
      <c r="G5" s="5"/>
    </row>
    <row r="6" spans="1:7" ht="17.399999999999999" customHeight="1" x14ac:dyDescent="0.25">
      <c r="A6" s="77" t="s">
        <v>4</v>
      </c>
      <c r="B6" s="78"/>
      <c r="C6" s="78"/>
      <c r="D6" s="74" t="s">
        <v>5</v>
      </c>
      <c r="E6" s="74"/>
      <c r="F6" s="25">
        <v>44650</v>
      </c>
      <c r="G6" s="6"/>
    </row>
    <row r="7" spans="1:7" ht="16.95" customHeight="1" x14ac:dyDescent="0.25">
      <c r="A7" s="79"/>
      <c r="B7" s="80"/>
      <c r="C7" s="80"/>
      <c r="D7" s="89" t="s">
        <v>6</v>
      </c>
      <c r="E7" s="89"/>
      <c r="F7" s="26">
        <v>44681</v>
      </c>
      <c r="G7" s="5"/>
    </row>
    <row r="8" spans="1:7" ht="4.2" customHeight="1" x14ac:dyDescent="0.25">
      <c r="A8" s="81"/>
      <c r="B8" s="82"/>
      <c r="C8" s="82"/>
      <c r="D8" s="82"/>
      <c r="E8" s="82"/>
      <c r="F8" s="83"/>
      <c r="G8" s="5"/>
    </row>
    <row r="9" spans="1:7" ht="22.2" customHeight="1" x14ac:dyDescent="0.25">
      <c r="A9" s="104" t="s">
        <v>7</v>
      </c>
      <c r="B9" s="87"/>
      <c r="C9" s="88"/>
      <c r="D9" s="87" t="s">
        <v>8</v>
      </c>
      <c r="E9" s="87"/>
      <c r="F9" s="88"/>
      <c r="G9" s="7"/>
    </row>
    <row r="10" spans="1:7" ht="18" customHeight="1" x14ac:dyDescent="0.25">
      <c r="A10" s="84" t="s">
        <v>9</v>
      </c>
      <c r="B10" s="85"/>
      <c r="C10" s="85"/>
      <c r="D10" s="84" t="s">
        <v>9</v>
      </c>
      <c r="E10" s="85"/>
      <c r="F10" s="86"/>
      <c r="G10" s="4"/>
    </row>
    <row r="11" spans="1:7" ht="18" customHeight="1" x14ac:dyDescent="0.25">
      <c r="A11" s="84" t="s">
        <v>10</v>
      </c>
      <c r="B11" s="85"/>
      <c r="C11" s="85"/>
      <c r="D11" s="84" t="s">
        <v>10</v>
      </c>
      <c r="E11" s="85"/>
      <c r="F11" s="86"/>
      <c r="G11" s="9"/>
    </row>
    <row r="12" spans="1:7" ht="15.75" customHeight="1" x14ac:dyDescent="0.25">
      <c r="A12" s="84" t="s">
        <v>11</v>
      </c>
      <c r="B12" s="85"/>
      <c r="C12" s="85"/>
      <c r="D12" s="84" t="s">
        <v>11</v>
      </c>
      <c r="E12" s="85"/>
      <c r="F12" s="86"/>
      <c r="G12" s="10"/>
    </row>
    <row r="13" spans="1:7" ht="4.2" customHeight="1" x14ac:dyDescent="0.25">
      <c r="A13" s="21"/>
      <c r="B13" s="8"/>
      <c r="D13" s="8"/>
      <c r="E13" s="8"/>
      <c r="F13" s="22"/>
      <c r="G13" s="8"/>
    </row>
    <row r="14" spans="1:7" ht="18" customHeight="1" x14ac:dyDescent="0.25">
      <c r="A14" s="90" t="s">
        <v>12</v>
      </c>
      <c r="B14" s="42"/>
      <c r="C14" s="34" t="s">
        <v>13</v>
      </c>
      <c r="D14" s="41" t="s">
        <v>14</v>
      </c>
      <c r="E14" s="42"/>
      <c r="F14" s="35" t="s">
        <v>15</v>
      </c>
      <c r="G14" s="5"/>
    </row>
    <row r="15" spans="1:7" ht="28.5" customHeight="1" x14ac:dyDescent="0.25">
      <c r="A15" s="75" t="s">
        <v>16</v>
      </c>
      <c r="B15" s="76"/>
      <c r="C15" s="11">
        <v>2400</v>
      </c>
      <c r="D15" s="43">
        <v>325</v>
      </c>
      <c r="E15" s="44"/>
      <c r="F15" s="27">
        <v>780000</v>
      </c>
      <c r="G15" s="12"/>
    </row>
    <row r="16" spans="1:7" ht="18" customHeight="1" x14ac:dyDescent="0.25">
      <c r="A16" s="50"/>
      <c r="B16" s="46"/>
      <c r="C16" s="13"/>
      <c r="D16" s="45"/>
      <c r="E16" s="46"/>
      <c r="F16" s="23"/>
      <c r="G16" s="12"/>
    </row>
    <row r="17" spans="1:7" ht="18" customHeight="1" x14ac:dyDescent="0.25">
      <c r="A17" s="51"/>
      <c r="B17" s="46"/>
      <c r="C17" s="14"/>
      <c r="D17" s="47"/>
      <c r="E17" s="46"/>
      <c r="F17" s="23"/>
      <c r="G17" s="12"/>
    </row>
    <row r="18" spans="1:7" ht="18" customHeight="1" x14ac:dyDescent="0.25">
      <c r="A18" s="50"/>
      <c r="B18" s="46"/>
      <c r="C18" s="13"/>
      <c r="D18" s="45"/>
      <c r="E18" s="46"/>
      <c r="F18" s="23"/>
      <c r="G18" s="12"/>
    </row>
    <row r="19" spans="1:7" ht="18" customHeight="1" x14ac:dyDescent="0.25">
      <c r="A19" s="51"/>
      <c r="B19" s="46"/>
      <c r="C19" s="14"/>
      <c r="D19" s="47"/>
      <c r="E19" s="46"/>
      <c r="F19" s="23"/>
      <c r="G19" s="12"/>
    </row>
    <row r="20" spans="1:7" ht="18" customHeight="1" x14ac:dyDescent="0.25">
      <c r="A20" s="51"/>
      <c r="B20" s="46"/>
      <c r="C20" s="14"/>
      <c r="D20" s="47"/>
      <c r="E20" s="46"/>
      <c r="F20" s="23"/>
      <c r="G20" s="12"/>
    </row>
    <row r="21" spans="1:7" ht="18" customHeight="1" x14ac:dyDescent="0.25">
      <c r="A21" s="50"/>
      <c r="B21" s="46"/>
      <c r="C21" s="13"/>
      <c r="D21" s="45"/>
      <c r="E21" s="46"/>
      <c r="F21" s="23"/>
      <c r="G21" s="12"/>
    </row>
    <row r="22" spans="1:7" ht="18" customHeight="1" x14ac:dyDescent="0.25">
      <c r="A22" s="51"/>
      <c r="B22" s="46"/>
      <c r="C22" s="14"/>
      <c r="D22" s="52"/>
      <c r="E22" s="53"/>
      <c r="F22" s="24"/>
      <c r="G22" s="12"/>
    </row>
    <row r="23" spans="1:7" ht="19.5" customHeight="1" x14ac:dyDescent="0.25">
      <c r="A23" s="105"/>
      <c r="B23" s="106"/>
      <c r="C23" s="106"/>
      <c r="D23" s="102" t="s">
        <v>17</v>
      </c>
      <c r="E23" s="103"/>
      <c r="F23" s="28">
        <v>780000</v>
      </c>
      <c r="G23" s="15"/>
    </row>
    <row r="24" spans="1:7" ht="19.5" customHeight="1" x14ac:dyDescent="0.25">
      <c r="A24" s="56" t="s">
        <v>18</v>
      </c>
      <c r="B24" s="57"/>
      <c r="C24" s="58"/>
      <c r="D24" s="54" t="s">
        <v>19</v>
      </c>
      <c r="E24" s="55"/>
      <c r="F24" s="28">
        <v>19500</v>
      </c>
      <c r="G24" s="15"/>
    </row>
    <row r="25" spans="1:7" ht="18" customHeight="1" x14ac:dyDescent="0.3">
      <c r="A25" s="59" t="s">
        <v>20</v>
      </c>
      <c r="B25" s="60"/>
      <c r="C25" s="60"/>
      <c r="D25" s="48" t="s">
        <v>21</v>
      </c>
      <c r="E25" s="49"/>
      <c r="F25" s="37">
        <f>F26</f>
        <v>799500</v>
      </c>
      <c r="G25" s="16"/>
    </row>
    <row r="26" spans="1:7" ht="22.95" customHeight="1" x14ac:dyDescent="0.25">
      <c r="A26" s="59"/>
      <c r="B26" s="60"/>
      <c r="C26" s="60"/>
      <c r="D26" s="63" t="s">
        <v>22</v>
      </c>
      <c r="E26" s="64"/>
      <c r="F26" s="70">
        <f>F23+F24</f>
        <v>799500</v>
      </c>
      <c r="G26" s="17"/>
    </row>
    <row r="27" spans="1:7" ht="22.95" customHeight="1" x14ac:dyDescent="0.25">
      <c r="A27" s="61"/>
      <c r="B27" s="62"/>
      <c r="C27" s="62"/>
      <c r="D27" s="65"/>
      <c r="E27" s="66"/>
      <c r="F27" s="70"/>
      <c r="G27" s="17"/>
    </row>
    <row r="28" spans="1:7" ht="9.6" customHeight="1" thickBot="1" x14ac:dyDescent="0.3">
      <c r="A28" s="67"/>
      <c r="B28" s="68"/>
      <c r="C28" s="68"/>
      <c r="D28" s="68"/>
      <c r="E28" s="68"/>
      <c r="F28" s="69"/>
      <c r="G28" s="17"/>
    </row>
    <row r="29" spans="1:7" ht="15.75" customHeight="1" x14ac:dyDescent="0.25">
      <c r="A29" s="38"/>
      <c r="B29" s="39"/>
      <c r="C29" s="39"/>
      <c r="D29" s="39"/>
      <c r="E29" s="39"/>
      <c r="F29" s="39"/>
      <c r="G29" s="18"/>
    </row>
    <row r="30" spans="1:7" ht="15.75" customHeight="1" x14ac:dyDescent="0.25">
      <c r="A30" s="38"/>
      <c r="B30" s="39"/>
      <c r="C30" s="39"/>
      <c r="D30" s="39"/>
      <c r="E30" s="39"/>
      <c r="F30" s="39"/>
      <c r="G30" s="19"/>
    </row>
    <row r="31" spans="1:7" ht="21" customHeight="1" x14ac:dyDescent="0.25">
      <c r="A31" s="40"/>
      <c r="B31" s="39"/>
      <c r="C31" s="39"/>
      <c r="D31" s="39"/>
      <c r="E31" s="39"/>
      <c r="F31" s="39"/>
      <c r="G31" s="20"/>
    </row>
    <row r="32" spans="1:7" ht="15.75" customHeight="1" x14ac:dyDescent="0.25">
      <c r="A32" s="2"/>
      <c r="B32" s="2"/>
      <c r="C32" s="2"/>
      <c r="D32" s="2"/>
      <c r="E32" s="2"/>
      <c r="F32" s="2"/>
      <c r="G32" s="2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48">
    <mergeCell ref="A18:B18"/>
    <mergeCell ref="A19:B19"/>
    <mergeCell ref="D23:E23"/>
    <mergeCell ref="A9:C9"/>
    <mergeCell ref="A20:B20"/>
    <mergeCell ref="A23:C23"/>
    <mergeCell ref="A1:F1"/>
    <mergeCell ref="A2:D2"/>
    <mergeCell ref="A3:D3"/>
    <mergeCell ref="A4:D4"/>
    <mergeCell ref="E2:F4"/>
    <mergeCell ref="A5:F5"/>
    <mergeCell ref="D6:E6"/>
    <mergeCell ref="A15:B15"/>
    <mergeCell ref="A16:B16"/>
    <mergeCell ref="A17:B17"/>
    <mergeCell ref="A6:C7"/>
    <mergeCell ref="A8:F8"/>
    <mergeCell ref="A10:C10"/>
    <mergeCell ref="A11:C11"/>
    <mergeCell ref="A12:C12"/>
    <mergeCell ref="D10:F10"/>
    <mergeCell ref="D11:F11"/>
    <mergeCell ref="D12:F12"/>
    <mergeCell ref="D9:F9"/>
    <mergeCell ref="D7:E7"/>
    <mergeCell ref="A14:B14"/>
    <mergeCell ref="A24:C24"/>
    <mergeCell ref="A25:C27"/>
    <mergeCell ref="D26:E27"/>
    <mergeCell ref="A28:F28"/>
    <mergeCell ref="F26:F27"/>
    <mergeCell ref="A30:F30"/>
    <mergeCell ref="A31:F31"/>
    <mergeCell ref="D14:E14"/>
    <mergeCell ref="D15:E15"/>
    <mergeCell ref="D16:E16"/>
    <mergeCell ref="D17:E17"/>
    <mergeCell ref="D18:E18"/>
    <mergeCell ref="D19:E19"/>
    <mergeCell ref="D25:E25"/>
    <mergeCell ref="A21:B21"/>
    <mergeCell ref="D21:E21"/>
    <mergeCell ref="A22:B22"/>
    <mergeCell ref="D22:E22"/>
    <mergeCell ref="D20:E20"/>
    <mergeCell ref="A29:F29"/>
    <mergeCell ref="D24:E24"/>
  </mergeCells>
  <pageMargins left="0.7" right="0.7" top="0.75" bottom="0.75" header="0.3" footer="0.3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B43A6-B73A-400A-921C-6455332FB1FB}">
  <sheetPr>
    <pageSetUpPr fitToPage="1"/>
  </sheetPr>
  <dimension ref="A1:G993"/>
  <sheetViews>
    <sheetView workbookViewId="0">
      <selection sqref="A1:F1"/>
    </sheetView>
  </sheetViews>
  <sheetFormatPr defaultColWidth="14.44140625" defaultRowHeight="13.2" x14ac:dyDescent="0.25"/>
  <cols>
    <col min="1" max="1" width="25.44140625" customWidth="1"/>
    <col min="2" max="2" width="15.5546875" customWidth="1"/>
    <col min="3" max="3" width="11" customWidth="1"/>
    <col min="4" max="4" width="12.109375" customWidth="1"/>
    <col min="5" max="5" width="15.33203125" customWidth="1"/>
    <col min="6" max="6" width="16.44140625" bestFit="1" customWidth="1"/>
    <col min="7" max="7" width="7.44140625" customWidth="1"/>
    <col min="8" max="24" width="17.33203125" customWidth="1"/>
  </cols>
  <sheetData>
    <row r="1" spans="1:7" ht="26.25" customHeight="1" x14ac:dyDescent="0.25">
      <c r="A1" s="91" t="s">
        <v>0</v>
      </c>
      <c r="B1" s="92"/>
      <c r="C1" s="92"/>
      <c r="D1" s="92"/>
      <c r="E1" s="92"/>
      <c r="F1" s="93"/>
      <c r="G1" s="1"/>
    </row>
    <row r="2" spans="1:7" ht="20.25" customHeight="1" x14ac:dyDescent="0.25">
      <c r="A2" s="94" t="s">
        <v>1</v>
      </c>
      <c r="B2" s="95"/>
      <c r="C2" s="95"/>
      <c r="D2" s="95"/>
      <c r="E2" s="100"/>
      <c r="F2" s="101"/>
      <c r="G2" s="1"/>
    </row>
    <row r="3" spans="1:7" ht="21" customHeight="1" x14ac:dyDescent="0.25">
      <c r="A3" s="110" t="s">
        <v>23</v>
      </c>
      <c r="B3" s="111"/>
      <c r="C3" s="111"/>
      <c r="D3" s="111"/>
      <c r="E3" s="100"/>
      <c r="F3" s="101"/>
      <c r="G3" s="3"/>
    </row>
    <row r="4" spans="1:7" ht="18.75" customHeight="1" x14ac:dyDescent="0.25">
      <c r="A4" s="112" t="s">
        <v>24</v>
      </c>
      <c r="B4" s="113"/>
      <c r="C4" s="113"/>
      <c r="D4" s="113"/>
      <c r="E4" s="100"/>
      <c r="F4" s="101"/>
      <c r="G4" s="3"/>
    </row>
    <row r="5" spans="1:7" ht="4.2" customHeight="1" x14ac:dyDescent="0.25">
      <c r="A5" s="107"/>
      <c r="B5" s="108"/>
      <c r="C5" s="108"/>
      <c r="D5" s="108"/>
      <c r="E5" s="108"/>
      <c r="F5" s="109"/>
      <c r="G5" s="5"/>
    </row>
    <row r="6" spans="1:7" ht="17.399999999999999" customHeight="1" x14ac:dyDescent="0.25">
      <c r="A6" s="77" t="s">
        <v>25</v>
      </c>
      <c r="B6" s="78"/>
      <c r="C6" s="78"/>
      <c r="D6" s="74" t="s">
        <v>5</v>
      </c>
      <c r="E6" s="74"/>
      <c r="F6" s="25">
        <v>44834</v>
      </c>
      <c r="G6" s="6"/>
    </row>
    <row r="7" spans="1:7" ht="16.95" customHeight="1" x14ac:dyDescent="0.25">
      <c r="A7" s="79"/>
      <c r="B7" s="80"/>
      <c r="C7" s="80"/>
      <c r="D7" s="89" t="s">
        <v>6</v>
      </c>
      <c r="E7" s="89"/>
      <c r="F7" s="26">
        <v>44864</v>
      </c>
      <c r="G7" s="5"/>
    </row>
    <row r="8" spans="1:7" ht="4.2" customHeight="1" x14ac:dyDescent="0.25">
      <c r="A8" s="81"/>
      <c r="B8" s="82"/>
      <c r="C8" s="82"/>
      <c r="D8" s="82"/>
      <c r="E8" s="82"/>
      <c r="F8" s="83"/>
      <c r="G8" s="5"/>
    </row>
    <row r="9" spans="1:7" ht="22.2" customHeight="1" x14ac:dyDescent="0.25">
      <c r="A9" s="104" t="s">
        <v>26</v>
      </c>
      <c r="B9" s="87"/>
      <c r="C9" s="88"/>
      <c r="D9" s="87" t="s">
        <v>8</v>
      </c>
      <c r="E9" s="87"/>
      <c r="F9" s="88"/>
      <c r="G9" s="7"/>
    </row>
    <row r="10" spans="1:7" ht="18" customHeight="1" x14ac:dyDescent="0.25">
      <c r="A10" s="84" t="s">
        <v>9</v>
      </c>
      <c r="B10" s="85"/>
      <c r="C10" s="85"/>
      <c r="D10" s="84" t="s">
        <v>9</v>
      </c>
      <c r="E10" s="85"/>
      <c r="F10" s="86"/>
      <c r="G10" s="4"/>
    </row>
    <row r="11" spans="1:7" ht="18" customHeight="1" x14ac:dyDescent="0.25">
      <c r="A11" s="84" t="s">
        <v>10</v>
      </c>
      <c r="B11" s="85"/>
      <c r="C11" s="85"/>
      <c r="D11" s="84" t="s">
        <v>10</v>
      </c>
      <c r="E11" s="85"/>
      <c r="F11" s="86"/>
      <c r="G11" s="9"/>
    </row>
    <row r="12" spans="1:7" ht="15.75" customHeight="1" x14ac:dyDescent="0.25">
      <c r="A12" s="84" t="s">
        <v>11</v>
      </c>
      <c r="B12" s="85"/>
      <c r="C12" s="85"/>
      <c r="D12" s="84" t="s">
        <v>11</v>
      </c>
      <c r="E12" s="85"/>
      <c r="F12" s="86"/>
      <c r="G12" s="10"/>
    </row>
    <row r="13" spans="1:7" ht="4.2" customHeight="1" thickBot="1" x14ac:dyDescent="0.3">
      <c r="A13" s="21"/>
      <c r="B13" s="8"/>
      <c r="D13" s="31"/>
      <c r="E13" s="31"/>
      <c r="F13" s="32"/>
      <c r="G13" s="8"/>
    </row>
    <row r="14" spans="1:7" ht="18" customHeight="1" x14ac:dyDescent="0.25">
      <c r="A14" s="90" t="s">
        <v>12</v>
      </c>
      <c r="B14" s="42"/>
      <c r="C14" s="34" t="s">
        <v>13</v>
      </c>
      <c r="D14" s="114" t="s">
        <v>14</v>
      </c>
      <c r="E14" s="115"/>
      <c r="F14" s="30" t="s">
        <v>15</v>
      </c>
      <c r="G14" s="5"/>
    </row>
    <row r="15" spans="1:7" ht="27.75" customHeight="1" x14ac:dyDescent="0.25">
      <c r="A15" s="75" t="s">
        <v>16</v>
      </c>
      <c r="B15" s="76"/>
      <c r="C15" s="11">
        <v>2400</v>
      </c>
      <c r="D15" s="43">
        <v>325</v>
      </c>
      <c r="E15" s="44"/>
      <c r="F15" s="27">
        <v>780000</v>
      </c>
      <c r="G15" s="12"/>
    </row>
    <row r="16" spans="1:7" ht="18" customHeight="1" x14ac:dyDescent="0.25">
      <c r="A16" s="50"/>
      <c r="B16" s="46"/>
      <c r="C16" s="13"/>
      <c r="D16" s="45"/>
      <c r="E16" s="46"/>
      <c r="F16" s="23"/>
      <c r="G16" s="12"/>
    </row>
    <row r="17" spans="1:7" ht="18" customHeight="1" x14ac:dyDescent="0.25">
      <c r="A17" s="51"/>
      <c r="B17" s="46"/>
      <c r="C17" s="14"/>
      <c r="D17" s="47"/>
      <c r="E17" s="46"/>
      <c r="F17" s="23"/>
      <c r="G17" s="12"/>
    </row>
    <row r="18" spans="1:7" ht="18" customHeight="1" x14ac:dyDescent="0.25">
      <c r="A18" s="50"/>
      <c r="B18" s="46"/>
      <c r="C18" s="13"/>
      <c r="D18" s="45"/>
      <c r="E18" s="46"/>
      <c r="F18" s="23"/>
      <c r="G18" s="12"/>
    </row>
    <row r="19" spans="1:7" ht="18" customHeight="1" x14ac:dyDescent="0.25">
      <c r="A19" s="51"/>
      <c r="B19" s="46"/>
      <c r="C19" s="14"/>
      <c r="D19" s="47"/>
      <c r="E19" s="46"/>
      <c r="F19" s="23"/>
      <c r="G19" s="12"/>
    </row>
    <row r="20" spans="1:7" ht="18" customHeight="1" x14ac:dyDescent="0.25">
      <c r="A20" s="50"/>
      <c r="B20" s="46"/>
      <c r="C20" s="13"/>
      <c r="D20" s="45"/>
      <c r="E20" s="46"/>
      <c r="F20" s="23"/>
      <c r="G20" s="12"/>
    </row>
    <row r="21" spans="1:7" ht="18" customHeight="1" x14ac:dyDescent="0.25">
      <c r="A21" s="51"/>
      <c r="B21" s="46"/>
      <c r="C21" s="14"/>
      <c r="D21" s="47"/>
      <c r="E21" s="46"/>
      <c r="F21" s="23"/>
      <c r="G21" s="12"/>
    </row>
    <row r="22" spans="1:7" ht="18" customHeight="1" x14ac:dyDescent="0.25">
      <c r="A22" s="50"/>
      <c r="B22" s="46"/>
      <c r="C22" s="13"/>
      <c r="D22" s="45"/>
      <c r="E22" s="46"/>
      <c r="F22" s="24"/>
      <c r="G22" s="12"/>
    </row>
    <row r="23" spans="1:7" ht="19.5" customHeight="1" x14ac:dyDescent="0.25">
      <c r="A23" s="105"/>
      <c r="B23" s="106"/>
      <c r="C23" s="106"/>
      <c r="D23" s="102" t="s">
        <v>17</v>
      </c>
      <c r="E23" s="103"/>
      <c r="F23" s="33">
        <v>780000</v>
      </c>
      <c r="G23" s="15"/>
    </row>
    <row r="24" spans="1:7" ht="19.5" customHeight="1" x14ac:dyDescent="0.25">
      <c r="A24" s="56" t="s">
        <v>18</v>
      </c>
      <c r="B24" s="57"/>
      <c r="C24" s="58"/>
      <c r="D24" s="54" t="s">
        <v>19</v>
      </c>
      <c r="E24" s="55"/>
      <c r="F24" s="28">
        <v>19500</v>
      </c>
      <c r="G24" s="15"/>
    </row>
    <row r="25" spans="1:7" ht="18" customHeight="1" x14ac:dyDescent="0.25">
      <c r="A25" s="59" t="s">
        <v>20</v>
      </c>
      <c r="B25" s="60"/>
      <c r="C25" s="60"/>
      <c r="D25" s="48" t="s">
        <v>21</v>
      </c>
      <c r="E25" s="49"/>
      <c r="F25" s="29">
        <f>F23+F24</f>
        <v>799500</v>
      </c>
      <c r="G25" s="16"/>
    </row>
    <row r="26" spans="1:7" ht="22.95" customHeight="1" x14ac:dyDescent="0.25">
      <c r="A26" s="59"/>
      <c r="B26" s="60"/>
      <c r="C26" s="60"/>
      <c r="D26" s="116" t="s">
        <v>22</v>
      </c>
      <c r="E26" s="64"/>
      <c r="F26" s="70">
        <f>F25</f>
        <v>799500</v>
      </c>
      <c r="G26" s="17"/>
    </row>
    <row r="27" spans="1:7" ht="22.95" customHeight="1" x14ac:dyDescent="0.25">
      <c r="A27" s="61"/>
      <c r="B27" s="62"/>
      <c r="C27" s="62"/>
      <c r="D27" s="117"/>
      <c r="E27" s="66"/>
      <c r="F27" s="70"/>
      <c r="G27" s="17"/>
    </row>
    <row r="28" spans="1:7" ht="9.6" customHeight="1" thickBot="1" x14ac:dyDescent="0.3">
      <c r="A28" s="67"/>
      <c r="B28" s="68"/>
      <c r="C28" s="68"/>
      <c r="D28" s="68"/>
      <c r="E28" s="68"/>
      <c r="F28" s="69"/>
      <c r="G28" s="17"/>
    </row>
    <row r="29" spans="1:7" ht="15.75" customHeight="1" x14ac:dyDescent="0.25">
      <c r="A29" s="38"/>
      <c r="B29" s="39"/>
      <c r="C29" s="39"/>
      <c r="D29" s="39"/>
      <c r="E29" s="39"/>
      <c r="F29" s="39"/>
      <c r="G29" s="18"/>
    </row>
    <row r="30" spans="1:7" ht="15.75" customHeight="1" x14ac:dyDescent="0.25">
      <c r="A30" s="38"/>
      <c r="B30" s="39"/>
      <c r="C30" s="39"/>
      <c r="D30" s="39"/>
      <c r="E30" s="39"/>
      <c r="F30" s="39"/>
      <c r="G30" s="19"/>
    </row>
    <row r="31" spans="1:7" ht="21" customHeight="1" x14ac:dyDescent="0.25">
      <c r="A31" s="40"/>
      <c r="B31" s="39"/>
      <c r="C31" s="39"/>
      <c r="D31" s="39"/>
      <c r="E31" s="39"/>
      <c r="F31" s="39"/>
      <c r="G31" s="20"/>
    </row>
    <row r="32" spans="1:7" ht="15.75" customHeight="1" x14ac:dyDescent="0.25">
      <c r="A32" s="2"/>
      <c r="B32" s="2"/>
      <c r="C32" s="2"/>
      <c r="D32" s="2"/>
      <c r="E32" s="2"/>
      <c r="F32" s="2"/>
      <c r="G32" s="2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48">
    <mergeCell ref="F26:F27"/>
    <mergeCell ref="A28:F28"/>
    <mergeCell ref="A29:F29"/>
    <mergeCell ref="A30:F30"/>
    <mergeCell ref="A31:F31"/>
    <mergeCell ref="A23:C23"/>
    <mergeCell ref="D23:E23"/>
    <mergeCell ref="A24:C24"/>
    <mergeCell ref="D24:E24"/>
    <mergeCell ref="A25:C27"/>
    <mergeCell ref="D25:E25"/>
    <mergeCell ref="D26:E27"/>
    <mergeCell ref="A21:B21"/>
    <mergeCell ref="D21:E21"/>
    <mergeCell ref="A22:B22"/>
    <mergeCell ref="D22:E22"/>
    <mergeCell ref="A20:B20"/>
    <mergeCell ref="D20:E20"/>
    <mergeCell ref="A17:B17"/>
    <mergeCell ref="D17:E17"/>
    <mergeCell ref="A18:B18"/>
    <mergeCell ref="D18:E18"/>
    <mergeCell ref="A19:B19"/>
    <mergeCell ref="D19:E19"/>
    <mergeCell ref="A14:B14"/>
    <mergeCell ref="D14:E14"/>
    <mergeCell ref="A15:B15"/>
    <mergeCell ref="D15:E15"/>
    <mergeCell ref="A16:B16"/>
    <mergeCell ref="D16:E16"/>
    <mergeCell ref="A10:C10"/>
    <mergeCell ref="D10:F10"/>
    <mergeCell ref="A11:C11"/>
    <mergeCell ref="D11:F11"/>
    <mergeCell ref="A12:C12"/>
    <mergeCell ref="D12:F12"/>
    <mergeCell ref="A6:C7"/>
    <mergeCell ref="D6:E6"/>
    <mergeCell ref="D7:E7"/>
    <mergeCell ref="A8:F8"/>
    <mergeCell ref="A9:C9"/>
    <mergeCell ref="D9:F9"/>
    <mergeCell ref="A5:F5"/>
    <mergeCell ref="A1:F1"/>
    <mergeCell ref="A2:D2"/>
    <mergeCell ref="E2:F4"/>
    <mergeCell ref="A3:D3"/>
    <mergeCell ref="A4:D4"/>
  </mergeCells>
  <pageMargins left="0.7" right="0.7" top="0.75" bottom="0.75" header="0.3" footer="0.3"/>
  <pageSetup paperSize="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C7342-EFED-4942-8327-B75DF46A6DD4}">
  <sheetPr>
    <pageSetUpPr fitToPage="1"/>
  </sheetPr>
  <dimension ref="A1:G993"/>
  <sheetViews>
    <sheetView workbookViewId="0">
      <selection activeCell="I18" sqref="I18"/>
    </sheetView>
  </sheetViews>
  <sheetFormatPr defaultColWidth="14.44140625" defaultRowHeight="13.2" x14ac:dyDescent="0.25"/>
  <cols>
    <col min="1" max="1" width="25.44140625" customWidth="1"/>
    <col min="2" max="2" width="15.5546875" customWidth="1"/>
    <col min="3" max="3" width="11" customWidth="1"/>
    <col min="4" max="4" width="12.109375" customWidth="1"/>
    <col min="5" max="5" width="15.33203125" customWidth="1"/>
    <col min="6" max="6" width="16.44140625" bestFit="1" customWidth="1"/>
    <col min="7" max="7" width="7.44140625" customWidth="1"/>
    <col min="8" max="24" width="17.33203125" customWidth="1"/>
  </cols>
  <sheetData>
    <row r="1" spans="1:7" ht="26.25" customHeight="1" x14ac:dyDescent="0.25">
      <c r="A1" s="91" t="s">
        <v>0</v>
      </c>
      <c r="B1" s="92"/>
      <c r="C1" s="92"/>
      <c r="D1" s="92"/>
      <c r="E1" s="92"/>
      <c r="F1" s="93"/>
      <c r="G1" s="1"/>
    </row>
    <row r="2" spans="1:7" ht="20.25" customHeight="1" x14ac:dyDescent="0.25">
      <c r="A2" s="94" t="s">
        <v>1</v>
      </c>
      <c r="B2" s="95"/>
      <c r="C2" s="95"/>
      <c r="D2" s="95"/>
      <c r="E2" s="100"/>
      <c r="F2" s="101"/>
      <c r="G2" s="1"/>
    </row>
    <row r="3" spans="1:7" ht="21" customHeight="1" x14ac:dyDescent="0.25">
      <c r="A3" s="110" t="s">
        <v>23</v>
      </c>
      <c r="B3" s="111"/>
      <c r="C3" s="111"/>
      <c r="D3" s="111"/>
      <c r="E3" s="100"/>
      <c r="F3" s="101"/>
      <c r="G3" s="3"/>
    </row>
    <row r="4" spans="1:7" ht="18.75" customHeight="1" x14ac:dyDescent="0.25">
      <c r="A4" s="112" t="s">
        <v>24</v>
      </c>
      <c r="B4" s="113"/>
      <c r="C4" s="113"/>
      <c r="D4" s="113"/>
      <c r="E4" s="100"/>
      <c r="F4" s="101"/>
      <c r="G4" s="3"/>
    </row>
    <row r="5" spans="1:7" ht="4.2" customHeight="1" x14ac:dyDescent="0.25">
      <c r="A5" s="107"/>
      <c r="B5" s="108"/>
      <c r="C5" s="108"/>
      <c r="D5" s="108"/>
      <c r="E5" s="108"/>
      <c r="F5" s="109"/>
      <c r="G5" s="5"/>
    </row>
    <row r="6" spans="1:7" ht="17.399999999999999" customHeight="1" x14ac:dyDescent="0.25">
      <c r="A6" s="77" t="s">
        <v>27</v>
      </c>
      <c r="B6" s="78"/>
      <c r="C6" s="78"/>
      <c r="D6" s="74" t="s">
        <v>5</v>
      </c>
      <c r="E6" s="74"/>
      <c r="F6" s="25">
        <v>44562</v>
      </c>
      <c r="G6" s="6"/>
    </row>
    <row r="7" spans="1:7" ht="16.95" customHeight="1" x14ac:dyDescent="0.25">
      <c r="A7" s="79"/>
      <c r="B7" s="80"/>
      <c r="C7" s="80"/>
      <c r="D7" s="89" t="s">
        <v>6</v>
      </c>
      <c r="E7" s="89"/>
      <c r="F7" s="26">
        <v>44593</v>
      </c>
      <c r="G7" s="5"/>
    </row>
    <row r="8" spans="1:7" ht="4.2" customHeight="1" x14ac:dyDescent="0.25">
      <c r="A8" s="81"/>
      <c r="B8" s="82"/>
      <c r="C8" s="82"/>
      <c r="D8" s="82"/>
      <c r="E8" s="82"/>
      <c r="F8" s="83"/>
      <c r="G8" s="5"/>
    </row>
    <row r="9" spans="1:7" ht="22.2" customHeight="1" x14ac:dyDescent="0.25">
      <c r="A9" s="104" t="s">
        <v>26</v>
      </c>
      <c r="B9" s="87"/>
      <c r="C9" s="88"/>
      <c r="D9" s="87" t="s">
        <v>8</v>
      </c>
      <c r="E9" s="87"/>
      <c r="F9" s="88"/>
      <c r="G9" s="7"/>
    </row>
    <row r="10" spans="1:7" ht="18" customHeight="1" x14ac:dyDescent="0.25">
      <c r="A10" s="118" t="s">
        <v>28</v>
      </c>
      <c r="B10" s="119"/>
      <c r="C10" s="119"/>
      <c r="D10" s="84" t="s">
        <v>28</v>
      </c>
      <c r="E10" s="85"/>
      <c r="F10" s="86"/>
      <c r="G10" s="4"/>
    </row>
    <row r="11" spans="1:7" ht="18" customHeight="1" x14ac:dyDescent="0.25">
      <c r="A11" s="84" t="s">
        <v>29</v>
      </c>
      <c r="B11" s="85"/>
      <c r="C11" s="85"/>
      <c r="D11" s="84" t="s">
        <v>29</v>
      </c>
      <c r="E11" s="85"/>
      <c r="F11" s="86"/>
      <c r="G11" s="9"/>
    </row>
    <row r="12" spans="1:7" ht="15.75" customHeight="1" x14ac:dyDescent="0.25">
      <c r="A12" s="84" t="s">
        <v>30</v>
      </c>
      <c r="B12" s="85"/>
      <c r="C12" s="85"/>
      <c r="D12" s="84" t="s">
        <v>30</v>
      </c>
      <c r="E12" s="85"/>
      <c r="F12" s="86"/>
      <c r="G12" s="10"/>
    </row>
    <row r="13" spans="1:7" ht="4.2" customHeight="1" x14ac:dyDescent="0.25">
      <c r="A13" s="21"/>
      <c r="B13" s="8"/>
      <c r="D13" s="8"/>
      <c r="E13" s="8"/>
      <c r="F13" s="22"/>
      <c r="G13" s="8"/>
    </row>
    <row r="14" spans="1:7" ht="18" customHeight="1" x14ac:dyDescent="0.25">
      <c r="A14" s="90" t="s">
        <v>12</v>
      </c>
      <c r="B14" s="42"/>
      <c r="C14" s="34" t="s">
        <v>13</v>
      </c>
      <c r="D14" s="41" t="s">
        <v>14</v>
      </c>
      <c r="E14" s="42"/>
      <c r="F14" s="35" t="s">
        <v>15</v>
      </c>
      <c r="G14" s="5"/>
    </row>
    <row r="15" spans="1:7" ht="31.5" customHeight="1" x14ac:dyDescent="0.25">
      <c r="A15" s="75" t="s">
        <v>31</v>
      </c>
      <c r="B15" s="76"/>
      <c r="C15" s="11">
        <v>2000</v>
      </c>
      <c r="D15" s="43">
        <v>50</v>
      </c>
      <c r="E15" s="44"/>
      <c r="F15" s="27">
        <v>100000</v>
      </c>
      <c r="G15" s="12"/>
    </row>
    <row r="16" spans="1:7" ht="18" customHeight="1" x14ac:dyDescent="0.25">
      <c r="A16" s="50"/>
      <c r="B16" s="46"/>
      <c r="C16" s="13"/>
      <c r="D16" s="45"/>
      <c r="E16" s="46"/>
      <c r="F16" s="23"/>
      <c r="G16" s="12"/>
    </row>
    <row r="17" spans="1:7" ht="18" customHeight="1" x14ac:dyDescent="0.25">
      <c r="A17" s="50"/>
      <c r="B17" s="46"/>
      <c r="C17" s="13"/>
      <c r="D17" s="45"/>
      <c r="E17" s="46"/>
      <c r="F17" s="23"/>
      <c r="G17" s="12"/>
    </row>
    <row r="18" spans="1:7" ht="18" customHeight="1" x14ac:dyDescent="0.25">
      <c r="A18" s="51"/>
      <c r="B18" s="46"/>
      <c r="C18" s="14"/>
      <c r="D18" s="47"/>
      <c r="E18" s="46"/>
      <c r="F18" s="23"/>
      <c r="G18" s="12"/>
    </row>
    <row r="19" spans="1:7" ht="18" customHeight="1" x14ac:dyDescent="0.25">
      <c r="A19" s="50"/>
      <c r="B19" s="46"/>
      <c r="C19" s="13"/>
      <c r="D19" s="45"/>
      <c r="E19" s="46"/>
      <c r="F19" s="23"/>
      <c r="G19" s="12"/>
    </row>
    <row r="20" spans="1:7" ht="18" customHeight="1" x14ac:dyDescent="0.25">
      <c r="A20" s="51"/>
      <c r="B20" s="46"/>
      <c r="C20" s="14"/>
      <c r="D20" s="47"/>
      <c r="E20" s="46"/>
      <c r="F20" s="23"/>
      <c r="G20" s="12"/>
    </row>
    <row r="21" spans="1:7" ht="18" customHeight="1" x14ac:dyDescent="0.25">
      <c r="A21" s="50"/>
      <c r="B21" s="46"/>
      <c r="C21" s="13"/>
      <c r="D21" s="45"/>
      <c r="E21" s="46"/>
      <c r="F21" s="23"/>
      <c r="G21" s="12"/>
    </row>
    <row r="22" spans="1:7" ht="18" customHeight="1" x14ac:dyDescent="0.25">
      <c r="A22" s="51"/>
      <c r="B22" s="46"/>
      <c r="C22" s="14"/>
      <c r="D22" s="52"/>
      <c r="E22" s="53"/>
      <c r="F22" s="24"/>
      <c r="G22" s="12"/>
    </row>
    <row r="23" spans="1:7" ht="19.5" customHeight="1" x14ac:dyDescent="0.25">
      <c r="A23" s="105"/>
      <c r="B23" s="106"/>
      <c r="C23" s="106"/>
      <c r="D23" s="102" t="s">
        <v>17</v>
      </c>
      <c r="E23" s="103"/>
      <c r="F23" s="28">
        <v>100000</v>
      </c>
      <c r="G23" s="15"/>
    </row>
    <row r="24" spans="1:7" ht="19.5" customHeight="1" x14ac:dyDescent="0.25">
      <c r="A24" s="56" t="s">
        <v>18</v>
      </c>
      <c r="B24" s="57"/>
      <c r="C24" s="58"/>
      <c r="D24" s="54" t="s">
        <v>19</v>
      </c>
      <c r="E24" s="55"/>
      <c r="F24" s="28">
        <v>2500</v>
      </c>
      <c r="G24" s="15"/>
    </row>
    <row r="25" spans="1:7" ht="18" customHeight="1" x14ac:dyDescent="0.25">
      <c r="A25" s="59" t="s">
        <v>20</v>
      </c>
      <c r="B25" s="60"/>
      <c r="C25" s="60"/>
      <c r="D25" s="48" t="s">
        <v>21</v>
      </c>
      <c r="E25" s="49"/>
      <c r="F25" s="29">
        <f>F23+F24</f>
        <v>102500</v>
      </c>
      <c r="G25" s="16"/>
    </row>
    <row r="26" spans="1:7" ht="22.95" customHeight="1" x14ac:dyDescent="0.25">
      <c r="A26" s="59"/>
      <c r="B26" s="60"/>
      <c r="C26" s="60"/>
      <c r="D26" s="63" t="s">
        <v>22</v>
      </c>
      <c r="E26" s="64"/>
      <c r="F26" s="70">
        <f>F25</f>
        <v>102500</v>
      </c>
      <c r="G26" s="17"/>
    </row>
    <row r="27" spans="1:7" ht="22.95" customHeight="1" x14ac:dyDescent="0.25">
      <c r="A27" s="61"/>
      <c r="B27" s="62"/>
      <c r="C27" s="62"/>
      <c r="D27" s="65"/>
      <c r="E27" s="66"/>
      <c r="F27" s="70"/>
      <c r="G27" s="17"/>
    </row>
    <row r="28" spans="1:7" ht="9.6" customHeight="1" thickBot="1" x14ac:dyDescent="0.3">
      <c r="A28" s="67"/>
      <c r="B28" s="68"/>
      <c r="C28" s="68"/>
      <c r="D28" s="68"/>
      <c r="E28" s="68"/>
      <c r="F28" s="69"/>
      <c r="G28" s="17"/>
    </row>
    <row r="29" spans="1:7" ht="15.75" customHeight="1" x14ac:dyDescent="0.25">
      <c r="A29" s="38"/>
      <c r="B29" s="39"/>
      <c r="C29" s="39"/>
      <c r="D29" s="39"/>
      <c r="E29" s="39"/>
      <c r="F29" s="39"/>
      <c r="G29" s="18"/>
    </row>
    <row r="30" spans="1:7" ht="15.75" customHeight="1" x14ac:dyDescent="0.25">
      <c r="A30" s="38"/>
      <c r="B30" s="39"/>
      <c r="C30" s="39"/>
      <c r="D30" s="39"/>
      <c r="E30" s="39"/>
      <c r="F30" s="39"/>
      <c r="G30" s="19"/>
    </row>
    <row r="31" spans="1:7" ht="21" customHeight="1" x14ac:dyDescent="0.25">
      <c r="A31" s="40"/>
      <c r="B31" s="39"/>
      <c r="C31" s="39"/>
      <c r="D31" s="39"/>
      <c r="E31" s="39"/>
      <c r="F31" s="39"/>
      <c r="G31" s="20"/>
    </row>
    <row r="32" spans="1:7" ht="15.75" customHeight="1" x14ac:dyDescent="0.25">
      <c r="A32" s="2"/>
      <c r="B32" s="2"/>
      <c r="C32" s="2"/>
      <c r="D32" s="2"/>
      <c r="E32" s="2"/>
      <c r="F32" s="2"/>
      <c r="G32" s="2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48">
    <mergeCell ref="F26:F27"/>
    <mergeCell ref="A28:F28"/>
    <mergeCell ref="A29:F29"/>
    <mergeCell ref="A30:F30"/>
    <mergeCell ref="A31:F31"/>
    <mergeCell ref="A23:C23"/>
    <mergeCell ref="D23:E23"/>
    <mergeCell ref="A24:C24"/>
    <mergeCell ref="D24:E24"/>
    <mergeCell ref="A25:C27"/>
    <mergeCell ref="D25:E25"/>
    <mergeCell ref="D26:E27"/>
    <mergeCell ref="A20:B20"/>
    <mergeCell ref="D20:E20"/>
    <mergeCell ref="A21:B21"/>
    <mergeCell ref="D21:E21"/>
    <mergeCell ref="A22:B22"/>
    <mergeCell ref="D22:E22"/>
    <mergeCell ref="A19:B19"/>
    <mergeCell ref="D19:E19"/>
    <mergeCell ref="A17:B17"/>
    <mergeCell ref="D17:E17"/>
    <mergeCell ref="A18:B18"/>
    <mergeCell ref="D18:E18"/>
    <mergeCell ref="A14:B14"/>
    <mergeCell ref="D14:E14"/>
    <mergeCell ref="A15:B15"/>
    <mergeCell ref="D15:E15"/>
    <mergeCell ref="A16:B16"/>
    <mergeCell ref="D16:E16"/>
    <mergeCell ref="A10:C10"/>
    <mergeCell ref="D10:F10"/>
    <mergeCell ref="A11:C11"/>
    <mergeCell ref="D11:F11"/>
    <mergeCell ref="A12:C12"/>
    <mergeCell ref="D12:F12"/>
    <mergeCell ref="A6:C7"/>
    <mergeCell ref="D6:E6"/>
    <mergeCell ref="D7:E7"/>
    <mergeCell ref="A8:F8"/>
    <mergeCell ref="A9:C9"/>
    <mergeCell ref="D9:F9"/>
    <mergeCell ref="A5:F5"/>
    <mergeCell ref="A1:F1"/>
    <mergeCell ref="A2:D2"/>
    <mergeCell ref="E2:F4"/>
    <mergeCell ref="A3:D3"/>
    <mergeCell ref="A4:D4"/>
  </mergeCells>
  <pageMargins left="0.7" right="0.7" top="0.75" bottom="0.75" header="0.3" footer="0.3"/>
  <pageSetup paperSize="9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AC07-1ED8-47D9-B406-969C6B99DADA}">
  <sheetPr>
    <pageSetUpPr fitToPage="1"/>
  </sheetPr>
  <dimension ref="A1:G993"/>
  <sheetViews>
    <sheetView workbookViewId="0">
      <selection sqref="A1:F1"/>
    </sheetView>
  </sheetViews>
  <sheetFormatPr defaultColWidth="14.44140625" defaultRowHeight="13.2" x14ac:dyDescent="0.25"/>
  <cols>
    <col min="1" max="1" width="25.44140625" customWidth="1"/>
    <col min="2" max="2" width="15.5546875" customWidth="1"/>
    <col min="3" max="3" width="11" customWidth="1"/>
    <col min="4" max="4" width="12.109375" customWidth="1"/>
    <col min="5" max="5" width="15.33203125" customWidth="1"/>
    <col min="6" max="6" width="16.44140625" bestFit="1" customWidth="1"/>
    <col min="7" max="7" width="7.44140625" customWidth="1"/>
    <col min="8" max="24" width="17.33203125" customWidth="1"/>
  </cols>
  <sheetData>
    <row r="1" spans="1:7" ht="36.6" customHeight="1" x14ac:dyDescent="0.25">
      <c r="A1" s="120" t="s">
        <v>0</v>
      </c>
      <c r="B1" s="121"/>
      <c r="C1" s="121"/>
      <c r="D1" s="121"/>
      <c r="E1" s="121"/>
      <c r="F1" s="122"/>
      <c r="G1" s="1"/>
    </row>
    <row r="2" spans="1:7" ht="20.25" customHeight="1" x14ac:dyDescent="0.25">
      <c r="A2" s="94" t="s">
        <v>1</v>
      </c>
      <c r="B2" s="95"/>
      <c r="C2" s="95"/>
      <c r="D2" s="95"/>
      <c r="E2" s="100"/>
      <c r="F2" s="101"/>
      <c r="G2" s="1"/>
    </row>
    <row r="3" spans="1:7" ht="21" customHeight="1" x14ac:dyDescent="0.25">
      <c r="A3" s="110" t="s">
        <v>32</v>
      </c>
      <c r="B3" s="111"/>
      <c r="C3" s="111"/>
      <c r="D3" s="111"/>
      <c r="E3" s="100"/>
      <c r="F3" s="101"/>
      <c r="G3" s="3"/>
    </row>
    <row r="4" spans="1:7" ht="18.75" customHeight="1" x14ac:dyDescent="0.25">
      <c r="A4" s="112" t="s">
        <v>24</v>
      </c>
      <c r="B4" s="113"/>
      <c r="C4" s="113"/>
      <c r="D4" s="113"/>
      <c r="E4" s="100"/>
      <c r="F4" s="101"/>
      <c r="G4" s="3"/>
    </row>
    <row r="5" spans="1:7" ht="4.2" customHeight="1" x14ac:dyDescent="0.25">
      <c r="A5" s="107"/>
      <c r="B5" s="108"/>
      <c r="C5" s="108"/>
      <c r="D5" s="108"/>
      <c r="E5" s="108"/>
      <c r="F5" s="109"/>
      <c r="G5" s="5"/>
    </row>
    <row r="6" spans="1:7" ht="17.399999999999999" customHeight="1" x14ac:dyDescent="0.25">
      <c r="A6" s="77" t="s">
        <v>33</v>
      </c>
      <c r="B6" s="78"/>
      <c r="C6" s="78"/>
      <c r="D6" s="74" t="s">
        <v>5</v>
      </c>
      <c r="E6" s="74"/>
      <c r="F6" s="25">
        <v>44956</v>
      </c>
      <c r="G6" s="6"/>
    </row>
    <row r="7" spans="1:7" ht="16.95" customHeight="1" x14ac:dyDescent="0.25">
      <c r="A7" s="79"/>
      <c r="B7" s="80"/>
      <c r="C7" s="80"/>
      <c r="D7" s="89" t="s">
        <v>6</v>
      </c>
      <c r="E7" s="89"/>
      <c r="F7" s="25">
        <v>44985</v>
      </c>
      <c r="G7" s="5"/>
    </row>
    <row r="8" spans="1:7" ht="4.2" customHeight="1" x14ac:dyDescent="0.25">
      <c r="A8" s="81"/>
      <c r="B8" s="82"/>
      <c r="C8" s="82"/>
      <c r="D8" s="82"/>
      <c r="E8" s="82"/>
      <c r="F8" s="83"/>
      <c r="G8" s="5"/>
    </row>
    <row r="9" spans="1:7" ht="22.2" customHeight="1" x14ac:dyDescent="0.25">
      <c r="A9" s="104" t="s">
        <v>26</v>
      </c>
      <c r="B9" s="87"/>
      <c r="C9" s="88"/>
      <c r="D9" s="87" t="s">
        <v>8</v>
      </c>
      <c r="E9" s="87"/>
      <c r="F9" s="88"/>
      <c r="G9" s="7"/>
    </row>
    <row r="10" spans="1:7" ht="18" customHeight="1" x14ac:dyDescent="0.25">
      <c r="A10" s="118" t="s">
        <v>28</v>
      </c>
      <c r="B10" s="119"/>
      <c r="C10" s="119"/>
      <c r="D10" s="84" t="s">
        <v>28</v>
      </c>
      <c r="E10" s="85"/>
      <c r="F10" s="86"/>
      <c r="G10" s="4"/>
    </row>
    <row r="11" spans="1:7" ht="18" customHeight="1" x14ac:dyDescent="0.25">
      <c r="A11" s="84" t="s">
        <v>29</v>
      </c>
      <c r="B11" s="85"/>
      <c r="C11" s="85"/>
      <c r="D11" s="84" t="s">
        <v>29</v>
      </c>
      <c r="E11" s="85"/>
      <c r="F11" s="86"/>
      <c r="G11" s="9"/>
    </row>
    <row r="12" spans="1:7" ht="15.75" customHeight="1" x14ac:dyDescent="0.25">
      <c r="A12" s="84" t="s">
        <v>30</v>
      </c>
      <c r="B12" s="85"/>
      <c r="C12" s="85"/>
      <c r="D12" s="84" t="s">
        <v>30</v>
      </c>
      <c r="E12" s="85"/>
      <c r="F12" s="86"/>
      <c r="G12" s="10"/>
    </row>
    <row r="13" spans="1:7" ht="4.2" customHeight="1" x14ac:dyDescent="0.25">
      <c r="A13" s="21"/>
      <c r="B13" s="8"/>
      <c r="D13" s="8"/>
      <c r="E13" s="8"/>
      <c r="F13" s="22"/>
      <c r="G13" s="8"/>
    </row>
    <row r="14" spans="1:7" ht="18" customHeight="1" x14ac:dyDescent="0.25">
      <c r="A14" s="90" t="s">
        <v>12</v>
      </c>
      <c r="B14" s="42"/>
      <c r="C14" s="34" t="s">
        <v>13</v>
      </c>
      <c r="D14" s="41" t="s">
        <v>14</v>
      </c>
      <c r="E14" s="42"/>
      <c r="F14" s="35" t="s">
        <v>15</v>
      </c>
      <c r="G14" s="5"/>
    </row>
    <row r="15" spans="1:7" ht="18" customHeight="1" x14ac:dyDescent="0.25">
      <c r="A15" s="123" t="s">
        <v>34</v>
      </c>
      <c r="B15" s="76"/>
      <c r="C15" s="11">
        <v>2400</v>
      </c>
      <c r="D15" s="43">
        <v>30</v>
      </c>
      <c r="E15" s="44"/>
      <c r="F15" s="27">
        <f>C15*D15</f>
        <v>72000</v>
      </c>
      <c r="G15" s="12"/>
    </row>
    <row r="16" spans="1:7" ht="18" customHeight="1" x14ac:dyDescent="0.25">
      <c r="A16" s="50" t="s">
        <v>35</v>
      </c>
      <c r="B16" s="46"/>
      <c r="C16" s="13">
        <v>2400</v>
      </c>
      <c r="D16" s="124">
        <v>80</v>
      </c>
      <c r="E16" s="125"/>
      <c r="F16" s="36">
        <f>C16*D16</f>
        <v>192000</v>
      </c>
      <c r="G16" s="12"/>
    </row>
    <row r="17" spans="1:7" ht="18" customHeight="1" x14ac:dyDescent="0.25">
      <c r="A17" s="51" t="s">
        <v>36</v>
      </c>
      <c r="B17" s="46"/>
      <c r="C17" s="14">
        <v>1</v>
      </c>
      <c r="D17" s="47">
        <v>1000</v>
      </c>
      <c r="E17" s="46"/>
      <c r="F17" s="36">
        <v>1000</v>
      </c>
      <c r="G17" s="12"/>
    </row>
    <row r="18" spans="1:7" ht="18" customHeight="1" x14ac:dyDescent="0.25">
      <c r="A18" s="50"/>
      <c r="B18" s="46"/>
      <c r="C18" s="13"/>
      <c r="D18" s="45"/>
      <c r="E18" s="46"/>
      <c r="F18" s="23"/>
      <c r="G18" s="12"/>
    </row>
    <row r="19" spans="1:7" ht="18" customHeight="1" x14ac:dyDescent="0.25">
      <c r="A19" s="50"/>
      <c r="B19" s="46"/>
      <c r="C19" s="13"/>
      <c r="D19" s="45"/>
      <c r="E19" s="46"/>
      <c r="F19" s="23"/>
      <c r="G19" s="12"/>
    </row>
    <row r="20" spans="1:7" ht="18" customHeight="1" x14ac:dyDescent="0.25">
      <c r="A20" s="51"/>
      <c r="B20" s="46"/>
      <c r="C20" s="14"/>
      <c r="D20" s="47"/>
      <c r="E20" s="46"/>
      <c r="F20" s="23"/>
      <c r="G20" s="12"/>
    </row>
    <row r="21" spans="1:7" ht="18" customHeight="1" x14ac:dyDescent="0.25">
      <c r="A21" s="50"/>
      <c r="B21" s="46"/>
      <c r="C21" s="13"/>
      <c r="D21" s="45"/>
      <c r="E21" s="46"/>
      <c r="F21" s="23"/>
      <c r="G21" s="12"/>
    </row>
    <row r="22" spans="1:7" ht="18" customHeight="1" x14ac:dyDescent="0.25">
      <c r="A22" s="51"/>
      <c r="B22" s="46"/>
      <c r="C22" s="14"/>
      <c r="D22" s="52"/>
      <c r="E22" s="53"/>
      <c r="F22" s="24"/>
      <c r="G22" s="12"/>
    </row>
    <row r="23" spans="1:7" ht="19.5" customHeight="1" x14ac:dyDescent="0.25">
      <c r="A23" s="105"/>
      <c r="B23" s="106"/>
      <c r="C23" s="106"/>
      <c r="D23" s="102" t="s">
        <v>17</v>
      </c>
      <c r="E23" s="103"/>
      <c r="F23" s="28">
        <f>F15+F16+F17</f>
        <v>265000</v>
      </c>
      <c r="G23" s="15"/>
    </row>
    <row r="24" spans="1:7" ht="19.5" customHeight="1" x14ac:dyDescent="0.25">
      <c r="A24" s="56" t="s">
        <v>18</v>
      </c>
      <c r="B24" s="57"/>
      <c r="C24" s="58"/>
      <c r="D24" s="54" t="s">
        <v>19</v>
      </c>
      <c r="E24" s="55"/>
      <c r="F24" s="28">
        <f>F23*2.5%</f>
        <v>6625</v>
      </c>
      <c r="G24" s="15"/>
    </row>
    <row r="25" spans="1:7" ht="18" customHeight="1" x14ac:dyDescent="0.25">
      <c r="A25" s="59" t="s">
        <v>20</v>
      </c>
      <c r="B25" s="60"/>
      <c r="C25" s="60"/>
      <c r="D25" s="48" t="s">
        <v>21</v>
      </c>
      <c r="E25" s="49"/>
      <c r="F25" s="29">
        <f>F23+F24</f>
        <v>271625</v>
      </c>
      <c r="G25" s="16"/>
    </row>
    <row r="26" spans="1:7" ht="22.95" customHeight="1" x14ac:dyDescent="0.25">
      <c r="A26" s="59"/>
      <c r="B26" s="60"/>
      <c r="C26" s="60"/>
      <c r="D26" s="63" t="s">
        <v>22</v>
      </c>
      <c r="E26" s="64"/>
      <c r="F26" s="70">
        <f>F25</f>
        <v>271625</v>
      </c>
      <c r="G26" s="17"/>
    </row>
    <row r="27" spans="1:7" ht="22.95" customHeight="1" x14ac:dyDescent="0.25">
      <c r="A27" s="61"/>
      <c r="B27" s="62"/>
      <c r="C27" s="62"/>
      <c r="D27" s="65"/>
      <c r="E27" s="66"/>
      <c r="F27" s="70"/>
      <c r="G27" s="17"/>
    </row>
    <row r="28" spans="1:7" ht="9.6" customHeight="1" thickBot="1" x14ac:dyDescent="0.3">
      <c r="A28" s="67"/>
      <c r="B28" s="68"/>
      <c r="C28" s="68"/>
      <c r="D28" s="68"/>
      <c r="E28" s="68"/>
      <c r="F28" s="69"/>
      <c r="G28" s="17"/>
    </row>
    <row r="29" spans="1:7" ht="15.75" customHeight="1" x14ac:dyDescent="0.25">
      <c r="A29" s="38"/>
      <c r="B29" s="39"/>
      <c r="C29" s="39"/>
      <c r="D29" s="39"/>
      <c r="E29" s="39"/>
      <c r="F29" s="39"/>
      <c r="G29" s="18"/>
    </row>
    <row r="30" spans="1:7" ht="15.75" customHeight="1" x14ac:dyDescent="0.25">
      <c r="A30" s="38"/>
      <c r="B30" s="39"/>
      <c r="C30" s="39"/>
      <c r="D30" s="39"/>
      <c r="E30" s="39"/>
      <c r="F30" s="39"/>
      <c r="G30" s="19"/>
    </row>
    <row r="31" spans="1:7" ht="21" customHeight="1" x14ac:dyDescent="0.25">
      <c r="A31" s="40"/>
      <c r="B31" s="39"/>
      <c r="C31" s="39"/>
      <c r="D31" s="39"/>
      <c r="E31" s="39"/>
      <c r="F31" s="39"/>
      <c r="G31" s="20"/>
    </row>
    <row r="32" spans="1:7" ht="15.75" customHeight="1" x14ac:dyDescent="0.25">
      <c r="A32" s="2"/>
      <c r="B32" s="2"/>
      <c r="C32" s="2"/>
      <c r="D32" s="2"/>
      <c r="E32" s="2"/>
      <c r="F32" s="2"/>
      <c r="G32" s="2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48">
    <mergeCell ref="F26:F27"/>
    <mergeCell ref="A28:F28"/>
    <mergeCell ref="A29:F29"/>
    <mergeCell ref="A30:F30"/>
    <mergeCell ref="A31:F31"/>
    <mergeCell ref="A23:C23"/>
    <mergeCell ref="D23:E23"/>
    <mergeCell ref="A24:C24"/>
    <mergeCell ref="D24:E24"/>
    <mergeCell ref="A25:C27"/>
    <mergeCell ref="D25:E25"/>
    <mergeCell ref="D26:E27"/>
    <mergeCell ref="A20:B20"/>
    <mergeCell ref="D20:E20"/>
    <mergeCell ref="A21:B21"/>
    <mergeCell ref="D21:E21"/>
    <mergeCell ref="A22:B22"/>
    <mergeCell ref="D22:E22"/>
    <mergeCell ref="A19:B19"/>
    <mergeCell ref="D19:E19"/>
    <mergeCell ref="A17:B17"/>
    <mergeCell ref="D17:E17"/>
    <mergeCell ref="A18:B18"/>
    <mergeCell ref="D18:E18"/>
    <mergeCell ref="A14:B14"/>
    <mergeCell ref="D14:E14"/>
    <mergeCell ref="A15:B15"/>
    <mergeCell ref="D15:E15"/>
    <mergeCell ref="A16:B16"/>
    <mergeCell ref="D16:E16"/>
    <mergeCell ref="A10:C10"/>
    <mergeCell ref="D10:F10"/>
    <mergeCell ref="A11:C11"/>
    <mergeCell ref="D11:F11"/>
    <mergeCell ref="A12:C12"/>
    <mergeCell ref="D12:F12"/>
    <mergeCell ref="A6:C7"/>
    <mergeCell ref="D6:E6"/>
    <mergeCell ref="D7:E7"/>
    <mergeCell ref="A8:F8"/>
    <mergeCell ref="A9:C9"/>
    <mergeCell ref="D9:F9"/>
    <mergeCell ref="A5:F5"/>
    <mergeCell ref="A1:F1"/>
    <mergeCell ref="A2:D2"/>
    <mergeCell ref="E2:F4"/>
    <mergeCell ref="A3:D3"/>
    <mergeCell ref="A4:D4"/>
  </mergeCells>
  <pageMargins left="0.7" right="0.7" top="0.75" bottom="0.75" header="0.3" footer="0.3"/>
  <pageSetup paperSize="9"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8E331-E5CD-4F01-BB26-3F21E7C03B89}">
  <sheetPr>
    <pageSetUpPr fitToPage="1"/>
  </sheetPr>
  <dimension ref="A1:G993"/>
  <sheetViews>
    <sheetView tabSelected="1" topLeftCell="A7" workbookViewId="0">
      <selection activeCell="I18" sqref="I18"/>
    </sheetView>
  </sheetViews>
  <sheetFormatPr defaultColWidth="14.44140625" defaultRowHeight="13.2" x14ac:dyDescent="0.25"/>
  <cols>
    <col min="1" max="1" width="25.44140625" customWidth="1"/>
    <col min="2" max="2" width="15.5546875" customWidth="1"/>
    <col min="3" max="3" width="11" customWidth="1"/>
    <col min="4" max="4" width="12.109375" customWidth="1"/>
    <col min="5" max="5" width="15.33203125" customWidth="1"/>
    <col min="6" max="6" width="16.44140625" bestFit="1" customWidth="1"/>
    <col min="7" max="7" width="7.44140625" customWidth="1"/>
    <col min="8" max="24" width="17.33203125" customWidth="1"/>
  </cols>
  <sheetData>
    <row r="1" spans="1:7" ht="28.2" x14ac:dyDescent="0.25">
      <c r="A1" s="91" t="s">
        <v>0</v>
      </c>
      <c r="B1" s="92"/>
      <c r="C1" s="92"/>
      <c r="D1" s="92"/>
      <c r="E1" s="92"/>
      <c r="F1" s="93"/>
      <c r="G1" s="1"/>
    </row>
    <row r="2" spans="1:7" ht="20.25" customHeight="1" x14ac:dyDescent="0.25">
      <c r="A2" s="94" t="s">
        <v>1</v>
      </c>
      <c r="B2" s="95"/>
      <c r="C2" s="95"/>
      <c r="D2" s="95"/>
      <c r="E2" s="100"/>
      <c r="F2" s="101"/>
      <c r="G2" s="1"/>
    </row>
    <row r="3" spans="1:7" ht="21" customHeight="1" x14ac:dyDescent="0.25">
      <c r="A3" s="110" t="s">
        <v>23</v>
      </c>
      <c r="B3" s="111"/>
      <c r="C3" s="111"/>
      <c r="D3" s="111"/>
      <c r="E3" s="100"/>
      <c r="F3" s="101"/>
      <c r="G3" s="3"/>
    </row>
    <row r="4" spans="1:7" ht="18.75" customHeight="1" x14ac:dyDescent="0.25">
      <c r="A4" s="112" t="s">
        <v>24</v>
      </c>
      <c r="B4" s="113"/>
      <c r="C4" s="113"/>
      <c r="D4" s="113"/>
      <c r="E4" s="100"/>
      <c r="F4" s="101"/>
      <c r="G4" s="3"/>
    </row>
    <row r="5" spans="1:7" ht="4.2" customHeight="1" x14ac:dyDescent="0.25">
      <c r="A5" s="107"/>
      <c r="B5" s="108"/>
      <c r="C5" s="108"/>
      <c r="D5" s="108"/>
      <c r="E5" s="108"/>
      <c r="F5" s="109"/>
      <c r="G5" s="5"/>
    </row>
    <row r="6" spans="1:7" ht="17.399999999999999" customHeight="1" x14ac:dyDescent="0.25">
      <c r="A6" s="77" t="s">
        <v>37</v>
      </c>
      <c r="B6" s="78"/>
      <c r="C6" s="78"/>
      <c r="D6" s="74" t="s">
        <v>5</v>
      </c>
      <c r="E6" s="74"/>
      <c r="F6" s="25">
        <v>45073</v>
      </c>
      <c r="G6" s="6"/>
    </row>
    <row r="7" spans="1:7" ht="16.95" customHeight="1" x14ac:dyDescent="0.25">
      <c r="A7" s="79"/>
      <c r="B7" s="80"/>
      <c r="C7" s="80"/>
      <c r="D7" s="89" t="s">
        <v>6</v>
      </c>
      <c r="E7" s="89"/>
      <c r="F7" s="25">
        <v>45104</v>
      </c>
      <c r="G7" s="5"/>
    </row>
    <row r="8" spans="1:7" ht="4.2" customHeight="1" x14ac:dyDescent="0.25">
      <c r="A8" s="81"/>
      <c r="B8" s="82"/>
      <c r="C8" s="82"/>
      <c r="D8" s="82"/>
      <c r="E8" s="82"/>
      <c r="F8" s="83"/>
      <c r="G8" s="5"/>
    </row>
    <row r="9" spans="1:7" ht="22.2" customHeight="1" x14ac:dyDescent="0.25">
      <c r="A9" s="104" t="s">
        <v>26</v>
      </c>
      <c r="B9" s="87"/>
      <c r="C9" s="88"/>
      <c r="D9" s="87" t="s">
        <v>8</v>
      </c>
      <c r="E9" s="87"/>
      <c r="F9" s="88"/>
      <c r="G9" s="7"/>
    </row>
    <row r="10" spans="1:7" ht="18" customHeight="1" x14ac:dyDescent="0.25">
      <c r="A10" s="84" t="s">
        <v>38</v>
      </c>
      <c r="B10" s="85"/>
      <c r="C10" s="85"/>
      <c r="D10" s="84" t="s">
        <v>38</v>
      </c>
      <c r="E10" s="85"/>
      <c r="F10" s="86"/>
      <c r="G10" s="4"/>
    </row>
    <row r="11" spans="1:7" ht="18" customHeight="1" x14ac:dyDescent="0.25">
      <c r="A11" s="84" t="s">
        <v>39</v>
      </c>
      <c r="B11" s="85"/>
      <c r="C11" s="85"/>
      <c r="D11" s="84" t="s">
        <v>39</v>
      </c>
      <c r="E11" s="85"/>
      <c r="F11" s="86"/>
      <c r="G11" s="9"/>
    </row>
    <row r="12" spans="1:7" ht="15.75" customHeight="1" x14ac:dyDescent="0.25">
      <c r="A12" s="84" t="s">
        <v>40</v>
      </c>
      <c r="B12" s="85"/>
      <c r="C12" s="85"/>
      <c r="D12" s="126" t="s">
        <v>40</v>
      </c>
      <c r="E12" s="85"/>
      <c r="F12" s="86"/>
      <c r="G12" s="10"/>
    </row>
    <row r="13" spans="1:7" ht="4.2" customHeight="1" x14ac:dyDescent="0.25">
      <c r="A13" s="21"/>
      <c r="B13" s="8"/>
      <c r="D13" s="8"/>
      <c r="E13" s="8"/>
      <c r="F13" s="22"/>
      <c r="G13" s="8"/>
    </row>
    <row r="14" spans="1:7" ht="18" customHeight="1" x14ac:dyDescent="0.25">
      <c r="A14" s="90" t="s">
        <v>12</v>
      </c>
      <c r="B14" s="42"/>
      <c r="C14" s="34" t="s">
        <v>13</v>
      </c>
      <c r="D14" s="41" t="s">
        <v>14</v>
      </c>
      <c r="E14" s="42"/>
      <c r="F14" s="35" t="s">
        <v>15</v>
      </c>
      <c r="G14" s="5"/>
    </row>
    <row r="15" spans="1:7" ht="40.5" customHeight="1" x14ac:dyDescent="0.25">
      <c r="A15" s="129" t="s">
        <v>41</v>
      </c>
      <c r="B15" s="46"/>
      <c r="C15" s="11">
        <v>2000</v>
      </c>
      <c r="D15" s="43">
        <v>100</v>
      </c>
      <c r="E15" s="44"/>
      <c r="F15" s="27">
        <f>C15*D15</f>
        <v>200000</v>
      </c>
      <c r="G15" s="12"/>
    </row>
    <row r="16" spans="1:7" ht="18" customHeight="1" x14ac:dyDescent="0.25">
      <c r="A16" s="127" t="s">
        <v>42</v>
      </c>
      <c r="B16" s="128"/>
      <c r="C16" s="14"/>
      <c r="D16" s="47"/>
      <c r="E16" s="46"/>
      <c r="F16" s="23"/>
      <c r="G16" s="12"/>
    </row>
    <row r="17" spans="1:7" ht="18" customHeight="1" x14ac:dyDescent="0.25">
      <c r="A17" s="50"/>
      <c r="B17" s="133"/>
      <c r="C17" s="13"/>
      <c r="D17" s="45"/>
      <c r="E17" s="132"/>
      <c r="F17" s="23"/>
      <c r="G17" s="12"/>
    </row>
    <row r="18" spans="1:7" ht="18" customHeight="1" x14ac:dyDescent="0.25">
      <c r="A18" s="51"/>
      <c r="B18" s="130"/>
      <c r="C18" s="14"/>
      <c r="D18" s="47"/>
      <c r="E18" s="131"/>
      <c r="F18" s="23"/>
      <c r="G18" s="12"/>
    </row>
    <row r="19" spans="1:7" ht="18" customHeight="1" x14ac:dyDescent="0.25">
      <c r="A19" s="50"/>
      <c r="B19" s="46"/>
      <c r="C19" s="13"/>
      <c r="D19" s="45"/>
      <c r="E19" s="46"/>
      <c r="F19" s="23"/>
      <c r="G19" s="12"/>
    </row>
    <row r="20" spans="1:7" ht="18" customHeight="1" x14ac:dyDescent="0.25">
      <c r="A20" s="51"/>
      <c r="B20" s="46"/>
      <c r="C20" s="14"/>
      <c r="D20" s="47"/>
      <c r="E20" s="46"/>
      <c r="F20" s="23"/>
      <c r="G20" s="12"/>
    </row>
    <row r="21" spans="1:7" ht="18" customHeight="1" x14ac:dyDescent="0.25">
      <c r="A21" s="50"/>
      <c r="B21" s="46"/>
      <c r="C21" s="13"/>
      <c r="D21" s="45"/>
      <c r="E21" s="46"/>
      <c r="F21" s="23"/>
      <c r="G21" s="12"/>
    </row>
    <row r="22" spans="1:7" ht="18" customHeight="1" x14ac:dyDescent="0.25">
      <c r="A22" s="51"/>
      <c r="B22" s="46"/>
      <c r="C22" s="14"/>
      <c r="D22" s="52"/>
      <c r="E22" s="53"/>
      <c r="F22" s="24"/>
      <c r="G22" s="12"/>
    </row>
    <row r="23" spans="1:7" ht="19.5" customHeight="1" x14ac:dyDescent="0.25">
      <c r="A23" s="105"/>
      <c r="B23" s="106"/>
      <c r="C23" s="106"/>
      <c r="D23" s="102" t="s">
        <v>17</v>
      </c>
      <c r="E23" s="103"/>
      <c r="F23" s="28">
        <v>200000</v>
      </c>
      <c r="G23" s="15"/>
    </row>
    <row r="24" spans="1:7" ht="19.5" customHeight="1" x14ac:dyDescent="0.25">
      <c r="A24" s="56" t="s">
        <v>18</v>
      </c>
      <c r="B24" s="57"/>
      <c r="C24" s="58"/>
      <c r="D24" s="54" t="s">
        <v>19</v>
      </c>
      <c r="E24" s="55"/>
      <c r="F24" s="28">
        <f>F23*2.5%</f>
        <v>5000</v>
      </c>
      <c r="G24" s="15"/>
    </row>
    <row r="25" spans="1:7" ht="18" customHeight="1" x14ac:dyDescent="0.25">
      <c r="A25" s="59" t="s">
        <v>20</v>
      </c>
      <c r="B25" s="60"/>
      <c r="C25" s="60"/>
      <c r="D25" s="48" t="s">
        <v>21</v>
      </c>
      <c r="E25" s="49"/>
      <c r="F25" s="29">
        <f>F23+F24</f>
        <v>205000</v>
      </c>
      <c r="G25" s="16"/>
    </row>
    <row r="26" spans="1:7" ht="22.95" customHeight="1" x14ac:dyDescent="0.25">
      <c r="A26" s="59"/>
      <c r="B26" s="60"/>
      <c r="C26" s="60"/>
      <c r="D26" s="63" t="s">
        <v>22</v>
      </c>
      <c r="E26" s="64"/>
      <c r="F26" s="70">
        <f>F25</f>
        <v>205000</v>
      </c>
      <c r="G26" s="17"/>
    </row>
    <row r="27" spans="1:7" ht="14.25" customHeight="1" x14ac:dyDescent="0.25">
      <c r="A27" s="61"/>
      <c r="B27" s="62"/>
      <c r="C27" s="62"/>
      <c r="D27" s="65"/>
      <c r="E27" s="66"/>
      <c r="F27" s="70"/>
      <c r="G27" s="17"/>
    </row>
    <row r="28" spans="1:7" ht="9.6" customHeight="1" thickBot="1" x14ac:dyDescent="0.3">
      <c r="A28" s="67"/>
      <c r="B28" s="68"/>
      <c r="C28" s="68"/>
      <c r="D28" s="68"/>
      <c r="E28" s="68"/>
      <c r="F28" s="69"/>
      <c r="G28" s="17"/>
    </row>
    <row r="29" spans="1:7" ht="15.75" customHeight="1" x14ac:dyDescent="0.25">
      <c r="A29" s="38"/>
      <c r="B29" s="39"/>
      <c r="C29" s="39"/>
      <c r="D29" s="39"/>
      <c r="E29" s="39"/>
      <c r="F29" s="39"/>
      <c r="G29" s="18"/>
    </row>
    <row r="30" spans="1:7" ht="15.75" customHeight="1" x14ac:dyDescent="0.25">
      <c r="A30" s="38"/>
      <c r="B30" s="39"/>
      <c r="C30" s="39"/>
      <c r="D30" s="39"/>
      <c r="E30" s="39"/>
      <c r="F30" s="39"/>
      <c r="G30" s="19"/>
    </row>
    <row r="31" spans="1:7" ht="21" customHeight="1" x14ac:dyDescent="0.25">
      <c r="A31" s="40"/>
      <c r="B31" s="39"/>
      <c r="C31" s="39"/>
      <c r="D31" s="39"/>
      <c r="E31" s="39"/>
      <c r="F31" s="39"/>
      <c r="G31" s="20"/>
    </row>
    <row r="32" spans="1:7" ht="15.75" customHeight="1" x14ac:dyDescent="0.25">
      <c r="A32" s="2"/>
      <c r="B32" s="2"/>
      <c r="C32" s="2"/>
      <c r="D32" s="2"/>
      <c r="E32" s="2"/>
      <c r="F32" s="2"/>
      <c r="G32" s="2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48">
    <mergeCell ref="F26:F27"/>
    <mergeCell ref="A28:F28"/>
    <mergeCell ref="A29:F29"/>
    <mergeCell ref="A30:F30"/>
    <mergeCell ref="A31:F31"/>
    <mergeCell ref="A23:C23"/>
    <mergeCell ref="D23:E23"/>
    <mergeCell ref="A24:C24"/>
    <mergeCell ref="D24:E24"/>
    <mergeCell ref="A25:C27"/>
    <mergeCell ref="D25:E25"/>
    <mergeCell ref="D26:E27"/>
    <mergeCell ref="A20:B20"/>
    <mergeCell ref="D20:E20"/>
    <mergeCell ref="A21:B21"/>
    <mergeCell ref="D21:E21"/>
    <mergeCell ref="A22:B22"/>
    <mergeCell ref="D22:E22"/>
    <mergeCell ref="A18:B18"/>
    <mergeCell ref="D18:E18"/>
    <mergeCell ref="A19:B19"/>
    <mergeCell ref="D19:E19"/>
    <mergeCell ref="D17:E17"/>
    <mergeCell ref="A17:B17"/>
    <mergeCell ref="A16:B16"/>
    <mergeCell ref="D16:E16"/>
    <mergeCell ref="A14:B14"/>
    <mergeCell ref="D14:E14"/>
    <mergeCell ref="D15:E15"/>
    <mergeCell ref="A15:B15"/>
    <mergeCell ref="A10:C10"/>
    <mergeCell ref="D10:F10"/>
    <mergeCell ref="A11:C11"/>
    <mergeCell ref="D11:F11"/>
    <mergeCell ref="A12:C12"/>
    <mergeCell ref="D12:F12"/>
    <mergeCell ref="A6:C7"/>
    <mergeCell ref="D6:E6"/>
    <mergeCell ref="D7:E7"/>
    <mergeCell ref="A8:F8"/>
    <mergeCell ref="A9:C9"/>
    <mergeCell ref="D9:F9"/>
    <mergeCell ref="A5:F5"/>
    <mergeCell ref="A1:F1"/>
    <mergeCell ref="A2:D2"/>
    <mergeCell ref="E2:F4"/>
    <mergeCell ref="A3:D3"/>
    <mergeCell ref="A4:D4"/>
  </mergeCells>
  <pageMargins left="0.7" right="0.7" top="0.75" bottom="0.75" header="0.3" footer="0.3"/>
  <pageSetup paperSize="9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2843D-64DC-4266-89CD-A56DA5F3E15C}">
  <sheetPr>
    <pageSetUpPr fitToPage="1"/>
  </sheetPr>
  <dimension ref="A1:G993"/>
  <sheetViews>
    <sheetView workbookViewId="0">
      <selection activeCell="A14" sqref="A14:B14"/>
    </sheetView>
  </sheetViews>
  <sheetFormatPr defaultColWidth="14.44140625" defaultRowHeight="13.2" x14ac:dyDescent="0.25"/>
  <cols>
    <col min="1" max="1" width="25.44140625" customWidth="1"/>
    <col min="2" max="2" width="15.5546875" customWidth="1"/>
    <col min="3" max="3" width="11" customWidth="1"/>
    <col min="4" max="4" width="12.109375" customWidth="1"/>
    <col min="5" max="5" width="15.33203125" customWidth="1"/>
    <col min="6" max="6" width="16.44140625" bestFit="1" customWidth="1"/>
    <col min="7" max="7" width="7.44140625" customWidth="1"/>
    <col min="8" max="24" width="17.33203125" customWidth="1"/>
  </cols>
  <sheetData>
    <row r="1" spans="1:7" ht="28.2" x14ac:dyDescent="0.25">
      <c r="A1" s="91" t="s">
        <v>0</v>
      </c>
      <c r="B1" s="92"/>
      <c r="C1" s="92"/>
      <c r="D1" s="92"/>
      <c r="E1" s="92"/>
      <c r="F1" s="93"/>
      <c r="G1" s="1"/>
    </row>
    <row r="2" spans="1:7" ht="20.25" customHeight="1" x14ac:dyDescent="0.25">
      <c r="A2" s="94" t="s">
        <v>1</v>
      </c>
      <c r="B2" s="95"/>
      <c r="C2" s="95"/>
      <c r="D2" s="95"/>
      <c r="E2" s="100"/>
      <c r="F2" s="101"/>
      <c r="G2" s="1"/>
    </row>
    <row r="3" spans="1:7" ht="21" customHeight="1" x14ac:dyDescent="0.25">
      <c r="A3" s="110" t="s">
        <v>23</v>
      </c>
      <c r="B3" s="111"/>
      <c r="C3" s="111"/>
      <c r="D3" s="111"/>
      <c r="E3" s="100"/>
      <c r="F3" s="101"/>
      <c r="G3" s="3"/>
    </row>
    <row r="4" spans="1:7" ht="18.75" customHeight="1" x14ac:dyDescent="0.25">
      <c r="A4" s="112" t="s">
        <v>24</v>
      </c>
      <c r="B4" s="113"/>
      <c r="C4" s="113"/>
      <c r="D4" s="113"/>
      <c r="E4" s="100"/>
      <c r="F4" s="101"/>
      <c r="G4" s="3"/>
    </row>
    <row r="5" spans="1:7" ht="4.2" customHeight="1" x14ac:dyDescent="0.25">
      <c r="A5" s="107"/>
      <c r="B5" s="108"/>
      <c r="C5" s="108"/>
      <c r="D5" s="108"/>
      <c r="E5" s="108"/>
      <c r="F5" s="109"/>
      <c r="G5" s="5"/>
    </row>
    <row r="6" spans="1:7" ht="17.399999999999999" customHeight="1" x14ac:dyDescent="0.25">
      <c r="A6" s="77" t="s">
        <v>43</v>
      </c>
      <c r="B6" s="78"/>
      <c r="C6" s="78"/>
      <c r="D6" s="74" t="s">
        <v>5</v>
      </c>
      <c r="E6" s="74"/>
      <c r="F6" s="25">
        <v>44900</v>
      </c>
      <c r="G6" s="6"/>
    </row>
    <row r="7" spans="1:7" ht="16.95" customHeight="1" x14ac:dyDescent="0.25">
      <c r="A7" s="79"/>
      <c r="B7" s="80"/>
      <c r="C7" s="80"/>
      <c r="D7" s="89" t="s">
        <v>6</v>
      </c>
      <c r="E7" s="89"/>
      <c r="F7" s="25">
        <v>44930</v>
      </c>
      <c r="G7" s="5"/>
    </row>
    <row r="8" spans="1:7" ht="4.2" customHeight="1" x14ac:dyDescent="0.25">
      <c r="A8" s="81"/>
      <c r="B8" s="82"/>
      <c r="C8" s="82"/>
      <c r="D8" s="82"/>
      <c r="E8" s="82"/>
      <c r="F8" s="83"/>
      <c r="G8" s="5"/>
    </row>
    <row r="9" spans="1:7" ht="22.2" customHeight="1" x14ac:dyDescent="0.25">
      <c r="A9" s="104" t="s">
        <v>26</v>
      </c>
      <c r="B9" s="87"/>
      <c r="C9" s="88"/>
      <c r="D9" s="87" t="s">
        <v>8</v>
      </c>
      <c r="E9" s="87"/>
      <c r="F9" s="88"/>
      <c r="G9" s="7"/>
    </row>
    <row r="10" spans="1:7" ht="18" customHeight="1" x14ac:dyDescent="0.25">
      <c r="A10" s="84" t="s">
        <v>44</v>
      </c>
      <c r="B10" s="85"/>
      <c r="C10" s="85"/>
      <c r="D10" s="84" t="s">
        <v>44</v>
      </c>
      <c r="E10" s="85"/>
      <c r="F10" s="86"/>
      <c r="G10" s="4"/>
    </row>
    <row r="11" spans="1:7" ht="18" customHeight="1" x14ac:dyDescent="0.25">
      <c r="A11" s="84" t="s">
        <v>45</v>
      </c>
      <c r="B11" s="85"/>
      <c r="C11" s="85"/>
      <c r="D11" s="84" t="s">
        <v>45</v>
      </c>
      <c r="E11" s="85"/>
      <c r="F11" s="86"/>
      <c r="G11" s="9"/>
    </row>
    <row r="12" spans="1:7" ht="15.75" customHeight="1" x14ac:dyDescent="0.25">
      <c r="A12" s="84" t="s">
        <v>46</v>
      </c>
      <c r="B12" s="85"/>
      <c r="C12" s="85"/>
      <c r="D12" s="84" t="s">
        <v>46</v>
      </c>
      <c r="E12" s="85"/>
      <c r="F12" s="134"/>
      <c r="G12" s="10"/>
    </row>
    <row r="13" spans="1:7" ht="4.2" customHeight="1" x14ac:dyDescent="0.25">
      <c r="A13" s="21"/>
      <c r="B13" s="8"/>
      <c r="D13" s="8"/>
      <c r="E13" s="8"/>
      <c r="F13" s="22"/>
      <c r="G13" s="8"/>
    </row>
    <row r="14" spans="1:7" ht="18" customHeight="1" x14ac:dyDescent="0.25">
      <c r="A14" s="90" t="s">
        <v>12</v>
      </c>
      <c r="B14" s="42"/>
      <c r="C14" s="34" t="s">
        <v>13</v>
      </c>
      <c r="D14" s="41" t="s">
        <v>14</v>
      </c>
      <c r="E14" s="42"/>
      <c r="F14" s="35" t="s">
        <v>15</v>
      </c>
      <c r="G14" s="5"/>
    </row>
    <row r="15" spans="1:7" ht="27" customHeight="1" x14ac:dyDescent="0.25">
      <c r="A15" s="75" t="s">
        <v>47</v>
      </c>
      <c r="B15" s="76"/>
      <c r="C15" s="11">
        <v>200</v>
      </c>
      <c r="D15" s="43">
        <v>500</v>
      </c>
      <c r="E15" s="44"/>
      <c r="F15" s="27">
        <f>C15*D15</f>
        <v>100000</v>
      </c>
      <c r="G15" s="12"/>
    </row>
    <row r="16" spans="1:7" ht="18" customHeight="1" x14ac:dyDescent="0.25">
      <c r="A16" s="50"/>
      <c r="B16" s="46"/>
      <c r="C16" s="13"/>
      <c r="D16" s="45"/>
      <c r="E16" s="46"/>
      <c r="F16" s="23"/>
      <c r="G16" s="12"/>
    </row>
    <row r="17" spans="1:7" ht="18" customHeight="1" x14ac:dyDescent="0.25">
      <c r="A17" s="51"/>
      <c r="B17" s="46"/>
      <c r="C17" s="14"/>
      <c r="D17" s="47"/>
      <c r="E17" s="46"/>
      <c r="F17" s="23"/>
      <c r="G17" s="12"/>
    </row>
    <row r="18" spans="1:7" ht="18" customHeight="1" x14ac:dyDescent="0.25">
      <c r="A18" s="50"/>
      <c r="B18" s="46"/>
      <c r="C18" s="13"/>
      <c r="D18" s="45"/>
      <c r="E18" s="46"/>
      <c r="F18" s="23"/>
      <c r="G18" s="12"/>
    </row>
    <row r="19" spans="1:7" ht="18" customHeight="1" x14ac:dyDescent="0.25">
      <c r="A19" s="50"/>
      <c r="B19" s="46"/>
      <c r="C19" s="13"/>
      <c r="D19" s="45"/>
      <c r="E19" s="46"/>
      <c r="F19" s="23"/>
      <c r="G19" s="12"/>
    </row>
    <row r="20" spans="1:7" ht="18" customHeight="1" x14ac:dyDescent="0.25">
      <c r="A20" s="51"/>
      <c r="B20" s="46"/>
      <c r="C20" s="14"/>
      <c r="D20" s="47"/>
      <c r="E20" s="46"/>
      <c r="F20" s="23"/>
      <c r="G20" s="12"/>
    </row>
    <row r="21" spans="1:7" ht="18" customHeight="1" x14ac:dyDescent="0.25">
      <c r="A21" s="50"/>
      <c r="B21" s="46"/>
      <c r="C21" s="13"/>
      <c r="D21" s="45"/>
      <c r="E21" s="46"/>
      <c r="F21" s="23"/>
      <c r="G21" s="12"/>
    </row>
    <row r="22" spans="1:7" ht="18" customHeight="1" x14ac:dyDescent="0.25">
      <c r="A22" s="51"/>
      <c r="B22" s="46"/>
      <c r="C22" s="14"/>
      <c r="D22" s="52"/>
      <c r="E22" s="53"/>
      <c r="F22" s="24"/>
      <c r="G22" s="12"/>
    </row>
    <row r="23" spans="1:7" ht="19.5" customHeight="1" x14ac:dyDescent="0.25">
      <c r="A23" s="105"/>
      <c r="B23" s="106"/>
      <c r="C23" s="106"/>
      <c r="D23" s="102" t="s">
        <v>17</v>
      </c>
      <c r="E23" s="103"/>
      <c r="F23" s="28">
        <v>100000</v>
      </c>
      <c r="G23" s="15"/>
    </row>
    <row r="24" spans="1:7" ht="19.5" customHeight="1" x14ac:dyDescent="0.25">
      <c r="A24" s="56" t="s">
        <v>18</v>
      </c>
      <c r="B24" s="57"/>
      <c r="C24" s="58"/>
      <c r="D24" s="54" t="s">
        <v>19</v>
      </c>
      <c r="E24" s="55"/>
      <c r="F24" s="28">
        <f>F23*2.5%</f>
        <v>2500</v>
      </c>
      <c r="G24" s="15"/>
    </row>
    <row r="25" spans="1:7" ht="18" customHeight="1" x14ac:dyDescent="0.25">
      <c r="A25" s="59" t="s">
        <v>20</v>
      </c>
      <c r="B25" s="60"/>
      <c r="C25" s="60"/>
      <c r="D25" s="48" t="s">
        <v>21</v>
      </c>
      <c r="E25" s="49"/>
      <c r="F25" s="29">
        <f>F23+F24</f>
        <v>102500</v>
      </c>
      <c r="G25" s="16"/>
    </row>
    <row r="26" spans="1:7" ht="22.95" customHeight="1" x14ac:dyDescent="0.25">
      <c r="A26" s="59"/>
      <c r="B26" s="60"/>
      <c r="C26" s="60"/>
      <c r="D26" s="63" t="s">
        <v>22</v>
      </c>
      <c r="E26" s="64"/>
      <c r="F26" s="70">
        <f>F23+F24</f>
        <v>102500</v>
      </c>
      <c r="G26" s="17"/>
    </row>
    <row r="27" spans="1:7" ht="22.95" customHeight="1" x14ac:dyDescent="0.25">
      <c r="A27" s="61"/>
      <c r="B27" s="62"/>
      <c r="C27" s="62"/>
      <c r="D27" s="65"/>
      <c r="E27" s="66"/>
      <c r="F27" s="70"/>
      <c r="G27" s="17"/>
    </row>
    <row r="28" spans="1:7" ht="9.6" customHeight="1" thickBot="1" x14ac:dyDescent="0.3">
      <c r="A28" s="67"/>
      <c r="B28" s="68"/>
      <c r="C28" s="68"/>
      <c r="D28" s="68"/>
      <c r="E28" s="68"/>
      <c r="F28" s="69"/>
      <c r="G28" s="17"/>
    </row>
    <row r="29" spans="1:7" ht="15.75" customHeight="1" x14ac:dyDescent="0.25">
      <c r="A29" s="38"/>
      <c r="B29" s="39"/>
      <c r="C29" s="39"/>
      <c r="D29" s="39"/>
      <c r="E29" s="39"/>
      <c r="F29" s="39"/>
      <c r="G29" s="18"/>
    </row>
    <row r="30" spans="1:7" ht="15.75" customHeight="1" x14ac:dyDescent="0.25">
      <c r="A30" s="38"/>
      <c r="B30" s="39"/>
      <c r="C30" s="39"/>
      <c r="D30" s="39"/>
      <c r="E30" s="39"/>
      <c r="F30" s="39"/>
      <c r="G30" s="19"/>
    </row>
    <row r="31" spans="1:7" ht="21" customHeight="1" x14ac:dyDescent="0.25">
      <c r="A31" s="40"/>
      <c r="B31" s="39"/>
      <c r="C31" s="39"/>
      <c r="D31" s="39"/>
      <c r="E31" s="39"/>
      <c r="F31" s="39"/>
      <c r="G31" s="20"/>
    </row>
    <row r="32" spans="1:7" ht="15.75" customHeight="1" x14ac:dyDescent="0.25">
      <c r="A32" s="2"/>
      <c r="B32" s="2"/>
      <c r="C32" s="2"/>
      <c r="D32" s="2"/>
      <c r="E32" s="2"/>
      <c r="F32" s="2"/>
      <c r="G32" s="2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48">
    <mergeCell ref="F26:F27"/>
    <mergeCell ref="A28:F28"/>
    <mergeCell ref="A29:F29"/>
    <mergeCell ref="A30:F30"/>
    <mergeCell ref="A31:F31"/>
    <mergeCell ref="A23:C23"/>
    <mergeCell ref="D23:E23"/>
    <mergeCell ref="A24:C24"/>
    <mergeCell ref="D24:E24"/>
    <mergeCell ref="A25:C27"/>
    <mergeCell ref="D25:E25"/>
    <mergeCell ref="D26:E27"/>
    <mergeCell ref="A20:B20"/>
    <mergeCell ref="D20:E20"/>
    <mergeCell ref="A21:B21"/>
    <mergeCell ref="D21:E21"/>
    <mergeCell ref="A22:B22"/>
    <mergeCell ref="D22:E22"/>
    <mergeCell ref="A19:B19"/>
    <mergeCell ref="D19:E19"/>
    <mergeCell ref="A17:B17"/>
    <mergeCell ref="D17:E17"/>
    <mergeCell ref="A18:B18"/>
    <mergeCell ref="D18:E18"/>
    <mergeCell ref="A14:B14"/>
    <mergeCell ref="D14:E14"/>
    <mergeCell ref="A15:B15"/>
    <mergeCell ref="D15:E15"/>
    <mergeCell ref="A16:B16"/>
    <mergeCell ref="D16:E16"/>
    <mergeCell ref="A10:C10"/>
    <mergeCell ref="D10:F10"/>
    <mergeCell ref="A11:C11"/>
    <mergeCell ref="D11:F11"/>
    <mergeCell ref="A12:C12"/>
    <mergeCell ref="D12:F12"/>
    <mergeCell ref="A6:C7"/>
    <mergeCell ref="D6:E6"/>
    <mergeCell ref="D7:E7"/>
    <mergeCell ref="A8:F8"/>
    <mergeCell ref="A9:C9"/>
    <mergeCell ref="D9:F9"/>
    <mergeCell ref="A5:F5"/>
    <mergeCell ref="A1:F1"/>
    <mergeCell ref="A2:D2"/>
    <mergeCell ref="E2:F4"/>
    <mergeCell ref="A3:D3"/>
    <mergeCell ref="A4:D4"/>
  </mergeCells>
  <pageMargins left="0.7" right="0.7" top="0.75" bottom="0.75" header="0.3" footer="0.3"/>
  <pageSetup paperSize="9"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FB661-054C-4B22-9D61-FA838B497276}">
  <sheetPr>
    <pageSetUpPr fitToPage="1"/>
  </sheetPr>
  <dimension ref="A1:G993"/>
  <sheetViews>
    <sheetView workbookViewId="0">
      <selection activeCell="A3" sqref="A3:D3"/>
    </sheetView>
  </sheetViews>
  <sheetFormatPr defaultColWidth="14.44140625" defaultRowHeight="13.2" x14ac:dyDescent="0.25"/>
  <cols>
    <col min="1" max="1" width="25.44140625" customWidth="1"/>
    <col min="2" max="2" width="15.5546875" customWidth="1"/>
    <col min="3" max="3" width="11" customWidth="1"/>
    <col min="4" max="4" width="12.109375" customWidth="1"/>
    <col min="5" max="5" width="15.33203125" customWidth="1"/>
    <col min="6" max="6" width="16.44140625" bestFit="1" customWidth="1"/>
    <col min="7" max="7" width="7.44140625" customWidth="1"/>
    <col min="8" max="24" width="17.33203125" customWidth="1"/>
  </cols>
  <sheetData>
    <row r="1" spans="1:7" ht="36.6" customHeight="1" x14ac:dyDescent="0.25">
      <c r="A1" s="120" t="s">
        <v>0</v>
      </c>
      <c r="B1" s="121"/>
      <c r="C1" s="121"/>
      <c r="D1" s="121"/>
      <c r="E1" s="121"/>
      <c r="F1" s="122"/>
      <c r="G1" s="1"/>
    </row>
    <row r="2" spans="1:7" ht="20.25" customHeight="1" x14ac:dyDescent="0.25">
      <c r="A2" s="94" t="s">
        <v>1</v>
      </c>
      <c r="B2" s="95"/>
      <c r="C2" s="95"/>
      <c r="D2" s="95"/>
      <c r="E2" s="100"/>
      <c r="F2" s="101"/>
      <c r="G2" s="1"/>
    </row>
    <row r="3" spans="1:7" ht="21" customHeight="1" x14ac:dyDescent="0.25">
      <c r="A3" s="110" t="s">
        <v>23</v>
      </c>
      <c r="B3" s="111"/>
      <c r="C3" s="111"/>
      <c r="D3" s="111"/>
      <c r="E3" s="100"/>
      <c r="F3" s="101"/>
      <c r="G3" s="3"/>
    </row>
    <row r="4" spans="1:7" ht="18.75" customHeight="1" x14ac:dyDescent="0.25">
      <c r="A4" s="112" t="s">
        <v>24</v>
      </c>
      <c r="B4" s="113"/>
      <c r="C4" s="113"/>
      <c r="D4" s="113"/>
      <c r="E4" s="100"/>
      <c r="F4" s="101"/>
      <c r="G4" s="3"/>
    </row>
    <row r="5" spans="1:7" ht="4.2" customHeight="1" x14ac:dyDescent="0.25">
      <c r="A5" s="107"/>
      <c r="B5" s="108"/>
      <c r="C5" s="108"/>
      <c r="D5" s="108"/>
      <c r="E5" s="108"/>
      <c r="F5" s="109"/>
      <c r="G5" s="5"/>
    </row>
    <row r="6" spans="1:7" ht="17.399999999999999" customHeight="1" x14ac:dyDescent="0.25">
      <c r="A6" s="77" t="s">
        <v>48</v>
      </c>
      <c r="B6" s="78"/>
      <c r="C6" s="78"/>
      <c r="D6" s="74" t="s">
        <v>5</v>
      </c>
      <c r="E6" s="74"/>
      <c r="F6" s="25">
        <v>44927</v>
      </c>
      <c r="G6" s="6"/>
    </row>
    <row r="7" spans="1:7" ht="16.95" customHeight="1" x14ac:dyDescent="0.25">
      <c r="A7" s="79"/>
      <c r="B7" s="80"/>
      <c r="C7" s="80"/>
      <c r="D7" s="89" t="s">
        <v>6</v>
      </c>
      <c r="E7" s="89"/>
      <c r="F7" s="25">
        <v>44958</v>
      </c>
      <c r="G7" s="5"/>
    </row>
    <row r="8" spans="1:7" ht="4.2" customHeight="1" x14ac:dyDescent="0.25">
      <c r="A8" s="81"/>
      <c r="B8" s="82"/>
      <c r="C8" s="82"/>
      <c r="D8" s="82"/>
      <c r="E8" s="82"/>
      <c r="F8" s="83"/>
      <c r="G8" s="5"/>
    </row>
    <row r="9" spans="1:7" ht="22.2" customHeight="1" x14ac:dyDescent="0.25">
      <c r="A9" s="104" t="s">
        <v>26</v>
      </c>
      <c r="B9" s="87"/>
      <c r="C9" s="88"/>
      <c r="D9" s="87" t="s">
        <v>8</v>
      </c>
      <c r="E9" s="87"/>
      <c r="F9" s="88"/>
      <c r="G9" s="7"/>
    </row>
    <row r="10" spans="1:7" ht="18" customHeight="1" x14ac:dyDescent="0.25">
      <c r="A10" s="84" t="s">
        <v>44</v>
      </c>
      <c r="B10" s="85"/>
      <c r="C10" s="85"/>
      <c r="D10" s="84" t="s">
        <v>44</v>
      </c>
      <c r="E10" s="85"/>
      <c r="F10" s="86"/>
      <c r="G10" s="4"/>
    </row>
    <row r="11" spans="1:7" ht="18" customHeight="1" x14ac:dyDescent="0.25">
      <c r="A11" s="84" t="s">
        <v>45</v>
      </c>
      <c r="B11" s="85"/>
      <c r="C11" s="85"/>
      <c r="D11" s="84" t="s">
        <v>45</v>
      </c>
      <c r="E11" s="85"/>
      <c r="F11" s="86"/>
      <c r="G11" s="9"/>
    </row>
    <row r="12" spans="1:7" ht="15.75" customHeight="1" x14ac:dyDescent="0.25">
      <c r="A12" s="84" t="s">
        <v>46</v>
      </c>
      <c r="B12" s="85"/>
      <c r="C12" s="85"/>
      <c r="D12" s="84" t="s">
        <v>46</v>
      </c>
      <c r="E12" s="85"/>
      <c r="F12" s="135"/>
      <c r="G12" s="10"/>
    </row>
    <row r="13" spans="1:7" ht="4.2" customHeight="1" x14ac:dyDescent="0.25">
      <c r="A13" s="21"/>
      <c r="B13" s="8"/>
      <c r="D13" s="8"/>
      <c r="E13" s="8"/>
      <c r="F13" s="22"/>
      <c r="G13" s="8"/>
    </row>
    <row r="14" spans="1:7" ht="18" customHeight="1" x14ac:dyDescent="0.25">
      <c r="A14" s="90" t="s">
        <v>12</v>
      </c>
      <c r="B14" s="42"/>
      <c r="C14" s="34" t="s">
        <v>13</v>
      </c>
      <c r="D14" s="41" t="s">
        <v>14</v>
      </c>
      <c r="E14" s="42"/>
      <c r="F14" s="35" t="s">
        <v>15</v>
      </c>
      <c r="G14" s="5"/>
    </row>
    <row r="15" spans="1:7" ht="18" customHeight="1" x14ac:dyDescent="0.25">
      <c r="A15" s="123" t="s">
        <v>49</v>
      </c>
      <c r="B15" s="76"/>
      <c r="C15" s="11">
        <v>500</v>
      </c>
      <c r="D15" s="43">
        <v>1000</v>
      </c>
      <c r="E15" s="44"/>
      <c r="F15" s="27">
        <f>D15*C15</f>
        <v>500000</v>
      </c>
      <c r="G15" s="12"/>
    </row>
    <row r="16" spans="1:7" ht="18" customHeight="1" x14ac:dyDescent="0.25">
      <c r="A16" s="136" t="s">
        <v>50</v>
      </c>
      <c r="B16" s="128"/>
      <c r="C16" s="13"/>
      <c r="D16" s="45"/>
      <c r="E16" s="46"/>
      <c r="F16" s="23"/>
      <c r="G16" s="12"/>
    </row>
    <row r="17" spans="1:7" ht="18" customHeight="1" x14ac:dyDescent="0.25">
      <c r="A17" s="51"/>
      <c r="B17" s="46"/>
      <c r="C17" s="14"/>
      <c r="D17" s="47"/>
      <c r="E17" s="46"/>
      <c r="F17" s="23"/>
      <c r="G17" s="12"/>
    </row>
    <row r="18" spans="1:7" ht="18" customHeight="1" x14ac:dyDescent="0.25">
      <c r="A18" s="50"/>
      <c r="B18" s="46"/>
      <c r="C18" s="13"/>
      <c r="D18" s="45"/>
      <c r="E18" s="46"/>
      <c r="F18" s="23"/>
      <c r="G18" s="12"/>
    </row>
    <row r="19" spans="1:7" ht="18" customHeight="1" x14ac:dyDescent="0.25">
      <c r="A19" s="50"/>
      <c r="B19" s="46"/>
      <c r="C19" s="13"/>
      <c r="D19" s="45"/>
      <c r="E19" s="46"/>
      <c r="F19" s="23"/>
      <c r="G19" s="12"/>
    </row>
    <row r="20" spans="1:7" ht="18" customHeight="1" x14ac:dyDescent="0.25">
      <c r="A20" s="51"/>
      <c r="B20" s="46"/>
      <c r="C20" s="14"/>
      <c r="D20" s="47"/>
      <c r="E20" s="46"/>
      <c r="F20" s="23"/>
      <c r="G20" s="12"/>
    </row>
    <row r="21" spans="1:7" ht="18" customHeight="1" x14ac:dyDescent="0.25">
      <c r="A21" s="50"/>
      <c r="B21" s="46"/>
      <c r="C21" s="13"/>
      <c r="D21" s="45"/>
      <c r="E21" s="46"/>
      <c r="F21" s="23"/>
      <c r="G21" s="12"/>
    </row>
    <row r="22" spans="1:7" ht="18" customHeight="1" x14ac:dyDescent="0.25">
      <c r="A22" s="51"/>
      <c r="B22" s="46"/>
      <c r="C22" s="14"/>
      <c r="D22" s="52"/>
      <c r="E22" s="53"/>
      <c r="F22" s="24"/>
      <c r="G22" s="12"/>
    </row>
    <row r="23" spans="1:7" ht="19.5" customHeight="1" x14ac:dyDescent="0.25">
      <c r="A23" s="105"/>
      <c r="B23" s="106"/>
      <c r="C23" s="106"/>
      <c r="D23" s="102" t="s">
        <v>17</v>
      </c>
      <c r="E23" s="103"/>
      <c r="F23" s="28">
        <v>500000</v>
      </c>
      <c r="G23" s="15"/>
    </row>
    <row r="24" spans="1:7" ht="19.5" customHeight="1" x14ac:dyDescent="0.25">
      <c r="A24" s="56" t="s">
        <v>18</v>
      </c>
      <c r="B24" s="57"/>
      <c r="C24" s="58"/>
      <c r="D24" s="54" t="s">
        <v>19</v>
      </c>
      <c r="E24" s="55"/>
      <c r="F24" s="28">
        <f>F23*2.5%</f>
        <v>12500</v>
      </c>
      <c r="G24" s="15"/>
    </row>
    <row r="25" spans="1:7" ht="18" customHeight="1" x14ac:dyDescent="0.25">
      <c r="A25" s="59" t="s">
        <v>20</v>
      </c>
      <c r="B25" s="60"/>
      <c r="C25" s="60"/>
      <c r="D25" s="48" t="s">
        <v>21</v>
      </c>
      <c r="E25" s="49"/>
      <c r="F25" s="29">
        <f>F23+F24</f>
        <v>512500</v>
      </c>
      <c r="G25" s="16"/>
    </row>
    <row r="26" spans="1:7" ht="22.95" customHeight="1" x14ac:dyDescent="0.25">
      <c r="A26" s="59"/>
      <c r="B26" s="60"/>
      <c r="C26" s="60"/>
      <c r="D26" s="63" t="s">
        <v>22</v>
      </c>
      <c r="E26" s="64"/>
      <c r="F26" s="70">
        <f>F23+F24</f>
        <v>512500</v>
      </c>
      <c r="G26" s="17"/>
    </row>
    <row r="27" spans="1:7" ht="22.95" customHeight="1" x14ac:dyDescent="0.25">
      <c r="A27" s="61"/>
      <c r="B27" s="62"/>
      <c r="C27" s="62"/>
      <c r="D27" s="65"/>
      <c r="E27" s="66"/>
      <c r="F27" s="70"/>
      <c r="G27" s="17"/>
    </row>
    <row r="28" spans="1:7" ht="9.6" customHeight="1" thickBot="1" x14ac:dyDescent="0.3">
      <c r="A28" s="67"/>
      <c r="B28" s="68"/>
      <c r="C28" s="68"/>
      <c r="D28" s="68"/>
      <c r="E28" s="68"/>
      <c r="F28" s="69"/>
      <c r="G28" s="17"/>
    </row>
    <row r="29" spans="1:7" ht="15.75" customHeight="1" x14ac:dyDescent="0.25">
      <c r="A29" s="38"/>
      <c r="B29" s="39"/>
      <c r="C29" s="39"/>
      <c r="D29" s="39"/>
      <c r="E29" s="39"/>
      <c r="F29" s="39"/>
      <c r="G29" s="18"/>
    </row>
    <row r="30" spans="1:7" ht="15.75" customHeight="1" x14ac:dyDescent="0.25">
      <c r="A30" s="38"/>
      <c r="B30" s="39"/>
      <c r="C30" s="39"/>
      <c r="D30" s="39"/>
      <c r="E30" s="39"/>
      <c r="F30" s="39"/>
      <c r="G30" s="19"/>
    </row>
    <row r="31" spans="1:7" ht="21" customHeight="1" x14ac:dyDescent="0.25">
      <c r="A31" s="40"/>
      <c r="B31" s="39"/>
      <c r="C31" s="39"/>
      <c r="D31" s="39"/>
      <c r="E31" s="39"/>
      <c r="F31" s="39"/>
      <c r="G31" s="20"/>
    </row>
    <row r="32" spans="1:7" ht="15.75" customHeight="1" x14ac:dyDescent="0.25">
      <c r="A32" s="2"/>
      <c r="B32" s="2"/>
      <c r="C32" s="2"/>
      <c r="D32" s="2"/>
      <c r="E32" s="2"/>
      <c r="F32" s="2"/>
      <c r="G32" s="2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48">
    <mergeCell ref="F26:F27"/>
    <mergeCell ref="A28:F28"/>
    <mergeCell ref="A29:F29"/>
    <mergeCell ref="A30:F30"/>
    <mergeCell ref="A31:F31"/>
    <mergeCell ref="A23:C23"/>
    <mergeCell ref="D23:E23"/>
    <mergeCell ref="A24:C24"/>
    <mergeCell ref="D24:E24"/>
    <mergeCell ref="A25:C27"/>
    <mergeCell ref="D25:E25"/>
    <mergeCell ref="D26:E27"/>
    <mergeCell ref="A20:B20"/>
    <mergeCell ref="D20:E20"/>
    <mergeCell ref="A21:B21"/>
    <mergeCell ref="D21:E21"/>
    <mergeCell ref="A22:B22"/>
    <mergeCell ref="D22:E22"/>
    <mergeCell ref="A17:B17"/>
    <mergeCell ref="D17:E17"/>
    <mergeCell ref="A18:B18"/>
    <mergeCell ref="D18:E18"/>
    <mergeCell ref="A19:B19"/>
    <mergeCell ref="D19:E19"/>
    <mergeCell ref="A14:B14"/>
    <mergeCell ref="D14:E14"/>
    <mergeCell ref="A15:B15"/>
    <mergeCell ref="D15:E15"/>
    <mergeCell ref="A16:B16"/>
    <mergeCell ref="D16:E16"/>
    <mergeCell ref="A10:C10"/>
    <mergeCell ref="D10:F10"/>
    <mergeCell ref="A11:C11"/>
    <mergeCell ref="D11:F11"/>
    <mergeCell ref="A12:C12"/>
    <mergeCell ref="D12:F12"/>
    <mergeCell ref="A6:C7"/>
    <mergeCell ref="D6:E6"/>
    <mergeCell ref="D7:E7"/>
    <mergeCell ref="A8:F8"/>
    <mergeCell ref="A9:C9"/>
    <mergeCell ref="D9:F9"/>
    <mergeCell ref="A5:F5"/>
    <mergeCell ref="A1:F1"/>
    <mergeCell ref="A2:D2"/>
    <mergeCell ref="E2:F4"/>
    <mergeCell ref="A3:D3"/>
    <mergeCell ref="A4:D4"/>
  </mergeCells>
  <pageMargins left="0.7" right="0.7" top="0.75" bottom="0.75" header="0.3" footer="0.3"/>
  <pageSetup paperSize="9"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03F22-87E9-43EC-BE51-85D064616B21}">
  <sheetPr>
    <pageSetUpPr fitToPage="1"/>
  </sheetPr>
  <dimension ref="A1:G993"/>
  <sheetViews>
    <sheetView topLeftCell="A3" workbookViewId="0">
      <selection activeCell="A15" sqref="A15:B15"/>
    </sheetView>
  </sheetViews>
  <sheetFormatPr defaultColWidth="14.44140625" defaultRowHeight="13.2" x14ac:dyDescent="0.25"/>
  <cols>
    <col min="1" max="1" width="25.44140625" customWidth="1"/>
    <col min="2" max="2" width="15.5546875" customWidth="1"/>
    <col min="3" max="3" width="11" customWidth="1"/>
    <col min="4" max="4" width="12.109375" customWidth="1"/>
    <col min="5" max="5" width="15.33203125" customWidth="1"/>
    <col min="6" max="6" width="16.44140625" bestFit="1" customWidth="1"/>
    <col min="7" max="7" width="7.44140625" customWidth="1"/>
    <col min="8" max="24" width="17.33203125" customWidth="1"/>
  </cols>
  <sheetData>
    <row r="1" spans="1:7" ht="36.6" customHeight="1" x14ac:dyDescent="0.25">
      <c r="A1" s="120" t="s">
        <v>0</v>
      </c>
      <c r="B1" s="121"/>
      <c r="C1" s="121"/>
      <c r="D1" s="121"/>
      <c r="E1" s="121"/>
      <c r="F1" s="122"/>
      <c r="G1" s="1"/>
    </row>
    <row r="2" spans="1:7" ht="20.25" customHeight="1" x14ac:dyDescent="0.25">
      <c r="A2" s="94" t="s">
        <v>1</v>
      </c>
      <c r="B2" s="95"/>
      <c r="C2" s="95"/>
      <c r="D2" s="95"/>
      <c r="E2" s="100"/>
      <c r="F2" s="101"/>
      <c r="G2" s="1"/>
    </row>
    <row r="3" spans="1:7" ht="21" customHeight="1" x14ac:dyDescent="0.25">
      <c r="A3" s="110" t="s">
        <v>23</v>
      </c>
      <c r="B3" s="111"/>
      <c r="C3" s="111"/>
      <c r="D3" s="111"/>
      <c r="E3" s="100"/>
      <c r="F3" s="101"/>
      <c r="G3" s="3"/>
    </row>
    <row r="4" spans="1:7" ht="18.75" customHeight="1" x14ac:dyDescent="0.25">
      <c r="A4" s="112" t="s">
        <v>24</v>
      </c>
      <c r="B4" s="113"/>
      <c r="C4" s="113"/>
      <c r="D4" s="113"/>
      <c r="E4" s="100"/>
      <c r="F4" s="101"/>
      <c r="G4" s="3"/>
    </row>
    <row r="5" spans="1:7" ht="4.2" customHeight="1" x14ac:dyDescent="0.25">
      <c r="A5" s="107"/>
      <c r="B5" s="108"/>
      <c r="C5" s="108"/>
      <c r="D5" s="108"/>
      <c r="E5" s="108"/>
      <c r="F5" s="109"/>
      <c r="G5" s="5"/>
    </row>
    <row r="6" spans="1:7" ht="17.399999999999999" customHeight="1" x14ac:dyDescent="0.25">
      <c r="A6" s="77" t="s">
        <v>51</v>
      </c>
      <c r="B6" s="78"/>
      <c r="C6" s="78"/>
      <c r="D6" s="74" t="s">
        <v>5</v>
      </c>
      <c r="E6" s="74"/>
      <c r="F6" s="25">
        <v>45017</v>
      </c>
      <c r="G6" s="6"/>
    </row>
    <row r="7" spans="1:7" ht="16.95" customHeight="1" x14ac:dyDescent="0.25">
      <c r="A7" s="79"/>
      <c r="B7" s="80"/>
      <c r="C7" s="80"/>
      <c r="D7" s="89" t="s">
        <v>6</v>
      </c>
      <c r="E7" s="89"/>
      <c r="F7" s="25">
        <v>45047</v>
      </c>
      <c r="G7" s="5"/>
    </row>
    <row r="8" spans="1:7" ht="4.2" customHeight="1" x14ac:dyDescent="0.25">
      <c r="A8" s="81"/>
      <c r="B8" s="82"/>
      <c r="C8" s="82"/>
      <c r="D8" s="82"/>
      <c r="E8" s="82"/>
      <c r="F8" s="83"/>
      <c r="G8" s="5"/>
    </row>
    <row r="9" spans="1:7" ht="22.2" customHeight="1" x14ac:dyDescent="0.25">
      <c r="A9" s="104" t="s">
        <v>26</v>
      </c>
      <c r="B9" s="87"/>
      <c r="C9" s="88"/>
      <c r="D9" s="87" t="s">
        <v>8</v>
      </c>
      <c r="E9" s="87"/>
      <c r="F9" s="88"/>
      <c r="G9" s="7"/>
    </row>
    <row r="10" spans="1:7" ht="18" customHeight="1" x14ac:dyDescent="0.25">
      <c r="A10" s="84" t="s">
        <v>38</v>
      </c>
      <c r="B10" s="85"/>
      <c r="C10" s="85"/>
      <c r="D10" s="84" t="s">
        <v>38</v>
      </c>
      <c r="E10" s="85"/>
      <c r="F10" s="86"/>
      <c r="G10" s="4"/>
    </row>
    <row r="11" spans="1:7" ht="18" customHeight="1" x14ac:dyDescent="0.25">
      <c r="A11" s="84" t="s">
        <v>39</v>
      </c>
      <c r="B11" s="85"/>
      <c r="C11" s="85"/>
      <c r="D11" s="84" t="s">
        <v>39</v>
      </c>
      <c r="E11" s="85"/>
      <c r="F11" s="86"/>
      <c r="G11" s="9"/>
    </row>
    <row r="12" spans="1:7" ht="15.75" customHeight="1" x14ac:dyDescent="0.25">
      <c r="A12" s="126" t="s">
        <v>40</v>
      </c>
      <c r="B12" s="85"/>
      <c r="C12" s="85"/>
      <c r="D12" s="126" t="s">
        <v>40</v>
      </c>
      <c r="E12" s="85"/>
      <c r="F12" s="135"/>
      <c r="G12" s="10"/>
    </row>
    <row r="13" spans="1:7" ht="4.2" customHeight="1" x14ac:dyDescent="0.25">
      <c r="A13" s="21"/>
      <c r="B13" s="8"/>
      <c r="D13" s="8"/>
      <c r="E13" s="8"/>
      <c r="F13" s="22"/>
      <c r="G13" s="8"/>
    </row>
    <row r="14" spans="1:7" ht="18" customHeight="1" x14ac:dyDescent="0.25">
      <c r="A14" s="90" t="s">
        <v>12</v>
      </c>
      <c r="B14" s="42"/>
      <c r="C14" s="34" t="s">
        <v>13</v>
      </c>
      <c r="D14" s="41" t="s">
        <v>14</v>
      </c>
      <c r="E14" s="42"/>
      <c r="F14" s="35" t="s">
        <v>15</v>
      </c>
      <c r="G14" s="5"/>
    </row>
    <row r="15" spans="1:7" ht="18" customHeight="1" x14ac:dyDescent="0.25">
      <c r="A15" s="123" t="s">
        <v>49</v>
      </c>
      <c r="B15" s="76"/>
      <c r="C15" s="11">
        <v>500</v>
      </c>
      <c r="D15" s="43">
        <v>1000</v>
      </c>
      <c r="E15" s="44"/>
      <c r="F15" s="27">
        <f>D15*C15</f>
        <v>500000</v>
      </c>
      <c r="G15" s="12"/>
    </row>
    <row r="16" spans="1:7" ht="18" customHeight="1" x14ac:dyDescent="0.25">
      <c r="A16" s="136" t="s">
        <v>50</v>
      </c>
      <c r="B16" s="128"/>
      <c r="C16" s="13"/>
      <c r="D16" s="45"/>
      <c r="E16" s="46"/>
      <c r="F16" s="23"/>
      <c r="G16" s="12"/>
    </row>
    <row r="17" spans="1:7" ht="18" customHeight="1" x14ac:dyDescent="0.25">
      <c r="A17" s="51"/>
      <c r="B17" s="46"/>
      <c r="C17" s="14"/>
      <c r="D17" s="47"/>
      <c r="E17" s="46"/>
      <c r="F17" s="23"/>
      <c r="G17" s="12"/>
    </row>
    <row r="18" spans="1:7" ht="18" customHeight="1" x14ac:dyDescent="0.25">
      <c r="A18" s="51"/>
      <c r="B18" s="46"/>
      <c r="C18" s="14"/>
      <c r="D18" s="47"/>
      <c r="E18" s="46"/>
      <c r="F18" s="23"/>
      <c r="G18" s="12"/>
    </row>
    <row r="19" spans="1:7" ht="18" customHeight="1" x14ac:dyDescent="0.25">
      <c r="A19" s="50"/>
      <c r="B19" s="46"/>
      <c r="C19" s="13"/>
      <c r="D19" s="45"/>
      <c r="E19" s="46"/>
      <c r="F19" s="23"/>
      <c r="G19" s="12"/>
    </row>
    <row r="20" spans="1:7" ht="18" customHeight="1" x14ac:dyDescent="0.25">
      <c r="A20" s="51"/>
      <c r="B20" s="46"/>
      <c r="C20" s="14"/>
      <c r="D20" s="47"/>
      <c r="E20" s="46"/>
      <c r="F20" s="23"/>
      <c r="G20" s="12"/>
    </row>
    <row r="21" spans="1:7" ht="18" customHeight="1" x14ac:dyDescent="0.25">
      <c r="A21" s="50"/>
      <c r="B21" s="46"/>
      <c r="C21" s="13"/>
      <c r="D21" s="45"/>
      <c r="E21" s="46"/>
      <c r="F21" s="23"/>
      <c r="G21" s="12"/>
    </row>
    <row r="22" spans="1:7" ht="18" customHeight="1" x14ac:dyDescent="0.25">
      <c r="A22" s="51"/>
      <c r="B22" s="46"/>
      <c r="C22" s="14"/>
      <c r="D22" s="52"/>
      <c r="E22" s="53"/>
      <c r="F22" s="24"/>
      <c r="G22" s="12"/>
    </row>
    <row r="23" spans="1:7" ht="19.5" customHeight="1" x14ac:dyDescent="0.25">
      <c r="A23" s="105"/>
      <c r="B23" s="106"/>
      <c r="C23" s="106"/>
      <c r="D23" s="102" t="s">
        <v>17</v>
      </c>
      <c r="E23" s="103"/>
      <c r="F23" s="28">
        <v>500000</v>
      </c>
      <c r="G23" s="15"/>
    </row>
    <row r="24" spans="1:7" ht="19.5" customHeight="1" x14ac:dyDescent="0.25">
      <c r="A24" s="56" t="s">
        <v>18</v>
      </c>
      <c r="B24" s="57"/>
      <c r="C24" s="58"/>
      <c r="D24" s="54" t="s">
        <v>19</v>
      </c>
      <c r="E24" s="55"/>
      <c r="F24" s="28">
        <f>F23*2.5%</f>
        <v>12500</v>
      </c>
      <c r="G24" s="15"/>
    </row>
    <row r="25" spans="1:7" ht="18" customHeight="1" x14ac:dyDescent="0.25">
      <c r="A25" s="59" t="s">
        <v>20</v>
      </c>
      <c r="B25" s="60"/>
      <c r="C25" s="60"/>
      <c r="D25" s="48" t="s">
        <v>21</v>
      </c>
      <c r="E25" s="49"/>
      <c r="F25" s="29">
        <f>F23+F24</f>
        <v>512500</v>
      </c>
      <c r="G25" s="16"/>
    </row>
    <row r="26" spans="1:7" ht="22.95" customHeight="1" x14ac:dyDescent="0.25">
      <c r="A26" s="59"/>
      <c r="B26" s="60"/>
      <c r="C26" s="60"/>
      <c r="D26" s="63" t="s">
        <v>22</v>
      </c>
      <c r="E26" s="64"/>
      <c r="F26" s="70">
        <f>F23+F24</f>
        <v>512500</v>
      </c>
      <c r="G26" s="17"/>
    </row>
    <row r="27" spans="1:7" ht="22.95" customHeight="1" x14ac:dyDescent="0.25">
      <c r="A27" s="61"/>
      <c r="B27" s="62"/>
      <c r="C27" s="62"/>
      <c r="D27" s="65"/>
      <c r="E27" s="66"/>
      <c r="F27" s="70"/>
      <c r="G27" s="17"/>
    </row>
    <row r="28" spans="1:7" ht="9.6" customHeight="1" x14ac:dyDescent="0.25">
      <c r="A28" s="67"/>
      <c r="B28" s="68"/>
      <c r="C28" s="68"/>
      <c r="D28" s="68"/>
      <c r="E28" s="68"/>
      <c r="F28" s="69"/>
      <c r="G28" s="17"/>
    </row>
    <row r="29" spans="1:7" ht="15.75" customHeight="1" x14ac:dyDescent="0.25">
      <c r="A29" s="38"/>
      <c r="B29" s="39"/>
      <c r="C29" s="39"/>
      <c r="D29" s="39"/>
      <c r="E29" s="39"/>
      <c r="F29" s="39"/>
      <c r="G29" s="18"/>
    </row>
    <row r="30" spans="1:7" ht="15.75" customHeight="1" x14ac:dyDescent="0.25">
      <c r="A30" s="38"/>
      <c r="B30" s="39"/>
      <c r="C30" s="39"/>
      <c r="D30" s="39"/>
      <c r="E30" s="39"/>
      <c r="F30" s="39"/>
      <c r="G30" s="19"/>
    </row>
    <row r="31" spans="1:7" ht="21" customHeight="1" x14ac:dyDescent="0.25">
      <c r="A31" s="40"/>
      <c r="B31" s="39"/>
      <c r="C31" s="39"/>
      <c r="D31" s="39"/>
      <c r="E31" s="39"/>
      <c r="F31" s="39"/>
      <c r="G31" s="20"/>
    </row>
    <row r="32" spans="1:7" ht="15.75" customHeight="1" x14ac:dyDescent="0.25">
      <c r="A32" s="2"/>
      <c r="B32" s="2"/>
      <c r="C32" s="2"/>
      <c r="D32" s="2"/>
      <c r="E32" s="2"/>
      <c r="F32" s="2"/>
      <c r="G32" s="2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48">
    <mergeCell ref="F26:F27"/>
    <mergeCell ref="A28:F28"/>
    <mergeCell ref="A29:F29"/>
    <mergeCell ref="A30:F30"/>
    <mergeCell ref="A31:F31"/>
    <mergeCell ref="A23:C23"/>
    <mergeCell ref="D23:E23"/>
    <mergeCell ref="A24:C24"/>
    <mergeCell ref="D24:E24"/>
    <mergeCell ref="A25:C27"/>
    <mergeCell ref="D25:E25"/>
    <mergeCell ref="D26:E27"/>
    <mergeCell ref="A20:B20"/>
    <mergeCell ref="D20:E20"/>
    <mergeCell ref="A21:B21"/>
    <mergeCell ref="D21:E21"/>
    <mergeCell ref="A22:B22"/>
    <mergeCell ref="D22:E22"/>
    <mergeCell ref="A17:B17"/>
    <mergeCell ref="D17:E17"/>
    <mergeCell ref="A18:B18"/>
    <mergeCell ref="D18:E18"/>
    <mergeCell ref="A19:B19"/>
    <mergeCell ref="D19:E19"/>
    <mergeCell ref="A14:B14"/>
    <mergeCell ref="D14:E14"/>
    <mergeCell ref="A15:B15"/>
    <mergeCell ref="D15:E15"/>
    <mergeCell ref="A16:B16"/>
    <mergeCell ref="D16:E16"/>
    <mergeCell ref="A10:C10"/>
    <mergeCell ref="D10:F10"/>
    <mergeCell ref="A11:C11"/>
    <mergeCell ref="D11:F11"/>
    <mergeCell ref="A12:C12"/>
    <mergeCell ref="D12:F12"/>
    <mergeCell ref="A6:C7"/>
    <mergeCell ref="D6:E6"/>
    <mergeCell ref="D7:E7"/>
    <mergeCell ref="A8:F8"/>
    <mergeCell ref="A9:C9"/>
    <mergeCell ref="D9:F9"/>
    <mergeCell ref="A5:F5"/>
    <mergeCell ref="A1:F1"/>
    <mergeCell ref="A2:D2"/>
    <mergeCell ref="E2:F4"/>
    <mergeCell ref="A3:D3"/>
    <mergeCell ref="A4:D4"/>
  </mergeCells>
  <pageMargins left="0.7" right="0.7" top="0.75" bottom="0.75" header="0.3" footer="0.3"/>
  <pageSetup paperSize="9"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303A5-7F69-41CD-926A-91B9D8EE3CFF}">
  <sheetPr>
    <pageSetUpPr fitToPage="1"/>
  </sheetPr>
  <dimension ref="A1:G993"/>
  <sheetViews>
    <sheetView workbookViewId="0">
      <selection activeCell="A4" sqref="A4:D4"/>
    </sheetView>
  </sheetViews>
  <sheetFormatPr defaultColWidth="14.44140625" defaultRowHeight="13.2" x14ac:dyDescent="0.25"/>
  <cols>
    <col min="1" max="1" width="25.44140625" customWidth="1"/>
    <col min="2" max="2" width="15.5546875" customWidth="1"/>
    <col min="3" max="3" width="11" customWidth="1"/>
    <col min="4" max="4" width="12.109375" customWidth="1"/>
    <col min="5" max="5" width="15.33203125" customWidth="1"/>
    <col min="6" max="6" width="16.6640625" customWidth="1"/>
    <col min="7" max="7" width="7.44140625" customWidth="1"/>
    <col min="8" max="24" width="17.33203125" customWidth="1"/>
  </cols>
  <sheetData>
    <row r="1" spans="1:7" ht="36.6" customHeight="1" x14ac:dyDescent="0.25">
      <c r="A1" s="137" t="s">
        <v>0</v>
      </c>
      <c r="B1" s="138"/>
      <c r="C1" s="138"/>
      <c r="D1" s="138"/>
      <c r="E1" s="138"/>
      <c r="F1" s="139"/>
      <c r="G1" s="1"/>
    </row>
    <row r="2" spans="1:7" ht="20.25" customHeight="1" x14ac:dyDescent="0.25">
      <c r="A2" s="94" t="s">
        <v>1</v>
      </c>
      <c r="B2" s="95"/>
      <c r="C2" s="95"/>
      <c r="D2" s="95"/>
      <c r="E2" s="100"/>
      <c r="F2" s="101"/>
      <c r="G2" s="1"/>
    </row>
    <row r="3" spans="1:7" ht="21" customHeight="1" x14ac:dyDescent="0.25">
      <c r="A3" s="110" t="s">
        <v>23</v>
      </c>
      <c r="B3" s="111"/>
      <c r="C3" s="111"/>
      <c r="D3" s="111"/>
      <c r="E3" s="100"/>
      <c r="F3" s="101"/>
      <c r="G3" s="3"/>
    </row>
    <row r="4" spans="1:7" ht="18.75" customHeight="1" x14ac:dyDescent="0.25">
      <c r="A4" s="112" t="s">
        <v>24</v>
      </c>
      <c r="B4" s="113"/>
      <c r="C4" s="113"/>
      <c r="D4" s="113"/>
      <c r="E4" s="100"/>
      <c r="F4" s="101"/>
      <c r="G4" s="3"/>
    </row>
    <row r="5" spans="1:7" ht="4.2" customHeight="1" x14ac:dyDescent="0.25">
      <c r="A5" s="107"/>
      <c r="B5" s="108"/>
      <c r="C5" s="108"/>
      <c r="D5" s="108"/>
      <c r="E5" s="108"/>
      <c r="F5" s="109"/>
      <c r="G5" s="5"/>
    </row>
    <row r="6" spans="1:7" ht="17.399999999999999" customHeight="1" x14ac:dyDescent="0.25">
      <c r="A6" s="77" t="s">
        <v>52</v>
      </c>
      <c r="B6" s="78"/>
      <c r="C6" s="78"/>
      <c r="D6" s="74" t="s">
        <v>5</v>
      </c>
      <c r="E6" s="74"/>
      <c r="F6" s="25">
        <v>45108</v>
      </c>
      <c r="G6" s="6"/>
    </row>
    <row r="7" spans="1:7" ht="16.95" customHeight="1" x14ac:dyDescent="0.25">
      <c r="A7" s="79"/>
      <c r="B7" s="80"/>
      <c r="C7" s="80"/>
      <c r="D7" s="89" t="s">
        <v>6</v>
      </c>
      <c r="E7" s="89"/>
      <c r="F7" s="25">
        <v>45139</v>
      </c>
      <c r="G7" s="5"/>
    </row>
    <row r="8" spans="1:7" ht="4.2" customHeight="1" x14ac:dyDescent="0.25">
      <c r="A8" s="81"/>
      <c r="B8" s="82"/>
      <c r="C8" s="82"/>
      <c r="D8" s="82"/>
      <c r="E8" s="82"/>
      <c r="F8" s="83"/>
      <c r="G8" s="5"/>
    </row>
    <row r="9" spans="1:7" ht="22.2" customHeight="1" x14ac:dyDescent="0.25">
      <c r="A9" s="104" t="s">
        <v>26</v>
      </c>
      <c r="B9" s="87"/>
      <c r="C9" s="88"/>
      <c r="D9" s="87" t="s">
        <v>8</v>
      </c>
      <c r="E9" s="87"/>
      <c r="F9" s="88"/>
      <c r="G9" s="7"/>
    </row>
    <row r="10" spans="1:7" ht="18" customHeight="1" x14ac:dyDescent="0.25">
      <c r="A10" s="84" t="s">
        <v>53</v>
      </c>
      <c r="B10" s="85"/>
      <c r="C10" s="85"/>
      <c r="D10" s="84" t="s">
        <v>53</v>
      </c>
      <c r="E10" s="85"/>
      <c r="F10" s="86"/>
      <c r="G10" s="4"/>
    </row>
    <row r="11" spans="1:7" ht="18" customHeight="1" x14ac:dyDescent="0.25">
      <c r="A11" s="84" t="s">
        <v>54</v>
      </c>
      <c r="B11" s="85"/>
      <c r="C11" s="85"/>
      <c r="D11" s="84" t="s">
        <v>55</v>
      </c>
      <c r="E11" s="85"/>
      <c r="F11" s="86"/>
      <c r="G11" s="9"/>
    </row>
    <row r="12" spans="1:7" ht="15.75" customHeight="1" x14ac:dyDescent="0.25">
      <c r="A12" s="84" t="s">
        <v>56</v>
      </c>
      <c r="B12" s="85"/>
      <c r="C12" s="85"/>
      <c r="D12" s="84" t="s">
        <v>56</v>
      </c>
      <c r="E12" s="85"/>
      <c r="F12" s="135"/>
      <c r="G12" s="10"/>
    </row>
    <row r="13" spans="1:7" ht="4.2" customHeight="1" x14ac:dyDescent="0.25">
      <c r="A13" s="21"/>
      <c r="B13" s="8"/>
      <c r="D13" s="8"/>
      <c r="E13" s="8"/>
      <c r="F13" s="22"/>
      <c r="G13" s="8"/>
    </row>
    <row r="14" spans="1:7" ht="18" customHeight="1" x14ac:dyDescent="0.25">
      <c r="A14" s="90" t="s">
        <v>12</v>
      </c>
      <c r="B14" s="42"/>
      <c r="C14" s="34" t="s">
        <v>13</v>
      </c>
      <c r="D14" s="41" t="s">
        <v>14</v>
      </c>
      <c r="E14" s="42"/>
      <c r="F14" s="35" t="s">
        <v>15</v>
      </c>
      <c r="G14" s="5"/>
    </row>
    <row r="15" spans="1:7" ht="18" customHeight="1" x14ac:dyDescent="0.25">
      <c r="A15" s="123" t="s">
        <v>49</v>
      </c>
      <c r="B15" s="76"/>
      <c r="C15" s="11">
        <v>500</v>
      </c>
      <c r="D15" s="43">
        <v>1000</v>
      </c>
      <c r="E15" s="44"/>
      <c r="F15" s="27">
        <f>D15*C15</f>
        <v>500000</v>
      </c>
      <c r="G15" s="12"/>
    </row>
    <row r="16" spans="1:7" ht="18" customHeight="1" x14ac:dyDescent="0.25">
      <c r="A16" s="136" t="s">
        <v>50</v>
      </c>
      <c r="B16" s="128"/>
      <c r="C16" s="13"/>
      <c r="D16" s="45"/>
      <c r="E16" s="46"/>
      <c r="F16" s="23"/>
      <c r="G16" s="12"/>
    </row>
    <row r="17" spans="1:7" ht="18" customHeight="1" x14ac:dyDescent="0.25">
      <c r="A17" s="51"/>
      <c r="B17" s="46"/>
      <c r="C17" s="14"/>
      <c r="D17" s="47"/>
      <c r="E17" s="46"/>
      <c r="F17" s="23"/>
      <c r="G17" s="12"/>
    </row>
    <row r="18" spans="1:7" ht="18" customHeight="1" x14ac:dyDescent="0.25">
      <c r="A18" s="50"/>
      <c r="B18" s="46"/>
      <c r="C18" s="13"/>
      <c r="D18" s="45"/>
      <c r="E18" s="46"/>
      <c r="F18" s="23"/>
      <c r="G18" s="12"/>
    </row>
    <row r="19" spans="1:7" ht="18" customHeight="1" x14ac:dyDescent="0.25">
      <c r="A19" s="51"/>
      <c r="B19" s="46"/>
      <c r="C19" s="14"/>
      <c r="D19" s="47"/>
      <c r="E19" s="46"/>
      <c r="F19" s="23"/>
      <c r="G19" s="12"/>
    </row>
    <row r="20" spans="1:7" ht="18" customHeight="1" x14ac:dyDescent="0.25">
      <c r="A20" s="51"/>
      <c r="B20" s="46"/>
      <c r="C20" s="14"/>
      <c r="D20" s="47"/>
      <c r="E20" s="46"/>
      <c r="F20" s="23"/>
      <c r="G20" s="12"/>
    </row>
    <row r="21" spans="1:7" ht="18" customHeight="1" x14ac:dyDescent="0.25">
      <c r="A21" s="50"/>
      <c r="B21" s="46"/>
      <c r="C21" s="13"/>
      <c r="D21" s="45"/>
      <c r="E21" s="46"/>
      <c r="F21" s="23"/>
      <c r="G21" s="12"/>
    </row>
    <row r="22" spans="1:7" ht="18" customHeight="1" x14ac:dyDescent="0.25">
      <c r="A22" s="51"/>
      <c r="B22" s="46"/>
      <c r="C22" s="14"/>
      <c r="D22" s="52"/>
      <c r="E22" s="53"/>
      <c r="F22" s="24"/>
      <c r="G22" s="12"/>
    </row>
    <row r="23" spans="1:7" ht="19.5" customHeight="1" x14ac:dyDescent="0.25">
      <c r="A23" s="105"/>
      <c r="B23" s="106"/>
      <c r="C23" s="106"/>
      <c r="D23" s="102" t="s">
        <v>17</v>
      </c>
      <c r="E23" s="103"/>
      <c r="F23" s="28">
        <v>500000</v>
      </c>
      <c r="G23" s="15"/>
    </row>
    <row r="24" spans="1:7" ht="19.5" customHeight="1" x14ac:dyDescent="0.25">
      <c r="A24" s="56" t="s">
        <v>18</v>
      </c>
      <c r="B24" s="57"/>
      <c r="C24" s="58"/>
      <c r="D24" s="54" t="s">
        <v>19</v>
      </c>
      <c r="E24" s="55"/>
      <c r="F24" s="28">
        <f>F23*2.5%</f>
        <v>12500</v>
      </c>
      <c r="G24" s="15"/>
    </row>
    <row r="25" spans="1:7" ht="18" customHeight="1" x14ac:dyDescent="0.25">
      <c r="A25" s="59" t="s">
        <v>20</v>
      </c>
      <c r="B25" s="60"/>
      <c r="C25" s="60"/>
      <c r="D25" s="48" t="s">
        <v>21</v>
      </c>
      <c r="E25" s="49"/>
      <c r="F25" s="29">
        <f>F23+F24</f>
        <v>512500</v>
      </c>
      <c r="G25" s="16"/>
    </row>
    <row r="26" spans="1:7" ht="22.95" customHeight="1" x14ac:dyDescent="0.25">
      <c r="A26" s="59"/>
      <c r="B26" s="60"/>
      <c r="C26" s="60"/>
      <c r="D26" s="63" t="s">
        <v>22</v>
      </c>
      <c r="E26" s="64"/>
      <c r="F26" s="70">
        <f>F23+F24</f>
        <v>512500</v>
      </c>
      <c r="G26" s="17"/>
    </row>
    <row r="27" spans="1:7" ht="22.95" customHeight="1" x14ac:dyDescent="0.25">
      <c r="A27" s="61"/>
      <c r="B27" s="62"/>
      <c r="C27" s="62"/>
      <c r="D27" s="65"/>
      <c r="E27" s="66"/>
      <c r="F27" s="70"/>
      <c r="G27" s="17"/>
    </row>
    <row r="28" spans="1:7" ht="9.6" customHeight="1" x14ac:dyDescent="0.25">
      <c r="A28" s="67"/>
      <c r="B28" s="68"/>
      <c r="C28" s="68"/>
      <c r="D28" s="68"/>
      <c r="E28" s="68"/>
      <c r="F28" s="69"/>
      <c r="G28" s="17"/>
    </row>
    <row r="29" spans="1:7" ht="15.75" customHeight="1" x14ac:dyDescent="0.25">
      <c r="A29" s="38"/>
      <c r="B29" s="39"/>
      <c r="C29" s="39"/>
      <c r="D29" s="39"/>
      <c r="E29" s="39"/>
      <c r="F29" s="39"/>
      <c r="G29" s="18"/>
    </row>
    <row r="30" spans="1:7" ht="15.75" customHeight="1" x14ac:dyDescent="0.25">
      <c r="A30" s="38"/>
      <c r="B30" s="39"/>
      <c r="C30" s="39"/>
      <c r="D30" s="39"/>
      <c r="E30" s="39"/>
      <c r="F30" s="39"/>
      <c r="G30" s="19"/>
    </row>
    <row r="31" spans="1:7" ht="21" customHeight="1" x14ac:dyDescent="0.25">
      <c r="A31" s="40"/>
      <c r="B31" s="39"/>
      <c r="C31" s="39"/>
      <c r="D31" s="39"/>
      <c r="E31" s="39"/>
      <c r="F31" s="39"/>
      <c r="G31" s="20"/>
    </row>
    <row r="32" spans="1:7" ht="15.75" customHeight="1" x14ac:dyDescent="0.25">
      <c r="A32" s="2"/>
      <c r="B32" s="2"/>
      <c r="C32" s="2"/>
      <c r="D32" s="2"/>
      <c r="E32" s="2"/>
      <c r="F32" s="2"/>
      <c r="G32" s="2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48">
    <mergeCell ref="F26:F27"/>
    <mergeCell ref="A28:F28"/>
    <mergeCell ref="A29:F29"/>
    <mergeCell ref="A30:F30"/>
    <mergeCell ref="A31:F31"/>
    <mergeCell ref="A23:C23"/>
    <mergeCell ref="D23:E23"/>
    <mergeCell ref="A24:C24"/>
    <mergeCell ref="D24:E24"/>
    <mergeCell ref="A25:C27"/>
    <mergeCell ref="D25:E25"/>
    <mergeCell ref="D26:E27"/>
    <mergeCell ref="A20:B20"/>
    <mergeCell ref="D20:E20"/>
    <mergeCell ref="A21:B21"/>
    <mergeCell ref="D21:E21"/>
    <mergeCell ref="A22:B22"/>
    <mergeCell ref="D22:E22"/>
    <mergeCell ref="A17:B17"/>
    <mergeCell ref="D17:E17"/>
    <mergeCell ref="A18:B18"/>
    <mergeCell ref="D18:E18"/>
    <mergeCell ref="A19:B19"/>
    <mergeCell ref="D19:E19"/>
    <mergeCell ref="A14:B14"/>
    <mergeCell ref="D14:E14"/>
    <mergeCell ref="A15:B15"/>
    <mergeCell ref="D15:E15"/>
    <mergeCell ref="A16:B16"/>
    <mergeCell ref="D16:E16"/>
    <mergeCell ref="A10:C10"/>
    <mergeCell ref="D10:F10"/>
    <mergeCell ref="A11:C11"/>
    <mergeCell ref="D11:F11"/>
    <mergeCell ref="A12:C12"/>
    <mergeCell ref="D12:F12"/>
    <mergeCell ref="A6:C7"/>
    <mergeCell ref="D6:E6"/>
    <mergeCell ref="D7:E7"/>
    <mergeCell ref="A8:F8"/>
    <mergeCell ref="A9:C9"/>
    <mergeCell ref="D9:F9"/>
    <mergeCell ref="A5:F5"/>
    <mergeCell ref="A1:F1"/>
    <mergeCell ref="A2:D2"/>
    <mergeCell ref="E2:F4"/>
    <mergeCell ref="A3:D3"/>
    <mergeCell ref="A4:D4"/>
  </mergeCells>
  <pageMargins left="0.7" right="0.7" top="0.75" bottom="0.75" header="0.3" footer="0.3"/>
  <pageSetup paperSize="9"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83FE9-63F8-4502-B8F1-3BF975E754D8}">
  <sheetPr>
    <pageSetUpPr fitToPage="1"/>
  </sheetPr>
  <dimension ref="A1:G993"/>
  <sheetViews>
    <sheetView workbookViewId="0">
      <selection activeCell="A3" sqref="A3:D3"/>
    </sheetView>
  </sheetViews>
  <sheetFormatPr defaultColWidth="14.44140625" defaultRowHeight="13.2" x14ac:dyDescent="0.25"/>
  <cols>
    <col min="1" max="1" width="25.44140625" customWidth="1"/>
    <col min="2" max="2" width="15.5546875" customWidth="1"/>
    <col min="3" max="3" width="11" customWidth="1"/>
    <col min="4" max="4" width="12.109375" customWidth="1"/>
    <col min="5" max="5" width="15.33203125" customWidth="1"/>
    <col min="6" max="6" width="16.88671875" customWidth="1"/>
    <col min="7" max="7" width="7.44140625" customWidth="1"/>
    <col min="8" max="24" width="17.33203125" customWidth="1"/>
  </cols>
  <sheetData>
    <row r="1" spans="1:7" ht="36.6" customHeight="1" x14ac:dyDescent="0.25">
      <c r="A1" s="120" t="s">
        <v>0</v>
      </c>
      <c r="B1" s="121"/>
      <c r="C1" s="121"/>
      <c r="D1" s="121"/>
      <c r="E1" s="121"/>
      <c r="F1" s="122"/>
      <c r="G1" s="1"/>
    </row>
    <row r="2" spans="1:7" ht="20.25" customHeight="1" x14ac:dyDescent="0.25">
      <c r="A2" s="94" t="s">
        <v>1</v>
      </c>
      <c r="B2" s="95"/>
      <c r="C2" s="95"/>
      <c r="D2" s="95"/>
      <c r="E2" s="100"/>
      <c r="F2" s="101"/>
      <c r="G2" s="1"/>
    </row>
    <row r="3" spans="1:7" ht="21" customHeight="1" x14ac:dyDescent="0.25">
      <c r="A3" s="110" t="s">
        <v>23</v>
      </c>
      <c r="B3" s="111"/>
      <c r="C3" s="111"/>
      <c r="D3" s="111"/>
      <c r="E3" s="100"/>
      <c r="F3" s="101"/>
      <c r="G3" s="3"/>
    </row>
    <row r="4" spans="1:7" ht="18.75" customHeight="1" x14ac:dyDescent="0.25">
      <c r="A4" s="112" t="s">
        <v>24</v>
      </c>
      <c r="B4" s="113"/>
      <c r="C4" s="113"/>
      <c r="D4" s="113"/>
      <c r="E4" s="100"/>
      <c r="F4" s="101"/>
      <c r="G4" s="3"/>
    </row>
    <row r="5" spans="1:7" ht="4.2" customHeight="1" x14ac:dyDescent="0.25">
      <c r="A5" s="107"/>
      <c r="B5" s="108"/>
      <c r="C5" s="108"/>
      <c r="D5" s="108"/>
      <c r="E5" s="108"/>
      <c r="F5" s="109"/>
      <c r="G5" s="5"/>
    </row>
    <row r="6" spans="1:7" ht="17.399999999999999" customHeight="1" x14ac:dyDescent="0.25">
      <c r="A6" s="77" t="s">
        <v>57</v>
      </c>
      <c r="B6" s="78"/>
      <c r="C6" s="78"/>
      <c r="D6" s="74" t="s">
        <v>5</v>
      </c>
      <c r="E6" s="74"/>
      <c r="F6" s="25">
        <v>45200</v>
      </c>
      <c r="G6" s="6"/>
    </row>
    <row r="7" spans="1:7" ht="16.95" customHeight="1" x14ac:dyDescent="0.25">
      <c r="A7" s="79"/>
      <c r="B7" s="80"/>
      <c r="C7" s="80"/>
      <c r="D7" s="89" t="s">
        <v>6</v>
      </c>
      <c r="E7" s="89"/>
      <c r="F7" s="25">
        <v>45231</v>
      </c>
      <c r="G7" s="5"/>
    </row>
    <row r="8" spans="1:7" ht="4.2" customHeight="1" x14ac:dyDescent="0.25">
      <c r="A8" s="81"/>
      <c r="B8" s="82"/>
      <c r="C8" s="82"/>
      <c r="D8" s="82"/>
      <c r="E8" s="82"/>
      <c r="F8" s="83"/>
      <c r="G8" s="5"/>
    </row>
    <row r="9" spans="1:7" ht="22.2" customHeight="1" x14ac:dyDescent="0.25">
      <c r="A9" s="104" t="s">
        <v>26</v>
      </c>
      <c r="B9" s="87"/>
      <c r="C9" s="88"/>
      <c r="D9" s="87" t="s">
        <v>8</v>
      </c>
      <c r="E9" s="87"/>
      <c r="F9" s="88"/>
      <c r="G9" s="7"/>
    </row>
    <row r="10" spans="1:7" ht="18" customHeight="1" x14ac:dyDescent="0.25">
      <c r="A10" s="84" t="s">
        <v>53</v>
      </c>
      <c r="B10" s="85"/>
      <c r="C10" s="85"/>
      <c r="D10" s="84" t="s">
        <v>53</v>
      </c>
      <c r="E10" s="85"/>
      <c r="F10" s="86"/>
      <c r="G10" s="4"/>
    </row>
    <row r="11" spans="1:7" ht="18" customHeight="1" x14ac:dyDescent="0.25">
      <c r="A11" s="84" t="s">
        <v>55</v>
      </c>
      <c r="B11" s="85"/>
      <c r="C11" s="85"/>
      <c r="D11" s="84" t="s">
        <v>55</v>
      </c>
      <c r="E11" s="85"/>
      <c r="F11" s="86"/>
      <c r="G11" s="9"/>
    </row>
    <row r="12" spans="1:7" ht="15.75" customHeight="1" x14ac:dyDescent="0.25">
      <c r="A12" s="84" t="s">
        <v>56</v>
      </c>
      <c r="B12" s="85"/>
      <c r="C12" s="85"/>
      <c r="D12" s="84" t="s">
        <v>56</v>
      </c>
      <c r="E12" s="85"/>
      <c r="F12" s="135"/>
      <c r="G12" s="10"/>
    </row>
    <row r="13" spans="1:7" ht="4.2" customHeight="1" x14ac:dyDescent="0.25">
      <c r="A13" s="21"/>
      <c r="B13" s="8"/>
      <c r="D13" s="8"/>
      <c r="E13" s="8"/>
      <c r="F13" s="22"/>
      <c r="G13" s="8"/>
    </row>
    <row r="14" spans="1:7" ht="18" customHeight="1" x14ac:dyDescent="0.25">
      <c r="A14" s="90" t="s">
        <v>12</v>
      </c>
      <c r="B14" s="42"/>
      <c r="C14" s="34" t="s">
        <v>13</v>
      </c>
      <c r="D14" s="41" t="s">
        <v>14</v>
      </c>
      <c r="E14" s="42"/>
      <c r="F14" s="35" t="s">
        <v>15</v>
      </c>
      <c r="G14" s="5"/>
    </row>
    <row r="15" spans="1:7" ht="18" customHeight="1" x14ac:dyDescent="0.25">
      <c r="A15" s="123" t="s">
        <v>49</v>
      </c>
      <c r="B15" s="76"/>
      <c r="C15" s="11">
        <v>500</v>
      </c>
      <c r="D15" s="43">
        <v>1000</v>
      </c>
      <c r="E15" s="44"/>
      <c r="F15" s="27">
        <f>D15*C15</f>
        <v>500000</v>
      </c>
      <c r="G15" s="12"/>
    </row>
    <row r="16" spans="1:7" ht="18" customHeight="1" x14ac:dyDescent="0.25">
      <c r="A16" s="136" t="s">
        <v>50</v>
      </c>
      <c r="B16" s="128"/>
      <c r="C16" s="13"/>
      <c r="D16" s="45"/>
      <c r="E16" s="46"/>
      <c r="F16" s="23"/>
      <c r="G16" s="12"/>
    </row>
    <row r="17" spans="1:7" ht="18" customHeight="1" x14ac:dyDescent="0.25">
      <c r="A17" s="51"/>
      <c r="B17" s="46"/>
      <c r="C17" s="14"/>
      <c r="D17" s="47"/>
      <c r="E17" s="46"/>
      <c r="F17" s="23"/>
      <c r="G17" s="12"/>
    </row>
    <row r="18" spans="1:7" ht="18" customHeight="1" x14ac:dyDescent="0.25">
      <c r="A18" s="50"/>
      <c r="B18" s="46"/>
      <c r="C18" s="13"/>
      <c r="D18" s="45"/>
      <c r="E18" s="46"/>
      <c r="F18" s="23"/>
      <c r="G18" s="12"/>
    </row>
    <row r="19" spans="1:7" ht="18" customHeight="1" x14ac:dyDescent="0.25">
      <c r="A19" s="51"/>
      <c r="B19" s="46"/>
      <c r="C19" s="14"/>
      <c r="D19" s="47"/>
      <c r="E19" s="46"/>
      <c r="F19" s="23"/>
      <c r="G19" s="12"/>
    </row>
    <row r="20" spans="1:7" ht="18" customHeight="1" x14ac:dyDescent="0.25">
      <c r="A20" s="51"/>
      <c r="B20" s="46"/>
      <c r="C20" s="14"/>
      <c r="D20" s="47"/>
      <c r="E20" s="46"/>
      <c r="F20" s="23"/>
      <c r="G20" s="12"/>
    </row>
    <row r="21" spans="1:7" ht="18" customHeight="1" x14ac:dyDescent="0.25">
      <c r="A21" s="50"/>
      <c r="B21" s="46"/>
      <c r="C21" s="13"/>
      <c r="D21" s="45"/>
      <c r="E21" s="46"/>
      <c r="F21" s="23"/>
      <c r="G21" s="12"/>
    </row>
    <row r="22" spans="1:7" ht="18" customHeight="1" x14ac:dyDescent="0.25">
      <c r="A22" s="51"/>
      <c r="B22" s="46"/>
      <c r="C22" s="14"/>
      <c r="D22" s="52"/>
      <c r="E22" s="53"/>
      <c r="F22" s="24"/>
      <c r="G22" s="12"/>
    </row>
    <row r="23" spans="1:7" ht="19.5" customHeight="1" x14ac:dyDescent="0.25">
      <c r="A23" s="105"/>
      <c r="B23" s="106"/>
      <c r="C23" s="106"/>
      <c r="D23" s="102" t="s">
        <v>17</v>
      </c>
      <c r="E23" s="103"/>
      <c r="F23" s="28">
        <v>500000</v>
      </c>
      <c r="G23" s="15"/>
    </row>
    <row r="24" spans="1:7" ht="19.5" customHeight="1" x14ac:dyDescent="0.25">
      <c r="A24" s="56" t="s">
        <v>18</v>
      </c>
      <c r="B24" s="57"/>
      <c r="C24" s="58"/>
      <c r="D24" s="54" t="s">
        <v>19</v>
      </c>
      <c r="E24" s="55"/>
      <c r="F24" s="28">
        <f>F23*2.5%</f>
        <v>12500</v>
      </c>
      <c r="G24" s="15"/>
    </row>
    <row r="25" spans="1:7" ht="18" customHeight="1" x14ac:dyDescent="0.25">
      <c r="A25" s="59" t="s">
        <v>20</v>
      </c>
      <c r="B25" s="60"/>
      <c r="C25" s="60"/>
      <c r="D25" s="48" t="s">
        <v>21</v>
      </c>
      <c r="E25" s="49"/>
      <c r="F25" s="29">
        <f>F23+F24</f>
        <v>512500</v>
      </c>
      <c r="G25" s="16"/>
    </row>
    <row r="26" spans="1:7" ht="22.95" customHeight="1" x14ac:dyDescent="0.25">
      <c r="A26" s="59"/>
      <c r="B26" s="60"/>
      <c r="C26" s="60"/>
      <c r="D26" s="63" t="s">
        <v>22</v>
      </c>
      <c r="E26" s="64"/>
      <c r="F26" s="70">
        <f>F23+F24</f>
        <v>512500</v>
      </c>
      <c r="G26" s="17"/>
    </row>
    <row r="27" spans="1:7" ht="22.95" customHeight="1" x14ac:dyDescent="0.25">
      <c r="A27" s="61"/>
      <c r="B27" s="62"/>
      <c r="C27" s="62"/>
      <c r="D27" s="65"/>
      <c r="E27" s="66"/>
      <c r="F27" s="70"/>
      <c r="G27" s="17"/>
    </row>
    <row r="28" spans="1:7" ht="9.6" customHeight="1" x14ac:dyDescent="0.25">
      <c r="A28" s="67"/>
      <c r="B28" s="68"/>
      <c r="C28" s="68"/>
      <c r="D28" s="68"/>
      <c r="E28" s="68"/>
      <c r="F28" s="69"/>
      <c r="G28" s="17"/>
    </row>
    <row r="29" spans="1:7" ht="15.75" customHeight="1" x14ac:dyDescent="0.25">
      <c r="A29" s="38"/>
      <c r="B29" s="39"/>
      <c r="C29" s="39"/>
      <c r="D29" s="39"/>
      <c r="E29" s="39"/>
      <c r="F29" s="39"/>
      <c r="G29" s="18"/>
    </row>
    <row r="30" spans="1:7" ht="15.75" customHeight="1" x14ac:dyDescent="0.25">
      <c r="A30" s="38"/>
      <c r="B30" s="39"/>
      <c r="C30" s="39"/>
      <c r="D30" s="39"/>
      <c r="E30" s="39"/>
      <c r="F30" s="39"/>
      <c r="G30" s="19"/>
    </row>
    <row r="31" spans="1:7" ht="21" customHeight="1" x14ac:dyDescent="0.25">
      <c r="A31" s="40"/>
      <c r="B31" s="39"/>
      <c r="C31" s="39"/>
      <c r="D31" s="39"/>
      <c r="E31" s="39"/>
      <c r="F31" s="39"/>
      <c r="G31" s="20"/>
    </row>
    <row r="32" spans="1:7" ht="15.75" customHeight="1" x14ac:dyDescent="0.25">
      <c r="A32" s="2"/>
      <c r="B32" s="2"/>
      <c r="C32" s="2"/>
      <c r="D32" s="2"/>
      <c r="E32" s="2"/>
      <c r="F32" s="2"/>
      <c r="G32" s="2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48">
    <mergeCell ref="F26:F27"/>
    <mergeCell ref="A28:F28"/>
    <mergeCell ref="A29:F29"/>
    <mergeCell ref="A30:F30"/>
    <mergeCell ref="A31:F31"/>
    <mergeCell ref="A23:C23"/>
    <mergeCell ref="D23:E23"/>
    <mergeCell ref="A24:C24"/>
    <mergeCell ref="D24:E24"/>
    <mergeCell ref="A25:C27"/>
    <mergeCell ref="D25:E25"/>
    <mergeCell ref="D26:E27"/>
    <mergeCell ref="A20:B20"/>
    <mergeCell ref="D20:E20"/>
    <mergeCell ref="A21:B21"/>
    <mergeCell ref="D21:E21"/>
    <mergeCell ref="A22:B22"/>
    <mergeCell ref="D22:E22"/>
    <mergeCell ref="A17:B17"/>
    <mergeCell ref="D17:E17"/>
    <mergeCell ref="A18:B18"/>
    <mergeCell ref="D18:E18"/>
    <mergeCell ref="A19:B19"/>
    <mergeCell ref="D19:E19"/>
    <mergeCell ref="A14:B14"/>
    <mergeCell ref="D14:E14"/>
    <mergeCell ref="A15:B15"/>
    <mergeCell ref="D15:E15"/>
    <mergeCell ref="A16:B16"/>
    <mergeCell ref="D16:E16"/>
    <mergeCell ref="A10:C10"/>
    <mergeCell ref="D10:F10"/>
    <mergeCell ref="A11:C11"/>
    <mergeCell ref="D11:F11"/>
    <mergeCell ref="A12:C12"/>
    <mergeCell ref="D12:F12"/>
    <mergeCell ref="A6:C7"/>
    <mergeCell ref="D6:E6"/>
    <mergeCell ref="D7:E7"/>
    <mergeCell ref="A8:F8"/>
    <mergeCell ref="A9:C9"/>
    <mergeCell ref="D9:F9"/>
    <mergeCell ref="A5:F5"/>
    <mergeCell ref="A1:F1"/>
    <mergeCell ref="A2:D2"/>
    <mergeCell ref="E2:F4"/>
    <mergeCell ref="A3:D3"/>
    <mergeCell ref="A4:D4"/>
  </mergeCells>
  <pageMargins left="0.7" right="0.7" top="0.75" bottom="0.75" header="0.3" footer="0.3"/>
  <pageSetup paperSize="9" fitToHeight="0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Props1.xml><?xml version="1.0" encoding="utf-8"?>
<ds:datastoreItem xmlns:ds="http://schemas.openxmlformats.org/officeDocument/2006/customXml" ds:itemID="{73038F98-74ED-44CD-B845-0005D46640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13C42B-6526-4549-A76B-FB1C904FA8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ee3419-f813-43ff-8070-dce059c64b7d"/>
    <ds:schemaRef ds:uri="1e3a9498-45e1-4121-9cf9-83f762cff5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E13186C-681F-43BE-A462-24582A68C4A7}">
  <ds:schemaRefs>
    <ds:schemaRef ds:uri="http://schemas.microsoft.com/office/2006/metadata/properties"/>
    <ds:schemaRef ds:uri="http://schemas.microsoft.com/office/infopath/2007/PartnerControls"/>
    <ds:schemaRef ds:uri="a3ee3419-f813-43ff-8070-dce059c64b7d"/>
    <ds:schemaRef ds:uri="1e3a9498-45e1-4121-9cf9-83f762cff5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Zenefits-1</vt:lpstr>
      <vt:lpstr>Zenefits-2</vt:lpstr>
      <vt:lpstr>Zenefits-3</vt:lpstr>
      <vt:lpstr>Zenefits-4</vt:lpstr>
      <vt:lpstr>Zenefits-5</vt:lpstr>
      <vt:lpstr>Zenefits-6</vt:lpstr>
      <vt:lpstr>Zenefits-7</vt:lpstr>
      <vt:lpstr>Zenefits-8</vt:lpstr>
      <vt:lpstr>Zenefits-9</vt:lpstr>
      <vt:lpstr>Zenefits-10</vt:lpstr>
      <vt:lpstr>'Zenefits-1'!Print_Area</vt:lpstr>
      <vt:lpstr>'Zenefits-10'!Print_Area</vt:lpstr>
      <vt:lpstr>'Zenefits-2'!Print_Area</vt:lpstr>
      <vt:lpstr>'Zenefits-3'!Print_Area</vt:lpstr>
      <vt:lpstr>'Zenefits-4'!Print_Area</vt:lpstr>
      <vt:lpstr>'Zenefits-5'!Print_Area</vt:lpstr>
      <vt:lpstr>'Zenefits-6'!Print_Area</vt:lpstr>
      <vt:lpstr>'Zenefits-7'!Print_Area</vt:lpstr>
      <vt:lpstr>'Zenefits-8'!Print_Area</vt:lpstr>
      <vt:lpstr>'Zenefits-9'!Print_Area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KOUSHIKI</dc:creator>
  <cp:keywords/>
  <dc:description/>
  <cp:lastModifiedBy>Krishna Kumar Sharma</cp:lastModifiedBy>
  <cp:revision/>
  <dcterms:created xsi:type="dcterms:W3CDTF">2024-02-21T11:45:12Z</dcterms:created>
  <dcterms:modified xsi:type="dcterms:W3CDTF">2025-03-04T09:33:18Z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</Properties>
</file>