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Usha Folder/"/>
    </mc:Choice>
  </mc:AlternateContent>
  <xr:revisionPtr revIDLastSave="255" documentId="8_{B1866758-D421-4BAB-B090-33BD77FB929A}" xr6:coauthVersionLast="47" xr6:coauthVersionMax="47" xr10:uidLastSave="{14DE4813-8C88-45FF-90D4-DE083D7BC6BA}"/>
  <bookViews>
    <workbookView xWindow="-108" yWindow="-108" windowWidth="23256" windowHeight="12456" firstSheet="2" activeTab="5" xr2:uid="{EAD5339E-FAD9-4D05-ABC9-E7A9A9DD4A20}"/>
  </bookViews>
  <sheets>
    <sheet name="The packaging-1" sheetId="8" r:id="rId1"/>
    <sheet name="The packaging-2" sheetId="10" r:id="rId2"/>
    <sheet name="The packaging-3" sheetId="11" r:id="rId3"/>
    <sheet name="The packaging-4" sheetId="12" r:id="rId4"/>
    <sheet name="The packaging-5" sheetId="13" r:id="rId5"/>
    <sheet name="The packaging-6" sheetId="14" r:id="rId6"/>
  </sheets>
  <definedNames>
    <definedName name="_xlnm.Print_Area" localSheetId="0">'The packaging-1'!$A$1:$E$20</definedName>
    <definedName name="_xlnm.Print_Area" localSheetId="1">'The packaging-2'!$A:$E</definedName>
    <definedName name="_xlnm.Print_Area" localSheetId="2">'The packaging-3'!$A$1:$E$20</definedName>
    <definedName name="_xlnm.Print_Area" localSheetId="3">'The packaging-4'!$A$1:$E$20</definedName>
    <definedName name="_xlnm.Print_Area" localSheetId="4">'The packaging-5'!$A$1:$E$20</definedName>
    <definedName name="_xlnm.Print_Area" localSheetId="5">'The packaging-6'!$A$1:$E$34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4" l="1"/>
  <c r="E17" i="13"/>
  <c r="E17" i="12"/>
  <c r="E17" i="11"/>
  <c r="E19" i="11" s="1"/>
  <c r="E17" i="10"/>
  <c r="E18" i="10" s="1"/>
  <c r="E6" i="10"/>
  <c r="E17" i="8"/>
  <c r="E6" i="8"/>
  <c r="E18" i="11"/>
  <c r="E18" i="8"/>
  <c r="E33" i="14" l="1"/>
  <c r="E32" i="14"/>
  <c r="E19" i="13"/>
  <c r="E18" i="13"/>
  <c r="E19" i="12"/>
  <c r="E18" i="12"/>
</calcChain>
</file>

<file path=xl/sharedStrings.xml><?xml version="1.0" encoding="utf-8"?>
<sst xmlns="http://schemas.openxmlformats.org/spreadsheetml/2006/main" count="119" uniqueCount="36">
  <si>
    <t xml:space="preserve">                   TAX INVOICE</t>
  </si>
  <si>
    <t>INVOICE NO : 819 0924 THPA
DATE : 07-16-2022</t>
  </si>
  <si>
    <r>
      <t xml:space="preserve">The Packaging Company
</t>
    </r>
    <r>
      <rPr>
        <sz val="12"/>
        <color rgb="FF000000"/>
        <rFont val="Arial"/>
        <family val="2"/>
      </rPr>
      <t xml:space="preserve">631 Parker Glens Suite 280, West Brenda, 
Wisconsin 42926
</t>
    </r>
  </si>
  <si>
    <t xml:space="preserve">
Steel Horse Auto Inc
265 Lopez Orchard, East John, Michigan- 43306
Ph. (313) 555-1234 
</t>
  </si>
  <si>
    <r>
      <rPr>
        <b/>
        <sz val="12"/>
        <color rgb="FF373472"/>
        <rFont val="Arial"/>
      </rPr>
      <t>Reference ID:</t>
    </r>
    <r>
      <rPr>
        <sz val="12"/>
        <color rgb="FF373472"/>
        <rFont val="Arial"/>
      </rPr>
      <t xml:space="preserve"> 1X9B7C3D2E
</t>
    </r>
    <r>
      <rPr>
        <b/>
        <sz val="12"/>
        <color rgb="FF373472"/>
        <rFont val="Arial"/>
      </rPr>
      <t>Due Date:</t>
    </r>
    <r>
      <rPr>
        <sz val="12"/>
        <color rgb="FF373472"/>
        <rFont val="Arial"/>
      </rPr>
      <t xml:space="preserve">     08-15-2022
</t>
    </r>
  </si>
  <si>
    <t>Description</t>
  </si>
  <si>
    <t>Quantity</t>
  </si>
  <si>
    <t>Rate</t>
  </si>
  <si>
    <t>Amount ($)</t>
  </si>
  <si>
    <t>Packing Supplies (For 6 months)</t>
  </si>
  <si>
    <t>- Boxes (1000)</t>
  </si>
  <si>
    <t>- Bubble wrap (1000 sheets)</t>
  </si>
  <si>
    <t>- Packing paper (1000 bundles)</t>
  </si>
  <si>
    <t>Handling fees</t>
  </si>
  <si>
    <t>-</t>
  </si>
  <si>
    <t>Total</t>
  </si>
  <si>
    <r>
      <rPr>
        <b/>
        <i/>
        <sz val="11"/>
        <color rgb="FF000000"/>
        <rFont val="Arial"/>
        <family val="2"/>
      </rPr>
      <t xml:space="preserve">&lt;Payment due date, within 30 days&gt;
</t>
    </r>
    <r>
      <rPr>
        <b/>
        <sz val="11"/>
        <color rgb="FF000000"/>
        <rFont val="Arial"/>
        <family val="2"/>
      </rPr>
      <t xml:space="preserve">
Authorised Signatory</t>
    </r>
  </si>
  <si>
    <t>Add : Taxes</t>
  </si>
  <si>
    <t>Balance Received :</t>
  </si>
  <si>
    <t>Balance Due :</t>
  </si>
  <si>
    <t>Grand Total</t>
  </si>
  <si>
    <t>INVOICE NO : 819 9124 THPA
DATE :01-16-2022</t>
  </si>
  <si>
    <r>
      <rPr>
        <b/>
        <sz val="12"/>
        <color rgb="FF373472"/>
        <rFont val="Arial"/>
      </rPr>
      <t xml:space="preserve">Reference ID:  </t>
    </r>
    <r>
      <rPr>
        <sz val="12"/>
        <color rgb="FF373472"/>
        <rFont val="Arial"/>
      </rPr>
      <t xml:space="preserve">2A8F6G4H1J
</t>
    </r>
    <r>
      <rPr>
        <b/>
        <sz val="12"/>
        <color rgb="FF373472"/>
        <rFont val="Arial"/>
      </rPr>
      <t xml:space="preserve">Due Date:    </t>
    </r>
    <r>
      <rPr>
        <sz val="12"/>
        <color rgb="FF373472"/>
        <rFont val="Arial"/>
      </rPr>
      <t xml:space="preserve"> 02-15-2022
</t>
    </r>
  </si>
  <si>
    <t>Amount</t>
  </si>
  <si>
    <t>Handling Fees</t>
  </si>
  <si>
    <t>INVOICE NO : 820 7324 THPA
DATE : 01-01-2023</t>
  </si>
  <si>
    <r>
      <rPr>
        <b/>
        <sz val="12"/>
        <color rgb="FF373472"/>
        <rFont val="Arial"/>
      </rPr>
      <t>Reference ID:</t>
    </r>
    <r>
      <rPr>
        <sz val="12"/>
        <color rgb="FF373472"/>
        <rFont val="Arial"/>
      </rPr>
      <t xml:space="preserve"> 3B7H5J2K9L
</t>
    </r>
    <r>
      <rPr>
        <b/>
        <sz val="12"/>
        <color rgb="FF373472"/>
        <rFont val="Arial"/>
      </rPr>
      <t xml:space="preserve">Due Date:   </t>
    </r>
    <r>
      <rPr>
        <sz val="12"/>
        <color rgb="FF373472"/>
        <rFont val="Arial"/>
      </rPr>
      <t xml:space="preserve"> 02-01-2023
</t>
    </r>
  </si>
  <si>
    <t>Specialty Packing - Quaterly service charge</t>
  </si>
  <si>
    <t>(Handle delicate, valuable, or bulky items)
(Maximun limit : 500)</t>
  </si>
  <si>
    <t>INVOICE NO : 821 0724 THPA
DATE :04-01-2023</t>
  </si>
  <si>
    <r>
      <rPr>
        <b/>
        <sz val="12"/>
        <color rgb="FF373472"/>
        <rFont val="Arial"/>
      </rPr>
      <t>Reference ID:</t>
    </r>
    <r>
      <rPr>
        <sz val="12"/>
        <color rgb="FF373472"/>
        <rFont val="Arial"/>
      </rPr>
      <t xml:space="preserve"> 4C6J8K1L5M
</t>
    </r>
    <r>
      <rPr>
        <b/>
        <sz val="12"/>
        <color rgb="FF373472"/>
        <rFont val="Arial"/>
      </rPr>
      <t>Due Date:</t>
    </r>
    <r>
      <rPr>
        <sz val="12"/>
        <color rgb="FF373472"/>
        <rFont val="Arial"/>
      </rPr>
      <t xml:space="preserve">    05-01-2023
</t>
    </r>
  </si>
  <si>
    <t>INVOICE NO : 822 9424 THPA
DATE : 07-01-2023</t>
  </si>
  <si>
    <r>
      <rPr>
        <b/>
        <sz val="12"/>
        <color rgb="FF373472"/>
        <rFont val="Arial"/>
      </rPr>
      <t>Reference ID:</t>
    </r>
    <r>
      <rPr>
        <sz val="12"/>
        <color rgb="FF373472"/>
        <rFont val="Arial"/>
      </rPr>
      <t xml:space="preserve"> 5D9K7L3M2N
</t>
    </r>
    <r>
      <rPr>
        <b/>
        <sz val="12"/>
        <color rgb="FF373472"/>
        <rFont val="Arial"/>
      </rPr>
      <t xml:space="preserve">Due Date:    </t>
    </r>
    <r>
      <rPr>
        <sz val="12"/>
        <color rgb="FF373472"/>
        <rFont val="Arial"/>
      </rPr>
      <t xml:space="preserve"> 08-01-2023
</t>
    </r>
  </si>
  <si>
    <t>INVOICE NO.: 823 2324 THPA
DATE:        10-01-2023</t>
  </si>
  <si>
    <r>
      <t xml:space="preserve">The Packaging Company
</t>
    </r>
    <r>
      <rPr>
        <sz val="12"/>
        <color theme="1"/>
        <rFont val="Arial"/>
        <family val="2"/>
      </rPr>
      <t xml:space="preserve">631 Parker Glens Suite 280, West Brenda, 
Wisconsin 42926
</t>
    </r>
  </si>
  <si>
    <r>
      <rPr>
        <b/>
        <sz val="12"/>
        <color rgb="FF373472"/>
        <rFont val="Arial"/>
      </rPr>
      <t>Reference ID:</t>
    </r>
    <r>
      <rPr>
        <sz val="12"/>
        <color rgb="FF373472"/>
        <rFont val="Arial"/>
      </rPr>
      <t xml:space="preserve"> 6E8L5M4N1P
</t>
    </r>
    <r>
      <rPr>
        <b/>
        <sz val="12"/>
        <color rgb="FF373472"/>
        <rFont val="Arial"/>
      </rPr>
      <t xml:space="preserve">Due Date:   </t>
    </r>
    <r>
      <rPr>
        <sz val="12"/>
        <color rgb="FF373472"/>
        <rFont val="Arial"/>
      </rPr>
      <t xml:space="preserve">  11-01-2023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</si>
</sst>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$-409]#,##0.00"/>
    <numFmt numFmtId="165" formatCode="[$$-409]#,##0.00_ ;\-[$$-409]#,##0.00\ "/>
    <numFmt numFmtId="166" formatCode="&quot;$&quot;#,##0.00"/>
  </numFmts>
  <fonts count="24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5" tint="-0.499984740745262"/>
      <name val="Arial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i/>
      <sz val="11"/>
      <color theme="1"/>
      <name val="Arial"/>
      <family val="2"/>
    </font>
    <font>
      <b/>
      <sz val="12"/>
      <color rgb="FF37347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2"/>
      <color theme="1"/>
      <name val="Arial"/>
      <family val="2"/>
    </font>
    <font>
      <sz val="26"/>
      <color theme="1"/>
      <name val="Arial"/>
      <family val="2"/>
    </font>
    <font>
      <sz val="12"/>
      <color theme="1"/>
      <name val="Arial"/>
      <family val="2"/>
    </font>
    <font>
      <b/>
      <sz val="12"/>
      <color rgb="FF373472"/>
      <name val="Arial"/>
    </font>
    <font>
      <sz val="12"/>
      <color rgb="FF373472"/>
      <name val="Arial"/>
    </font>
    <font>
      <b/>
      <sz val="12"/>
      <color rgb="FF000000"/>
      <name val="Arial"/>
      <family val="2"/>
    </font>
    <font>
      <sz val="2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2" fillId="0" borderId="3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4" fontId="5" fillId="3" borderId="29" xfId="0" applyNumberFormat="1" applyFont="1" applyFill="1" applyBorder="1" applyAlignment="1">
      <alignment horizontal="center" vertical="center"/>
    </xf>
    <xf numFmtId="43" fontId="5" fillId="0" borderId="2" xfId="1" applyFont="1" applyFill="1" applyBorder="1" applyAlignment="1">
      <alignment horizontal="center" vertical="center"/>
    </xf>
    <xf numFmtId="164" fontId="5" fillId="2" borderId="11" xfId="1" applyNumberFormat="1" applyFont="1" applyFill="1" applyBorder="1" applyAlignment="1">
      <alignment horizontal="center" vertical="center"/>
    </xf>
    <xf numFmtId="166" fontId="5" fillId="0" borderId="2" xfId="1" applyNumberFormat="1" applyFont="1" applyFill="1" applyBorder="1" applyAlignment="1">
      <alignment horizontal="center" vertical="center"/>
    </xf>
    <xf numFmtId="165" fontId="20" fillId="3" borderId="6" xfId="1" applyNumberFormat="1" applyFont="1" applyFill="1" applyBorder="1" applyAlignment="1">
      <alignment horizontal="center" vertical="center"/>
    </xf>
    <xf numFmtId="166" fontId="5" fillId="0" borderId="4" xfId="1" applyNumberFormat="1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4" fontId="9" fillId="3" borderId="29" xfId="0" applyNumberFormat="1" applyFont="1" applyFill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center" vertical="center"/>
    </xf>
    <xf numFmtId="166" fontId="6" fillId="0" borderId="2" xfId="1" applyNumberFormat="1" applyFont="1" applyFill="1" applyBorder="1" applyAlignment="1">
      <alignment horizontal="center" vertical="center"/>
    </xf>
    <xf numFmtId="43" fontId="7" fillId="0" borderId="2" xfId="1" applyFont="1" applyFill="1" applyBorder="1" applyAlignment="1">
      <alignment horizontal="center" vertical="center"/>
    </xf>
    <xf numFmtId="166" fontId="14" fillId="0" borderId="2" xfId="1" applyNumberFormat="1" applyFont="1" applyFill="1" applyBorder="1" applyAlignment="1">
      <alignment horizontal="center" vertical="center"/>
    </xf>
    <xf numFmtId="166" fontId="13" fillId="0" borderId="2" xfId="1" applyNumberFormat="1" applyFont="1" applyFill="1" applyBorder="1" applyAlignment="1">
      <alignment horizontal="center" vertical="center"/>
    </xf>
    <xf numFmtId="166" fontId="14" fillId="2" borderId="11" xfId="1" applyNumberFormat="1" applyFont="1" applyFill="1" applyBorder="1" applyAlignment="1">
      <alignment horizontal="center" vertical="center"/>
    </xf>
    <xf numFmtId="166" fontId="14" fillId="0" borderId="4" xfId="1" applyNumberFormat="1" applyFont="1" applyFill="1" applyBorder="1" applyAlignment="1">
      <alignment horizontal="center" vertical="center"/>
    </xf>
    <xf numFmtId="166" fontId="6" fillId="3" borderId="6" xfId="1" applyNumberFormat="1" applyFont="1" applyFill="1" applyBorder="1" applyAlignment="1">
      <alignment horizontal="center" vertical="center"/>
    </xf>
    <xf numFmtId="165" fontId="20" fillId="3" borderId="38" xfId="1" applyNumberFormat="1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4" fontId="9" fillId="3" borderId="44" xfId="0" applyNumberFormat="1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4" fontId="9" fillId="3" borderId="52" xfId="0" applyNumberFormat="1" applyFont="1" applyFill="1" applyBorder="1" applyAlignment="1">
      <alignment horizontal="center" vertical="center"/>
    </xf>
    <xf numFmtId="0" fontId="5" fillId="0" borderId="55" xfId="0" applyFont="1" applyBorder="1" applyAlignment="1">
      <alignment vertical="center"/>
    </xf>
    <xf numFmtId="43" fontId="7" fillId="0" borderId="56" xfId="1" applyFont="1" applyFill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43" fontId="5" fillId="0" borderId="47" xfId="1" applyFont="1" applyFill="1" applyBorder="1" applyAlignment="1">
      <alignment horizontal="center" vertical="center"/>
    </xf>
    <xf numFmtId="0" fontId="9" fillId="0" borderId="55" xfId="0" applyFont="1" applyBorder="1" applyAlignment="1">
      <alignment vertical="center" wrapText="1"/>
    </xf>
    <xf numFmtId="164" fontId="5" fillId="0" borderId="56" xfId="1" applyNumberFormat="1" applyFont="1" applyFill="1" applyBorder="1" applyAlignment="1">
      <alignment horizontal="center" vertical="center"/>
    </xf>
    <xf numFmtId="166" fontId="5" fillId="0" borderId="56" xfId="1" applyNumberFormat="1" applyFont="1" applyFill="1" applyBorder="1" applyAlignment="1">
      <alignment horizontal="center" vertical="center"/>
    </xf>
    <xf numFmtId="165" fontId="20" fillId="3" borderId="47" xfId="1" applyNumberFormat="1" applyFont="1" applyFill="1" applyBorder="1" applyAlignment="1">
      <alignment horizontal="center" vertical="center"/>
    </xf>
    <xf numFmtId="0" fontId="12" fillId="0" borderId="55" xfId="0" applyFont="1" applyBorder="1" applyAlignment="1">
      <alignment vertical="center" wrapText="1"/>
    </xf>
    <xf numFmtId="0" fontId="9" fillId="3" borderId="62" xfId="0" applyFont="1" applyFill="1" applyBorder="1" applyAlignment="1">
      <alignment horizontal="center" vertical="center"/>
    </xf>
    <xf numFmtId="0" fontId="9" fillId="3" borderId="65" xfId="0" applyFont="1" applyFill="1" applyBorder="1" applyAlignment="1">
      <alignment horizontal="center" vertical="center"/>
    </xf>
    <xf numFmtId="4" fontId="9" fillId="3" borderId="66" xfId="0" applyNumberFormat="1" applyFont="1" applyFill="1" applyBorder="1" applyAlignment="1">
      <alignment horizontal="center" vertical="center"/>
    </xf>
    <xf numFmtId="166" fontId="6" fillId="0" borderId="56" xfId="1" applyNumberFormat="1" applyFont="1" applyFill="1" applyBorder="1" applyAlignment="1">
      <alignment horizontal="center" vertical="center"/>
    </xf>
    <xf numFmtId="164" fontId="5" fillId="0" borderId="67" xfId="0" applyNumberFormat="1" applyFont="1" applyBorder="1" applyAlignment="1">
      <alignment vertical="center"/>
    </xf>
    <xf numFmtId="43" fontId="7" fillId="0" borderId="68" xfId="1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164" fontId="5" fillId="0" borderId="56" xfId="1" applyNumberFormat="1" applyFont="1" applyFill="1" applyBorder="1" applyAlignment="1">
      <alignment horizontal="right" vertical="center"/>
    </xf>
    <xf numFmtId="0" fontId="11" fillId="0" borderId="55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5" fillId="2" borderId="69" xfId="0" applyFont="1" applyFill="1" applyBorder="1" applyAlignment="1">
      <alignment vertical="center"/>
    </xf>
    <xf numFmtId="0" fontId="9" fillId="3" borderId="72" xfId="0" applyFont="1" applyFill="1" applyBorder="1" applyAlignment="1">
      <alignment horizontal="center" vertical="center"/>
    </xf>
    <xf numFmtId="0" fontId="9" fillId="3" borderId="75" xfId="0" applyFont="1" applyFill="1" applyBorder="1" applyAlignment="1">
      <alignment horizontal="center" vertical="center"/>
    </xf>
    <xf numFmtId="4" fontId="9" fillId="3" borderId="76" xfId="0" applyNumberFormat="1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vertical="center"/>
    </xf>
    <xf numFmtId="0" fontId="12" fillId="0" borderId="39" xfId="0" applyFont="1" applyBorder="1" applyAlignment="1">
      <alignment vertical="center" wrapText="1"/>
    </xf>
    <xf numFmtId="0" fontId="6" fillId="0" borderId="67" xfId="0" applyFont="1" applyBorder="1" applyAlignment="1">
      <alignment horizontal="center" vertical="center"/>
    </xf>
    <xf numFmtId="164" fontId="5" fillId="2" borderId="77" xfId="1" applyNumberFormat="1" applyFont="1" applyFill="1" applyBorder="1" applyAlignment="1">
      <alignment horizontal="center" vertical="center"/>
    </xf>
    <xf numFmtId="166" fontId="7" fillId="0" borderId="56" xfId="1" applyNumberFormat="1" applyFont="1" applyFill="1" applyBorder="1" applyAlignment="1">
      <alignment horizontal="center" vertical="center"/>
    </xf>
    <xf numFmtId="166" fontId="5" fillId="2" borderId="70" xfId="1" applyNumberFormat="1" applyFont="1" applyFill="1" applyBorder="1" applyAlignment="1">
      <alignment horizontal="center" vertical="center"/>
    </xf>
    <xf numFmtId="166" fontId="20" fillId="3" borderId="6" xfId="1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21" fillId="3" borderId="59" xfId="0" applyFont="1" applyFill="1" applyBorder="1" applyAlignment="1">
      <alignment horizontal="center" vertical="top" wrapText="1"/>
    </xf>
    <xf numFmtId="0" fontId="21" fillId="3" borderId="60" xfId="0" applyFont="1" applyFill="1" applyBorder="1" applyAlignment="1">
      <alignment horizontal="center" vertical="top" wrapText="1"/>
    </xf>
    <xf numFmtId="0" fontId="21" fillId="3" borderId="61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vertical="center"/>
    </xf>
    <xf numFmtId="0" fontId="20" fillId="3" borderId="9" xfId="0" applyFont="1" applyFill="1" applyBorder="1" applyAlignment="1">
      <alignment vertical="center"/>
    </xf>
    <xf numFmtId="0" fontId="9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21" fillId="3" borderId="39" xfId="0" applyFont="1" applyFill="1" applyBorder="1" applyAlignment="1">
      <alignment horizontal="center" vertical="top" wrapText="1"/>
    </xf>
    <xf numFmtId="0" fontId="21" fillId="3" borderId="40" xfId="0" applyFont="1" applyFill="1" applyBorder="1" applyAlignment="1">
      <alignment horizontal="center" vertical="top" wrapText="1"/>
    </xf>
    <xf numFmtId="0" fontId="5" fillId="3" borderId="40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9" fillId="0" borderId="15" xfId="0" applyFont="1" applyBorder="1" applyAlignment="1">
      <alignment horizontal="right" vertical="center" wrapText="1"/>
    </xf>
    <xf numFmtId="0" fontId="8" fillId="0" borderId="16" xfId="0" applyFont="1" applyBorder="1" applyAlignment="1">
      <alignment horizontal="right" vertical="center" wrapText="1"/>
    </xf>
    <xf numFmtId="0" fontId="8" fillId="0" borderId="42" xfId="0" applyFont="1" applyBorder="1" applyAlignment="1">
      <alignment horizontal="right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9" fillId="0" borderId="57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20" fillId="3" borderId="36" xfId="0" applyFont="1" applyFill="1" applyBorder="1" applyAlignment="1">
      <alignment vertical="center"/>
    </xf>
    <xf numFmtId="0" fontId="20" fillId="3" borderId="37" xfId="0" applyFont="1" applyFill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0" fontId="9" fillId="3" borderId="74" xfId="0" applyFont="1" applyFill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19" fillId="0" borderId="78" xfId="0" applyFont="1" applyBorder="1" applyAlignment="1">
      <alignment horizontal="right" vertical="center" wrapText="1"/>
    </xf>
    <xf numFmtId="0" fontId="8" fillId="0" borderId="40" xfId="0" applyFont="1" applyBorder="1" applyAlignment="1">
      <alignment horizontal="right" vertical="center" wrapText="1"/>
    </xf>
    <xf numFmtId="0" fontId="8" fillId="0" borderId="41" xfId="0" applyFont="1" applyBorder="1" applyAlignment="1">
      <alignment horizontal="right" vertical="center" wrapText="1"/>
    </xf>
    <xf numFmtId="0" fontId="9" fillId="3" borderId="63" xfId="0" applyFont="1" applyFill="1" applyBorder="1" applyAlignment="1">
      <alignment horizontal="center" vertical="center"/>
    </xf>
    <xf numFmtId="0" fontId="9" fillId="3" borderId="64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top" wrapText="1"/>
    </xf>
    <xf numFmtId="0" fontId="15" fillId="3" borderId="59" xfId="0" applyFont="1" applyFill="1" applyBorder="1" applyAlignment="1">
      <alignment horizontal="center" vertical="center" wrapText="1"/>
    </xf>
    <xf numFmtId="0" fontId="15" fillId="3" borderId="60" xfId="0" applyFont="1" applyFill="1" applyBorder="1" applyAlignment="1">
      <alignment horizontal="center" vertical="center" wrapText="1"/>
    </xf>
    <xf numFmtId="0" fontId="5" fillId="3" borderId="60" xfId="0" applyFont="1" applyFill="1" applyBorder="1" applyAlignment="1">
      <alignment horizontal="center" vertical="center" wrapText="1"/>
    </xf>
    <xf numFmtId="0" fontId="5" fillId="3" borderId="61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right" vertical="center" wrapText="1"/>
    </xf>
    <xf numFmtId="0" fontId="21" fillId="3" borderId="30" xfId="0" applyFont="1" applyFill="1" applyBorder="1" applyAlignment="1">
      <alignment horizontal="center" vertical="top" wrapText="1"/>
    </xf>
    <xf numFmtId="0" fontId="21" fillId="3" borderId="31" xfId="0" applyFont="1" applyFill="1" applyBorder="1" applyAlignment="1">
      <alignment horizontal="center" vertical="top" wrapText="1"/>
    </xf>
    <xf numFmtId="0" fontId="21" fillId="3" borderId="32" xfId="0" applyFont="1" applyFill="1" applyBorder="1" applyAlignment="1">
      <alignment horizontal="center" vertical="top" wrapText="1"/>
    </xf>
    <xf numFmtId="0" fontId="5" fillId="3" borderId="40" xfId="0" applyFont="1" applyFill="1" applyBorder="1" applyAlignment="1">
      <alignment horizontal="right" vertical="center" wrapText="1"/>
    </xf>
    <xf numFmtId="0" fontId="5" fillId="3" borderId="41" xfId="0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16" fillId="3" borderId="59" xfId="0" applyFont="1" applyFill="1" applyBorder="1" applyAlignment="1">
      <alignment horizontal="center" vertical="top" wrapText="1"/>
    </xf>
    <xf numFmtId="0" fontId="16" fillId="3" borderId="60" xfId="0" applyFont="1" applyFill="1" applyBorder="1" applyAlignment="1">
      <alignment horizontal="center" vertical="top" wrapText="1"/>
    </xf>
    <xf numFmtId="0" fontId="16" fillId="3" borderId="61" xfId="0" applyFont="1" applyFill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AF087"/>
      <color rgb="FFFAE757"/>
      <color rgb="FF7364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6CFA-3313-4D1E-B901-C363C2F19128}">
  <sheetPr>
    <pageSetUpPr fitToPage="1"/>
  </sheetPr>
  <dimension ref="A1:F22"/>
  <sheetViews>
    <sheetView showGridLines="0" topLeftCell="A3" zoomScale="102" zoomScaleNormal="102" workbookViewId="0">
      <selection activeCell="A9" sqref="A9"/>
    </sheetView>
  </sheetViews>
  <sheetFormatPr defaultColWidth="9.140625" defaultRowHeight="13.15"/>
  <cols>
    <col min="1" max="1" width="51.85546875" style="1" customWidth="1"/>
    <col min="2" max="2" width="9.7109375" style="1" customWidth="1"/>
    <col min="3" max="3" width="7.5703125" style="1" customWidth="1"/>
    <col min="4" max="4" width="13.42578125" style="1" customWidth="1"/>
    <col min="5" max="5" width="17.42578125" style="6" customWidth="1"/>
    <col min="6" max="16384" width="9.140625" style="1"/>
  </cols>
  <sheetData>
    <row r="1" spans="1:6" ht="34.5" customHeight="1">
      <c r="A1" s="88" t="s">
        <v>0</v>
      </c>
      <c r="B1" s="89"/>
      <c r="C1" s="89"/>
      <c r="D1" s="90" t="s">
        <v>1</v>
      </c>
      <c r="E1" s="91"/>
      <c r="F1" s="12"/>
    </row>
    <row r="2" spans="1:6" ht="70.5" customHeight="1">
      <c r="A2" s="80" t="s">
        <v>2</v>
      </c>
      <c r="B2" s="81"/>
      <c r="C2" s="81"/>
      <c r="D2" s="81"/>
      <c r="E2" s="82"/>
      <c r="F2" s="12"/>
    </row>
    <row r="3" spans="1:6" s="2" customFormat="1" ht="60.75" customHeight="1">
      <c r="A3" s="56" t="s">
        <v>3</v>
      </c>
      <c r="B3" s="94" t="s">
        <v>4</v>
      </c>
      <c r="C3" s="95"/>
      <c r="D3" s="95"/>
      <c r="E3" s="96"/>
      <c r="F3" s="12"/>
    </row>
    <row r="4" spans="1:6" s="2" customFormat="1" ht="30.75" customHeight="1">
      <c r="A4" s="42" t="s">
        <v>5</v>
      </c>
      <c r="B4" s="99" t="s">
        <v>6</v>
      </c>
      <c r="C4" s="100"/>
      <c r="D4" s="31" t="s">
        <v>7</v>
      </c>
      <c r="E4" s="43" t="s">
        <v>8</v>
      </c>
      <c r="F4" s="12"/>
    </row>
    <row r="5" spans="1:6" ht="32.25" customHeight="1">
      <c r="A5" s="52" t="s">
        <v>9</v>
      </c>
      <c r="B5" s="97"/>
      <c r="C5" s="98"/>
      <c r="D5" s="11"/>
      <c r="E5" s="64"/>
      <c r="F5" s="2"/>
    </row>
    <row r="6" spans="1:6" ht="18.75" customHeight="1">
      <c r="A6" s="65" t="s">
        <v>10</v>
      </c>
      <c r="B6" s="101">
        <v>1000</v>
      </c>
      <c r="C6" s="102"/>
      <c r="D6" s="17">
        <v>20</v>
      </c>
      <c r="E6" s="60">
        <f>B6*D6</f>
        <v>20000</v>
      </c>
      <c r="F6" s="2"/>
    </row>
    <row r="7" spans="1:6" ht="15.75">
      <c r="A7" s="65" t="s">
        <v>11</v>
      </c>
      <c r="B7" s="105">
        <v>1000</v>
      </c>
      <c r="C7" s="106"/>
      <c r="D7" s="18">
        <v>5</v>
      </c>
      <c r="E7" s="60">
        <v>5000</v>
      </c>
      <c r="F7" s="2"/>
    </row>
    <row r="8" spans="1:6" ht="16.5" customHeight="1">
      <c r="A8" s="65" t="s">
        <v>12</v>
      </c>
      <c r="B8" s="105">
        <v>1000</v>
      </c>
      <c r="C8" s="106"/>
      <c r="D8" s="18">
        <v>5</v>
      </c>
      <c r="E8" s="60">
        <v>5000</v>
      </c>
      <c r="F8" s="2"/>
    </row>
    <row r="9" spans="1:6" s="5" customFormat="1" ht="30" customHeight="1">
      <c r="A9" s="47" t="s">
        <v>13</v>
      </c>
      <c r="B9" s="105">
        <v>1</v>
      </c>
      <c r="C9" s="106"/>
      <c r="D9" s="10" t="s">
        <v>14</v>
      </c>
      <c r="E9" s="54">
        <v>10000</v>
      </c>
      <c r="F9" s="4"/>
    </row>
    <row r="10" spans="1:6" s="5" customFormat="1" ht="24" customHeight="1">
      <c r="A10" s="66"/>
      <c r="B10" s="15"/>
      <c r="C10" s="16"/>
      <c r="D10" s="3"/>
      <c r="E10" s="75"/>
      <c r="F10" s="4"/>
    </row>
    <row r="11" spans="1:6" ht="27" customHeight="1">
      <c r="A11" s="47"/>
      <c r="B11" s="15"/>
      <c r="C11" s="16"/>
      <c r="D11" s="3"/>
      <c r="E11" s="75"/>
      <c r="F11" s="2"/>
    </row>
    <row r="12" spans="1:6" ht="27" customHeight="1">
      <c r="A12" s="47"/>
      <c r="B12" s="15"/>
      <c r="C12" s="16"/>
      <c r="D12" s="3"/>
      <c r="E12" s="75"/>
      <c r="F12" s="2"/>
    </row>
    <row r="13" spans="1:6" ht="24.75" customHeight="1">
      <c r="A13" s="47"/>
      <c r="B13" s="15"/>
      <c r="C13" s="16"/>
      <c r="D13" s="3"/>
      <c r="E13" s="75"/>
      <c r="F13" s="2"/>
    </row>
    <row r="14" spans="1:6" ht="24.75" customHeight="1">
      <c r="A14" s="47"/>
      <c r="B14" s="15"/>
      <c r="C14" s="16"/>
      <c r="D14" s="3"/>
      <c r="E14" s="75"/>
      <c r="F14" s="2"/>
    </row>
    <row r="15" spans="1:6" ht="15">
      <c r="A15" s="47"/>
      <c r="B15" s="15"/>
      <c r="C15" s="16"/>
      <c r="D15" s="3"/>
      <c r="E15" s="54"/>
      <c r="F15" s="2"/>
    </row>
    <row r="16" spans="1:6" ht="15.75" customHeight="1">
      <c r="A16" s="49"/>
      <c r="B16" s="103" t="s">
        <v>15</v>
      </c>
      <c r="C16" s="104"/>
      <c r="D16" s="67"/>
      <c r="E16" s="76">
        <v>40000</v>
      </c>
      <c r="F16" s="2"/>
    </row>
    <row r="17" spans="1:6" ht="18" customHeight="1">
      <c r="A17" s="85" t="s">
        <v>16</v>
      </c>
      <c r="B17" s="92" t="s">
        <v>17</v>
      </c>
      <c r="C17" s="93"/>
      <c r="D17" s="93"/>
      <c r="E17" s="27">
        <f>E16*5%</f>
        <v>2000</v>
      </c>
      <c r="F17" s="2"/>
    </row>
    <row r="18" spans="1:6" s="5" customFormat="1" ht="19.149999999999999" customHeight="1">
      <c r="A18" s="86"/>
      <c r="B18" s="92" t="s">
        <v>18</v>
      </c>
      <c r="C18" s="93"/>
      <c r="D18" s="93"/>
      <c r="E18" s="27">
        <f>E17*D18</f>
        <v>0</v>
      </c>
      <c r="F18" s="13"/>
    </row>
    <row r="19" spans="1:6" ht="17.45" customHeight="1">
      <c r="A19" s="86"/>
      <c r="B19" s="92" t="s">
        <v>19</v>
      </c>
      <c r="C19" s="93"/>
      <c r="D19" s="93"/>
      <c r="E19" s="27">
        <v>42000</v>
      </c>
      <c r="F19" s="12"/>
    </row>
    <row r="20" spans="1:6" ht="30" customHeight="1">
      <c r="A20" s="87"/>
      <c r="B20" s="83" t="s">
        <v>20</v>
      </c>
      <c r="C20" s="84"/>
      <c r="D20" s="84"/>
      <c r="E20" s="77">
        <v>42000</v>
      </c>
      <c r="F20" s="12"/>
    </row>
    <row r="21" spans="1:6" ht="15.75" customHeight="1">
      <c r="A21" s="12"/>
      <c r="B21" s="12"/>
      <c r="C21" s="12"/>
      <c r="D21" s="12"/>
      <c r="E21" s="12"/>
      <c r="F21" s="12"/>
    </row>
    <row r="22" spans="1:6">
      <c r="A22" s="12"/>
      <c r="B22" s="12"/>
      <c r="C22" s="12"/>
      <c r="D22" s="12"/>
      <c r="E22" s="19"/>
      <c r="F22" s="12"/>
    </row>
  </sheetData>
  <mergeCells count="16">
    <mergeCell ref="A2:E2"/>
    <mergeCell ref="B20:D20"/>
    <mergeCell ref="A17:A20"/>
    <mergeCell ref="A1:C1"/>
    <mergeCell ref="D1:E1"/>
    <mergeCell ref="B17:D17"/>
    <mergeCell ref="B18:D18"/>
    <mergeCell ref="B3:E3"/>
    <mergeCell ref="B5:C5"/>
    <mergeCell ref="B4:C4"/>
    <mergeCell ref="B6:C6"/>
    <mergeCell ref="B16:C16"/>
    <mergeCell ref="B9:C9"/>
    <mergeCell ref="B8:C8"/>
    <mergeCell ref="B7:C7"/>
    <mergeCell ref="B19:D19"/>
  </mergeCells>
  <printOptions horizontalCentered="1"/>
  <pageMargins left="0.28999999999999998" right="0.31" top="0.63" bottom="0.19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4C0D-A836-49D6-85CD-A72C14C5A1D2}">
  <sheetPr>
    <pageSetUpPr fitToPage="1"/>
  </sheetPr>
  <dimension ref="A1:F22"/>
  <sheetViews>
    <sheetView topLeftCell="A3" workbookViewId="0">
      <selection activeCell="B7" sqref="B7:C7"/>
    </sheetView>
  </sheetViews>
  <sheetFormatPr defaultColWidth="9.140625" defaultRowHeight="13.15"/>
  <cols>
    <col min="1" max="1" width="51.85546875" style="1" customWidth="1"/>
    <col min="2" max="2" width="10.7109375" style="1" customWidth="1"/>
    <col min="3" max="3" width="9.85546875" style="1" customWidth="1"/>
    <col min="4" max="4" width="13.42578125" style="1" customWidth="1"/>
    <col min="5" max="5" width="17.42578125" style="6" customWidth="1"/>
    <col min="6" max="16384" width="9.140625" style="1"/>
  </cols>
  <sheetData>
    <row r="1" spans="1:6" ht="34.5" customHeight="1">
      <c r="A1" s="88" t="s">
        <v>0</v>
      </c>
      <c r="B1" s="89"/>
      <c r="C1" s="89"/>
      <c r="D1" s="90" t="s">
        <v>21</v>
      </c>
      <c r="E1" s="91"/>
      <c r="F1" s="12"/>
    </row>
    <row r="2" spans="1:6" ht="70.5" customHeight="1">
      <c r="A2" s="80" t="s">
        <v>2</v>
      </c>
      <c r="B2" s="81"/>
      <c r="C2" s="81"/>
      <c r="D2" s="81"/>
      <c r="E2" s="82"/>
      <c r="F2" s="12"/>
    </row>
    <row r="3" spans="1:6" s="2" customFormat="1" ht="58.5" customHeight="1">
      <c r="A3" s="56" t="s">
        <v>3</v>
      </c>
      <c r="B3" s="94" t="s">
        <v>22</v>
      </c>
      <c r="C3" s="95"/>
      <c r="D3" s="95"/>
      <c r="E3" s="96"/>
      <c r="F3" s="12"/>
    </row>
    <row r="4" spans="1:6" s="2" customFormat="1" ht="30.75" customHeight="1">
      <c r="A4" s="68" t="s">
        <v>5</v>
      </c>
      <c r="B4" s="115" t="s">
        <v>6</v>
      </c>
      <c r="C4" s="116"/>
      <c r="D4" s="69" t="s">
        <v>7</v>
      </c>
      <c r="E4" s="70" t="s">
        <v>23</v>
      </c>
      <c r="F4" s="12"/>
    </row>
    <row r="5" spans="1:6" ht="24" customHeight="1">
      <c r="A5" s="52" t="s">
        <v>9</v>
      </c>
      <c r="B5" s="97"/>
      <c r="C5" s="98"/>
      <c r="D5" s="11"/>
      <c r="E5" s="64"/>
      <c r="F5" s="2"/>
    </row>
    <row r="6" spans="1:6" ht="24" customHeight="1">
      <c r="A6" s="65" t="s">
        <v>10</v>
      </c>
      <c r="B6" s="101">
        <v>1000</v>
      </c>
      <c r="C6" s="102"/>
      <c r="D6" s="17">
        <v>20</v>
      </c>
      <c r="E6" s="60">
        <f>B6*D6</f>
        <v>20000</v>
      </c>
      <c r="F6" s="2"/>
    </row>
    <row r="7" spans="1:6" ht="15.75">
      <c r="A7" s="65" t="s">
        <v>11</v>
      </c>
      <c r="B7" s="105">
        <v>1000</v>
      </c>
      <c r="C7" s="106"/>
      <c r="D7" s="18">
        <v>5</v>
      </c>
      <c r="E7" s="60">
        <v>5000</v>
      </c>
      <c r="F7" s="2"/>
    </row>
    <row r="8" spans="1:6" ht="15.75">
      <c r="A8" s="65" t="s">
        <v>12</v>
      </c>
      <c r="B8" s="105">
        <v>1000</v>
      </c>
      <c r="C8" s="106"/>
      <c r="D8" s="18">
        <v>5</v>
      </c>
      <c r="E8" s="60">
        <v>5000</v>
      </c>
      <c r="F8" s="2"/>
    </row>
    <row r="9" spans="1:6" s="5" customFormat="1" ht="20.25" customHeight="1">
      <c r="A9" s="47" t="s">
        <v>24</v>
      </c>
      <c r="B9" s="105">
        <v>1</v>
      </c>
      <c r="C9" s="106"/>
      <c r="D9" s="10" t="s">
        <v>14</v>
      </c>
      <c r="E9" s="54">
        <v>10000</v>
      </c>
      <c r="F9" s="4"/>
    </row>
    <row r="10" spans="1:6" s="5" customFormat="1" ht="24" customHeight="1">
      <c r="A10" s="47"/>
      <c r="B10" s="112"/>
      <c r="C10" s="106"/>
      <c r="D10" s="3"/>
      <c r="E10" s="48"/>
      <c r="F10" s="4"/>
    </row>
    <row r="11" spans="1:6" ht="27" customHeight="1">
      <c r="A11" s="47"/>
      <c r="B11" s="112"/>
      <c r="C11" s="106"/>
      <c r="D11" s="3"/>
      <c r="E11" s="48"/>
      <c r="F11" s="2"/>
    </row>
    <row r="12" spans="1:6" ht="27" customHeight="1">
      <c r="A12" s="47"/>
      <c r="B12" s="112"/>
      <c r="C12" s="106"/>
      <c r="D12" s="3"/>
      <c r="E12" s="48"/>
      <c r="F12" s="2"/>
    </row>
    <row r="13" spans="1:6" ht="24.75" customHeight="1">
      <c r="A13" s="47"/>
      <c r="B13" s="112"/>
      <c r="C13" s="106"/>
      <c r="D13" s="3"/>
      <c r="E13" s="48"/>
      <c r="F13" s="2"/>
    </row>
    <row r="14" spans="1:6" ht="24.75" customHeight="1">
      <c r="A14" s="47"/>
      <c r="B14" s="112"/>
      <c r="C14" s="106"/>
      <c r="D14" s="3"/>
      <c r="E14" s="48"/>
      <c r="F14" s="2"/>
    </row>
    <row r="15" spans="1:6" ht="15">
      <c r="A15" s="49"/>
      <c r="B15" s="113"/>
      <c r="C15" s="114"/>
      <c r="D15" s="50"/>
      <c r="E15" s="51"/>
      <c r="F15" s="2"/>
    </row>
    <row r="16" spans="1:6" ht="15">
      <c r="A16" s="49"/>
      <c r="B16" s="103" t="s">
        <v>15</v>
      </c>
      <c r="C16" s="104"/>
      <c r="D16" s="71"/>
      <c r="E16" s="74">
        <v>40000</v>
      </c>
      <c r="F16" s="2"/>
    </row>
    <row r="17" spans="1:6" ht="18" customHeight="1">
      <c r="A17" s="107" t="s">
        <v>16</v>
      </c>
      <c r="B17" s="92" t="s">
        <v>17</v>
      </c>
      <c r="C17" s="93"/>
      <c r="D17" s="93"/>
      <c r="E17" s="54">
        <f>E16*5%</f>
        <v>2000</v>
      </c>
      <c r="F17" s="2"/>
    </row>
    <row r="18" spans="1:6" s="5" customFormat="1" ht="19.149999999999999" customHeight="1">
      <c r="A18" s="108"/>
      <c r="B18" s="92" t="s">
        <v>18</v>
      </c>
      <c r="C18" s="93"/>
      <c r="D18" s="93"/>
      <c r="E18" s="54">
        <f>E17*D18</f>
        <v>0</v>
      </c>
      <c r="F18" s="13"/>
    </row>
    <row r="19" spans="1:6" ht="17.45" customHeight="1">
      <c r="A19" s="108"/>
      <c r="B19" s="92" t="s">
        <v>19</v>
      </c>
      <c r="C19" s="93"/>
      <c r="D19" s="93"/>
      <c r="E19" s="54">
        <v>42000</v>
      </c>
      <c r="F19" s="12"/>
    </row>
    <row r="20" spans="1:6" ht="30" customHeight="1">
      <c r="A20" s="109"/>
      <c r="B20" s="110" t="s">
        <v>20</v>
      </c>
      <c r="C20" s="111"/>
      <c r="D20" s="111"/>
      <c r="E20" s="55">
        <v>42000</v>
      </c>
      <c r="F20" s="12"/>
    </row>
    <row r="21" spans="1:6" ht="15.75" customHeight="1">
      <c r="A21" s="12"/>
      <c r="B21" s="12"/>
      <c r="C21" s="12"/>
      <c r="D21" s="12"/>
      <c r="E21" s="12"/>
      <c r="F21" s="12"/>
    </row>
    <row r="22" spans="1:6">
      <c r="A22" s="12"/>
      <c r="B22" s="12"/>
      <c r="C22" s="12"/>
      <c r="D22" s="12"/>
      <c r="E22" s="19"/>
      <c r="F22" s="12"/>
    </row>
  </sheetData>
  <mergeCells count="17">
    <mergeCell ref="B7:C7"/>
    <mergeCell ref="A1:C1"/>
    <mergeCell ref="D1:E1"/>
    <mergeCell ref="A2:E2"/>
    <mergeCell ref="A17:A20"/>
    <mergeCell ref="B17:D17"/>
    <mergeCell ref="B18:D18"/>
    <mergeCell ref="B19:D19"/>
    <mergeCell ref="B20:D20"/>
    <mergeCell ref="B8:C8"/>
    <mergeCell ref="B9:C9"/>
    <mergeCell ref="B10:C15"/>
    <mergeCell ref="B16:C16"/>
    <mergeCell ref="B3:E3"/>
    <mergeCell ref="B4:C4"/>
    <mergeCell ref="B5:C5"/>
    <mergeCell ref="B6:C6"/>
  </mergeCells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7E9D-49A5-495B-B486-8BB1F57BBE60}">
  <sheetPr>
    <pageSetUpPr fitToPage="1"/>
  </sheetPr>
  <dimension ref="A1:F22"/>
  <sheetViews>
    <sheetView topLeftCell="A3" workbookViewId="0">
      <selection activeCell="A7" sqref="A7"/>
    </sheetView>
  </sheetViews>
  <sheetFormatPr defaultColWidth="9.140625" defaultRowHeight="13.15"/>
  <cols>
    <col min="1" max="1" width="51.85546875" style="1" customWidth="1"/>
    <col min="2" max="2" width="10.7109375" style="1" customWidth="1"/>
    <col min="3" max="3" width="9.85546875" style="1" customWidth="1"/>
    <col min="4" max="4" width="13.42578125" style="1" customWidth="1"/>
    <col min="5" max="5" width="17.42578125" style="6" customWidth="1"/>
    <col min="6" max="16384" width="9.140625" style="1"/>
  </cols>
  <sheetData>
    <row r="1" spans="1:6" ht="34.5" customHeight="1">
      <c r="A1" s="117" t="s">
        <v>0</v>
      </c>
      <c r="B1" s="118"/>
      <c r="C1" s="118"/>
      <c r="D1" s="90" t="s">
        <v>25</v>
      </c>
      <c r="E1" s="91"/>
      <c r="F1" s="12"/>
    </row>
    <row r="2" spans="1:6" ht="70.5" customHeight="1">
      <c r="A2" s="80" t="s">
        <v>2</v>
      </c>
      <c r="B2" s="81"/>
      <c r="C2" s="81"/>
      <c r="D2" s="81"/>
      <c r="E2" s="82"/>
      <c r="F2" s="12"/>
    </row>
    <row r="3" spans="1:6" s="2" customFormat="1" ht="69" customHeight="1">
      <c r="A3" s="56" t="s">
        <v>3</v>
      </c>
      <c r="B3" s="94" t="s">
        <v>26</v>
      </c>
      <c r="C3" s="95"/>
      <c r="D3" s="95"/>
      <c r="E3" s="96"/>
      <c r="F3" s="12"/>
    </row>
    <row r="4" spans="1:6" s="2" customFormat="1" ht="30.75" customHeight="1">
      <c r="A4" s="44" t="s">
        <v>5</v>
      </c>
      <c r="B4" s="122" t="s">
        <v>6</v>
      </c>
      <c r="C4" s="123"/>
      <c r="D4" s="45" t="s">
        <v>7</v>
      </c>
      <c r="E4" s="46" t="s">
        <v>23</v>
      </c>
      <c r="F4" s="12"/>
    </row>
    <row r="5" spans="1:6" ht="33" customHeight="1">
      <c r="A5" s="78" t="s">
        <v>27</v>
      </c>
      <c r="B5" s="105">
        <v>1</v>
      </c>
      <c r="C5" s="106"/>
      <c r="D5" s="11">
        <v>50000</v>
      </c>
      <c r="E5" s="33">
        <v>50000</v>
      </c>
      <c r="F5" s="2"/>
    </row>
    <row r="6" spans="1:6" ht="31.5" customHeight="1">
      <c r="A6" s="79" t="s">
        <v>28</v>
      </c>
      <c r="B6" s="101"/>
      <c r="C6" s="102"/>
      <c r="D6" s="14"/>
      <c r="E6" s="34"/>
      <c r="F6" s="2"/>
    </row>
    <row r="7" spans="1:6" ht="29.25" customHeight="1">
      <c r="A7" s="157" t="s">
        <v>13</v>
      </c>
      <c r="B7" s="101">
        <v>1</v>
      </c>
      <c r="C7" s="102"/>
      <c r="D7" s="14" t="s">
        <v>14</v>
      </c>
      <c r="E7" s="34">
        <v>22000</v>
      </c>
      <c r="F7" s="2"/>
    </row>
    <row r="8" spans="1:6" ht="8.25" customHeight="1">
      <c r="A8" s="7"/>
      <c r="B8" s="63"/>
      <c r="C8" s="158"/>
      <c r="D8" s="3"/>
      <c r="E8" s="35"/>
      <c r="F8" s="2"/>
    </row>
    <row r="9" spans="1:6" s="5" customFormat="1" ht="37.5" customHeight="1">
      <c r="A9" s="7"/>
      <c r="B9" s="63"/>
      <c r="C9" s="158"/>
      <c r="D9" s="3"/>
      <c r="E9" s="35"/>
      <c r="F9" s="4"/>
    </row>
    <row r="10" spans="1:6" s="5" customFormat="1" ht="24" customHeight="1">
      <c r="A10" s="7"/>
      <c r="B10" s="63"/>
      <c r="C10" s="158"/>
      <c r="D10" s="3"/>
      <c r="E10" s="35"/>
      <c r="F10" s="4"/>
    </row>
    <row r="11" spans="1:6" ht="27" customHeight="1">
      <c r="A11" s="7"/>
      <c r="B11" s="63"/>
      <c r="C11" s="158"/>
      <c r="D11" s="3"/>
      <c r="E11" s="35"/>
      <c r="F11" s="2"/>
    </row>
    <row r="12" spans="1:6" ht="27" customHeight="1">
      <c r="A12" s="7"/>
      <c r="B12" s="63"/>
      <c r="C12" s="158"/>
      <c r="D12" s="3"/>
      <c r="E12" s="35"/>
      <c r="F12" s="2"/>
    </row>
    <row r="13" spans="1:6" ht="24.75" customHeight="1">
      <c r="A13" s="7"/>
      <c r="B13" s="63"/>
      <c r="C13" s="158"/>
      <c r="D13" s="3"/>
      <c r="E13" s="35"/>
      <c r="F13" s="2"/>
    </row>
    <row r="14" spans="1:6" ht="24.75" customHeight="1">
      <c r="A14" s="7"/>
      <c r="B14" s="63"/>
      <c r="C14" s="158"/>
      <c r="D14" s="3"/>
      <c r="E14" s="35"/>
      <c r="F14" s="2"/>
    </row>
    <row r="15" spans="1:6" ht="13.9" customHeight="1">
      <c r="A15" s="7"/>
      <c r="B15" s="63"/>
      <c r="C15" s="158"/>
      <c r="D15" s="3"/>
      <c r="E15" s="25"/>
      <c r="F15" s="2"/>
    </row>
    <row r="16" spans="1:6" ht="15">
      <c r="A16" s="8"/>
      <c r="B16" s="124" t="s">
        <v>15</v>
      </c>
      <c r="C16" s="125"/>
      <c r="D16" s="9"/>
      <c r="E16" s="26">
        <v>72000</v>
      </c>
      <c r="F16" s="2"/>
    </row>
    <row r="17" spans="1:6" ht="18" customHeight="1">
      <c r="A17" s="119" t="s">
        <v>16</v>
      </c>
      <c r="B17" s="120" t="s">
        <v>17</v>
      </c>
      <c r="C17" s="121"/>
      <c r="D17" s="121"/>
      <c r="E17" s="29">
        <f>E16*5%</f>
        <v>3600</v>
      </c>
      <c r="F17" s="2"/>
    </row>
    <row r="18" spans="1:6" s="5" customFormat="1" ht="19.149999999999999" customHeight="1">
      <c r="A18" s="86"/>
      <c r="B18" s="92" t="s">
        <v>18</v>
      </c>
      <c r="C18" s="93"/>
      <c r="D18" s="93"/>
      <c r="E18" s="27">
        <f>E17*D18</f>
        <v>0</v>
      </c>
      <c r="F18" s="13"/>
    </row>
    <row r="19" spans="1:6" ht="17.45" customHeight="1">
      <c r="A19" s="86"/>
      <c r="B19" s="92" t="s">
        <v>19</v>
      </c>
      <c r="C19" s="93"/>
      <c r="D19" s="93"/>
      <c r="E19" s="27">
        <f>E17+E16</f>
        <v>75600</v>
      </c>
      <c r="F19" s="12"/>
    </row>
    <row r="20" spans="1:6" ht="30" customHeight="1">
      <c r="A20" s="87"/>
      <c r="B20" s="83" t="s">
        <v>20</v>
      </c>
      <c r="C20" s="84"/>
      <c r="D20" s="84"/>
      <c r="E20" s="28">
        <v>75600</v>
      </c>
      <c r="F20" s="12"/>
    </row>
    <row r="21" spans="1:6" ht="15.75" customHeight="1">
      <c r="A21" s="12"/>
      <c r="B21" s="12"/>
      <c r="C21" s="12"/>
      <c r="D21" s="12"/>
      <c r="E21" s="12"/>
      <c r="F21" s="12"/>
    </row>
    <row r="22" spans="1:6">
      <c r="A22" s="12"/>
      <c r="B22" s="12"/>
      <c r="C22" s="12"/>
      <c r="D22" s="12"/>
      <c r="E22" s="19"/>
      <c r="F22" s="12"/>
    </row>
  </sheetData>
  <mergeCells count="14">
    <mergeCell ref="A1:C1"/>
    <mergeCell ref="D1:E1"/>
    <mergeCell ref="A17:A20"/>
    <mergeCell ref="B17:D17"/>
    <mergeCell ref="B18:D18"/>
    <mergeCell ref="B19:D19"/>
    <mergeCell ref="B20:D20"/>
    <mergeCell ref="B4:C4"/>
    <mergeCell ref="B5:C5"/>
    <mergeCell ref="B6:C6"/>
    <mergeCell ref="B3:E3"/>
    <mergeCell ref="B16:C16"/>
    <mergeCell ref="A2:E2"/>
    <mergeCell ref="B7:C7"/>
  </mergeCells>
  <pageMargins left="0.7" right="0.7" top="0.75" bottom="0.75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BC6F-8D64-41E8-924F-D22483B3F01B}">
  <sheetPr>
    <pageSetUpPr fitToPage="1"/>
  </sheetPr>
  <dimension ref="A1:F22"/>
  <sheetViews>
    <sheetView workbookViewId="0">
      <selection activeCell="B6" sqref="B6:C6"/>
    </sheetView>
  </sheetViews>
  <sheetFormatPr defaultColWidth="9.140625" defaultRowHeight="13.15"/>
  <cols>
    <col min="1" max="1" width="51.85546875" style="1" customWidth="1"/>
    <col min="2" max="2" width="10.7109375" style="1" customWidth="1"/>
    <col min="3" max="3" width="9.85546875" style="1" customWidth="1"/>
    <col min="4" max="4" width="13.42578125" style="1" customWidth="1"/>
    <col min="5" max="5" width="17.42578125" style="6" customWidth="1"/>
    <col min="6" max="16384" width="9.140625" style="1"/>
  </cols>
  <sheetData>
    <row r="1" spans="1:6" ht="34.5" customHeight="1">
      <c r="A1" s="117" t="s">
        <v>0</v>
      </c>
      <c r="B1" s="118"/>
      <c r="C1" s="118"/>
      <c r="D1" s="90" t="s">
        <v>29</v>
      </c>
      <c r="E1" s="91"/>
      <c r="F1" s="12"/>
    </row>
    <row r="2" spans="1:6" ht="70.5" customHeight="1">
      <c r="A2" s="88" t="s">
        <v>2</v>
      </c>
      <c r="B2" s="89"/>
      <c r="C2" s="89"/>
      <c r="D2" s="89"/>
      <c r="E2" s="133"/>
      <c r="F2" s="12"/>
    </row>
    <row r="3" spans="1:6" s="2" customFormat="1" ht="55.5" customHeight="1">
      <c r="A3" s="72" t="s">
        <v>3</v>
      </c>
      <c r="B3" s="126" t="s">
        <v>30</v>
      </c>
      <c r="C3" s="127"/>
      <c r="D3" s="127"/>
      <c r="E3" s="128"/>
      <c r="F3" s="12"/>
    </row>
    <row r="4" spans="1:6" s="2" customFormat="1" ht="30.75" customHeight="1">
      <c r="A4" s="57" t="s">
        <v>5</v>
      </c>
      <c r="B4" s="129" t="s">
        <v>6</v>
      </c>
      <c r="C4" s="130"/>
      <c r="D4" s="58" t="s">
        <v>7</v>
      </c>
      <c r="E4" s="59" t="s">
        <v>23</v>
      </c>
      <c r="F4" s="12"/>
    </row>
    <row r="5" spans="1:6" ht="34.5" customHeight="1">
      <c r="A5" s="78" t="s">
        <v>27</v>
      </c>
      <c r="B5" s="112">
        <v>1</v>
      </c>
      <c r="C5" s="131"/>
      <c r="D5" s="61">
        <v>50000</v>
      </c>
      <c r="E5" s="53">
        <v>50000</v>
      </c>
      <c r="F5" s="2"/>
    </row>
    <row r="6" spans="1:6" ht="30" customHeight="1">
      <c r="A6" s="79" t="s">
        <v>28</v>
      </c>
      <c r="B6" s="161"/>
      <c r="C6" s="132"/>
      <c r="D6" s="73"/>
      <c r="E6" s="60"/>
      <c r="F6" s="2"/>
    </row>
    <row r="7" spans="1:6" ht="26.25" customHeight="1">
      <c r="A7" s="157" t="s">
        <v>13</v>
      </c>
      <c r="B7" s="161">
        <v>1</v>
      </c>
      <c r="C7" s="132"/>
      <c r="D7" s="73" t="s">
        <v>14</v>
      </c>
      <c r="E7" s="60">
        <v>22000</v>
      </c>
      <c r="F7" s="2"/>
    </row>
    <row r="8" spans="1:6" ht="8.25" customHeight="1">
      <c r="A8" s="47"/>
      <c r="B8" s="63"/>
      <c r="C8" s="158"/>
      <c r="D8" s="3"/>
      <c r="E8" s="48"/>
      <c r="F8" s="2"/>
    </row>
    <row r="9" spans="1:6" s="5" customFormat="1" ht="37.5" customHeight="1">
      <c r="A9" s="47"/>
      <c r="B9" s="63"/>
      <c r="C9" s="158"/>
      <c r="D9" s="63"/>
      <c r="E9" s="62"/>
      <c r="F9" s="4"/>
    </row>
    <row r="10" spans="1:6" s="5" customFormat="1" ht="24" customHeight="1">
      <c r="A10" s="47"/>
      <c r="B10" s="63"/>
      <c r="C10" s="158"/>
      <c r="D10" s="3"/>
      <c r="E10" s="48"/>
      <c r="F10" s="4"/>
    </row>
    <row r="11" spans="1:6" ht="27" customHeight="1">
      <c r="A11" s="47"/>
      <c r="B11" s="63"/>
      <c r="C11" s="158"/>
      <c r="D11" s="3"/>
      <c r="E11" s="48"/>
      <c r="F11" s="2"/>
    </row>
    <row r="12" spans="1:6" ht="27" customHeight="1">
      <c r="A12" s="47"/>
      <c r="B12" s="63"/>
      <c r="C12" s="158"/>
      <c r="D12" s="3"/>
      <c r="E12" s="48"/>
      <c r="F12" s="2"/>
    </row>
    <row r="13" spans="1:6" ht="24.75" customHeight="1">
      <c r="A13" s="47"/>
      <c r="B13" s="63"/>
      <c r="C13" s="158"/>
      <c r="D13" s="3"/>
      <c r="E13" s="48"/>
      <c r="F13" s="2"/>
    </row>
    <row r="14" spans="1:6" ht="24.75" customHeight="1">
      <c r="A14" s="47"/>
      <c r="B14" s="63"/>
      <c r="C14" s="158"/>
      <c r="D14" s="3"/>
      <c r="E14" s="48"/>
      <c r="F14" s="2"/>
    </row>
    <row r="15" spans="1:6" ht="15">
      <c r="A15" s="49"/>
      <c r="B15" s="159"/>
      <c r="C15" s="160"/>
      <c r="D15" s="50"/>
      <c r="E15" s="51"/>
      <c r="F15" s="2"/>
    </row>
    <row r="16" spans="1:6" ht="15.75" customHeight="1">
      <c r="A16" s="49"/>
      <c r="B16" s="103" t="s">
        <v>15</v>
      </c>
      <c r="C16" s="104"/>
      <c r="D16" s="71"/>
      <c r="E16" s="74">
        <v>72000</v>
      </c>
      <c r="F16" s="2"/>
    </row>
    <row r="17" spans="1:6" ht="18" customHeight="1">
      <c r="A17" s="107" t="s">
        <v>16</v>
      </c>
      <c r="B17" s="92" t="s">
        <v>17</v>
      </c>
      <c r="C17" s="93"/>
      <c r="D17" s="93"/>
      <c r="E17" s="54">
        <f>E16*5%</f>
        <v>3600</v>
      </c>
      <c r="F17" s="2"/>
    </row>
    <row r="18" spans="1:6" s="5" customFormat="1" ht="19.149999999999999" customHeight="1">
      <c r="A18" s="108"/>
      <c r="B18" s="92" t="s">
        <v>18</v>
      </c>
      <c r="C18" s="93"/>
      <c r="D18" s="93"/>
      <c r="E18" s="54">
        <f>E17*D18</f>
        <v>0</v>
      </c>
      <c r="F18" s="13"/>
    </row>
    <row r="19" spans="1:6" ht="17.45" customHeight="1">
      <c r="A19" s="108"/>
      <c r="B19" s="92" t="s">
        <v>19</v>
      </c>
      <c r="C19" s="93"/>
      <c r="D19" s="93"/>
      <c r="E19" s="54">
        <f>E17+E16</f>
        <v>75600</v>
      </c>
      <c r="F19" s="12"/>
    </row>
    <row r="20" spans="1:6" ht="30" customHeight="1">
      <c r="A20" s="109"/>
      <c r="B20" s="110" t="s">
        <v>20</v>
      </c>
      <c r="C20" s="111"/>
      <c r="D20" s="111"/>
      <c r="E20" s="55">
        <v>75600</v>
      </c>
      <c r="F20" s="12"/>
    </row>
    <row r="21" spans="1:6" ht="15.75" customHeight="1">
      <c r="A21" s="12"/>
      <c r="B21" s="12"/>
      <c r="C21" s="12"/>
      <c r="D21" s="12"/>
      <c r="E21" s="12"/>
      <c r="F21" s="12"/>
    </row>
    <row r="22" spans="1:6">
      <c r="A22" s="12"/>
      <c r="B22" s="12"/>
      <c r="C22" s="12"/>
      <c r="D22" s="12"/>
      <c r="E22" s="19"/>
      <c r="F22" s="12"/>
    </row>
  </sheetData>
  <mergeCells count="14">
    <mergeCell ref="A1:C1"/>
    <mergeCell ref="D1:E1"/>
    <mergeCell ref="A17:A20"/>
    <mergeCell ref="B17:D17"/>
    <mergeCell ref="B18:D18"/>
    <mergeCell ref="B19:D19"/>
    <mergeCell ref="B20:D20"/>
    <mergeCell ref="B3:E3"/>
    <mergeCell ref="B16:C16"/>
    <mergeCell ref="B4:C4"/>
    <mergeCell ref="B5:C5"/>
    <mergeCell ref="B6:C6"/>
    <mergeCell ref="A2:E2"/>
    <mergeCell ref="B7:C7"/>
  </mergeCells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CBCD-8747-48FE-AD71-7C7D0B1E8274}">
  <sheetPr>
    <pageSetUpPr fitToPage="1"/>
  </sheetPr>
  <dimension ref="A1:F22"/>
  <sheetViews>
    <sheetView topLeftCell="A2" workbookViewId="0">
      <selection activeCell="A7" sqref="A7"/>
    </sheetView>
  </sheetViews>
  <sheetFormatPr defaultColWidth="9.140625" defaultRowHeight="13.15"/>
  <cols>
    <col min="1" max="1" width="51.85546875" style="1" customWidth="1"/>
    <col min="2" max="2" width="10.7109375" style="1" customWidth="1"/>
    <col min="3" max="3" width="9.85546875" style="1" customWidth="1"/>
    <col min="4" max="4" width="13.42578125" style="1" customWidth="1"/>
    <col min="5" max="5" width="17.42578125" style="6" customWidth="1"/>
    <col min="6" max="16384" width="9.140625" style="1"/>
  </cols>
  <sheetData>
    <row r="1" spans="1:6" ht="34.5" customHeight="1">
      <c r="A1" s="134" t="s">
        <v>0</v>
      </c>
      <c r="B1" s="135"/>
      <c r="C1" s="135"/>
      <c r="D1" s="136" t="s">
        <v>31</v>
      </c>
      <c r="E1" s="137"/>
      <c r="F1" s="12"/>
    </row>
    <row r="2" spans="1:6" ht="70.5" customHeight="1">
      <c r="A2" s="140" t="s">
        <v>2</v>
      </c>
      <c r="B2" s="141"/>
      <c r="C2" s="141"/>
      <c r="D2" s="141"/>
      <c r="E2" s="142"/>
      <c r="F2" s="12"/>
    </row>
    <row r="3" spans="1:6" s="2" customFormat="1" ht="56.25" customHeight="1">
      <c r="A3" s="21" t="s">
        <v>3</v>
      </c>
      <c r="B3" s="94" t="s">
        <v>32</v>
      </c>
      <c r="C3" s="95"/>
      <c r="D3" s="95"/>
      <c r="E3" s="139"/>
      <c r="F3" s="12"/>
    </row>
    <row r="4" spans="1:6" s="2" customFormat="1" ht="30.75" customHeight="1">
      <c r="A4" s="30" t="s">
        <v>5</v>
      </c>
      <c r="B4" s="99" t="s">
        <v>6</v>
      </c>
      <c r="C4" s="100"/>
      <c r="D4" s="31" t="s">
        <v>7</v>
      </c>
      <c r="E4" s="32" t="s">
        <v>23</v>
      </c>
      <c r="F4" s="12"/>
    </row>
    <row r="5" spans="1:6" ht="28.5" customHeight="1">
      <c r="A5" s="78" t="s">
        <v>27</v>
      </c>
      <c r="B5" s="97">
        <v>1</v>
      </c>
      <c r="C5" s="98"/>
      <c r="D5" s="11">
        <v>50000</v>
      </c>
      <c r="E5" s="33">
        <v>50000</v>
      </c>
      <c r="F5" s="2"/>
    </row>
    <row r="6" spans="1:6" ht="30.75" customHeight="1">
      <c r="A6" s="79" t="s">
        <v>28</v>
      </c>
      <c r="B6" s="101"/>
      <c r="C6" s="102"/>
      <c r="D6" s="14"/>
      <c r="E6" s="34"/>
      <c r="F6" s="2"/>
    </row>
    <row r="7" spans="1:6" ht="22.5" customHeight="1">
      <c r="A7" s="157" t="s">
        <v>13</v>
      </c>
      <c r="B7" s="101">
        <v>1</v>
      </c>
      <c r="C7" s="102"/>
      <c r="D7" s="14" t="s">
        <v>14</v>
      </c>
      <c r="E7" s="34">
        <v>22000</v>
      </c>
      <c r="F7" s="2"/>
    </row>
    <row r="8" spans="1:6" ht="8.25" customHeight="1">
      <c r="A8" s="7"/>
      <c r="B8" s="63"/>
      <c r="C8" s="158"/>
      <c r="D8" s="3"/>
      <c r="E8" s="35"/>
      <c r="F8" s="2"/>
    </row>
    <row r="9" spans="1:6" s="5" customFormat="1" ht="37.5" customHeight="1">
      <c r="A9" s="7"/>
      <c r="B9" s="63"/>
      <c r="C9" s="158"/>
      <c r="D9" s="3"/>
      <c r="E9" s="35"/>
      <c r="F9" s="4"/>
    </row>
    <row r="10" spans="1:6" s="5" customFormat="1" ht="24" customHeight="1">
      <c r="A10" s="7"/>
      <c r="B10" s="63"/>
      <c r="C10" s="158"/>
      <c r="D10" s="3"/>
      <c r="E10" s="35"/>
      <c r="F10" s="4"/>
    </row>
    <row r="11" spans="1:6" ht="27" customHeight="1">
      <c r="A11" s="7"/>
      <c r="B11" s="63"/>
      <c r="C11" s="158"/>
      <c r="D11" s="3"/>
      <c r="E11" s="35"/>
      <c r="F11" s="2"/>
    </row>
    <row r="12" spans="1:6" ht="27" customHeight="1">
      <c r="A12" s="7"/>
      <c r="B12" s="63"/>
      <c r="C12" s="158"/>
      <c r="D12" s="3"/>
      <c r="E12" s="35"/>
      <c r="F12" s="2"/>
    </row>
    <row r="13" spans="1:6" ht="24.75" customHeight="1">
      <c r="A13" s="7"/>
      <c r="B13" s="63"/>
      <c r="C13" s="158"/>
      <c r="D13" s="3"/>
      <c r="E13" s="35"/>
      <c r="F13" s="2"/>
    </row>
    <row r="14" spans="1:6" ht="24.75" customHeight="1">
      <c r="A14" s="7"/>
      <c r="B14" s="63"/>
      <c r="C14" s="158"/>
      <c r="D14" s="3"/>
      <c r="E14" s="35"/>
      <c r="F14" s="2"/>
    </row>
    <row r="15" spans="1:6" ht="13.9" customHeight="1">
      <c r="A15" s="7"/>
      <c r="B15" s="63"/>
      <c r="C15" s="158"/>
      <c r="D15" s="3"/>
      <c r="E15" s="25"/>
      <c r="F15" s="2"/>
    </row>
    <row r="16" spans="1:6" ht="15">
      <c r="A16" s="8"/>
      <c r="B16" s="124" t="s">
        <v>15</v>
      </c>
      <c r="C16" s="125"/>
      <c r="D16" s="9"/>
      <c r="E16" s="26">
        <v>72000</v>
      </c>
      <c r="F16" s="2"/>
    </row>
    <row r="17" spans="1:6" ht="18" customHeight="1">
      <c r="A17" s="119" t="s">
        <v>16</v>
      </c>
      <c r="B17" s="120" t="s">
        <v>17</v>
      </c>
      <c r="C17" s="121"/>
      <c r="D17" s="121"/>
      <c r="E17" s="29">
        <f>E16*5%</f>
        <v>3600</v>
      </c>
      <c r="F17" s="2"/>
    </row>
    <row r="18" spans="1:6" s="5" customFormat="1" ht="19.149999999999999" customHeight="1">
      <c r="A18" s="86"/>
      <c r="B18" s="92" t="s">
        <v>18</v>
      </c>
      <c r="C18" s="93"/>
      <c r="D18" s="93"/>
      <c r="E18" s="27">
        <f>E17*D18</f>
        <v>0</v>
      </c>
      <c r="F18" s="13"/>
    </row>
    <row r="19" spans="1:6" ht="17.45" customHeight="1">
      <c r="A19" s="86"/>
      <c r="B19" s="92" t="s">
        <v>19</v>
      </c>
      <c r="C19" s="93"/>
      <c r="D19" s="93"/>
      <c r="E19" s="27">
        <f>E17+E16</f>
        <v>75600</v>
      </c>
      <c r="F19" s="12"/>
    </row>
    <row r="20" spans="1:6" ht="30" customHeight="1">
      <c r="A20" s="138"/>
      <c r="B20" s="110" t="s">
        <v>20</v>
      </c>
      <c r="C20" s="111"/>
      <c r="D20" s="111"/>
      <c r="E20" s="41">
        <v>75600</v>
      </c>
      <c r="F20" s="12"/>
    </row>
    <row r="21" spans="1:6" ht="15.75" customHeight="1">
      <c r="A21" s="12"/>
      <c r="B21" s="12"/>
      <c r="C21" s="12"/>
      <c r="D21" s="12"/>
      <c r="E21" s="12"/>
      <c r="F21" s="12"/>
    </row>
    <row r="22" spans="1:6">
      <c r="A22" s="12"/>
      <c r="B22" s="12"/>
      <c r="C22" s="12"/>
      <c r="D22" s="12"/>
      <c r="E22" s="19"/>
      <c r="F22" s="12"/>
    </row>
  </sheetData>
  <mergeCells count="14">
    <mergeCell ref="A1:C1"/>
    <mergeCell ref="D1:E1"/>
    <mergeCell ref="A17:A20"/>
    <mergeCell ref="B17:D17"/>
    <mergeCell ref="B18:D18"/>
    <mergeCell ref="B19:D19"/>
    <mergeCell ref="B20:D20"/>
    <mergeCell ref="B16:C16"/>
    <mergeCell ref="B4:C4"/>
    <mergeCell ref="B6:C6"/>
    <mergeCell ref="B3:E3"/>
    <mergeCell ref="B5:C5"/>
    <mergeCell ref="A2:E2"/>
    <mergeCell ref="B7:C7"/>
  </mergeCells>
  <pageMargins left="0.7" right="0.7" top="0.75" bottom="0.75" header="0.3" footer="0.3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B39C-88F4-4DE7-992B-1F36DFBDC288}">
  <sheetPr>
    <pageSetUpPr fitToPage="1"/>
  </sheetPr>
  <dimension ref="A1:F36"/>
  <sheetViews>
    <sheetView tabSelected="1" view="pageBreakPreview" zoomScale="60" zoomScaleNormal="100" workbookViewId="0">
      <selection activeCell="A6" sqref="A6"/>
    </sheetView>
  </sheetViews>
  <sheetFormatPr defaultColWidth="9.140625" defaultRowHeight="13.15"/>
  <cols>
    <col min="1" max="1" width="51.85546875" style="1" customWidth="1"/>
    <col min="2" max="2" width="10.7109375" style="1" customWidth="1"/>
    <col min="3" max="3" width="9.85546875" style="1" customWidth="1"/>
    <col min="4" max="4" width="13.42578125" style="1" customWidth="1"/>
    <col min="5" max="5" width="22.5703125" style="6" customWidth="1"/>
    <col min="6" max="16384" width="9.140625" style="1"/>
  </cols>
  <sheetData>
    <row r="1" spans="1:6" ht="49.9" customHeight="1">
      <c r="A1" s="117" t="s">
        <v>0</v>
      </c>
      <c r="B1" s="118"/>
      <c r="C1" s="118"/>
      <c r="D1" s="143" t="s">
        <v>33</v>
      </c>
      <c r="E1" s="144"/>
      <c r="F1" s="12"/>
    </row>
    <row r="2" spans="1:6" ht="70.5" customHeight="1">
      <c r="A2" s="152" t="s">
        <v>34</v>
      </c>
      <c r="B2" s="153"/>
      <c r="C2" s="153"/>
      <c r="D2" s="153"/>
      <c r="E2" s="154"/>
      <c r="F2" s="12"/>
    </row>
    <row r="3" spans="1:6" s="2" customFormat="1" ht="52.5" customHeight="1">
      <c r="A3" s="20" t="s">
        <v>3</v>
      </c>
      <c r="B3" s="149" t="s">
        <v>35</v>
      </c>
      <c r="C3" s="150"/>
      <c r="D3" s="150"/>
      <c r="E3" s="151"/>
      <c r="F3" s="12"/>
    </row>
    <row r="4" spans="1:6" s="2" customFormat="1" ht="30.75" customHeight="1">
      <c r="A4" s="22" t="s">
        <v>5</v>
      </c>
      <c r="B4" s="147" t="s">
        <v>6</v>
      </c>
      <c r="C4" s="148"/>
      <c r="D4" s="23" t="s">
        <v>7</v>
      </c>
      <c r="E4" s="24" t="s">
        <v>23</v>
      </c>
      <c r="F4" s="12"/>
    </row>
    <row r="5" spans="1:6" ht="27.75" customHeight="1">
      <c r="A5" s="78" t="s">
        <v>27</v>
      </c>
      <c r="B5" s="97">
        <v>1</v>
      </c>
      <c r="C5" s="98"/>
      <c r="D5" s="11">
        <v>50000</v>
      </c>
      <c r="E5" s="36">
        <v>50000</v>
      </c>
      <c r="F5" s="2"/>
    </row>
    <row r="6" spans="1:6" ht="32.25" customHeight="1">
      <c r="A6" s="79" t="s">
        <v>28</v>
      </c>
      <c r="B6" s="105"/>
      <c r="C6" s="106"/>
      <c r="D6" s="11"/>
      <c r="E6" s="36"/>
      <c r="F6" s="2"/>
    </row>
    <row r="7" spans="1:6" ht="24" customHeight="1">
      <c r="A7" s="157" t="s">
        <v>13</v>
      </c>
      <c r="B7" s="101" t="s">
        <v>14</v>
      </c>
      <c r="C7" s="102"/>
      <c r="D7" s="14" t="s">
        <v>14</v>
      </c>
      <c r="E7" s="36">
        <v>22000</v>
      </c>
      <c r="F7" s="2"/>
    </row>
    <row r="8" spans="1:6" ht="13.9">
      <c r="A8" s="7"/>
      <c r="B8" s="105"/>
      <c r="C8" s="106"/>
      <c r="D8" s="3"/>
      <c r="E8" s="37"/>
      <c r="F8" s="2"/>
    </row>
    <row r="9" spans="1:6" ht="15">
      <c r="A9" s="7"/>
      <c r="B9" s="15"/>
      <c r="C9" s="16"/>
      <c r="D9" s="3"/>
      <c r="E9" s="37"/>
      <c r="F9" s="2"/>
    </row>
    <row r="10" spans="1:6" ht="15" customHeight="1">
      <c r="A10" s="7"/>
      <c r="B10" s="105"/>
      <c r="C10" s="106"/>
      <c r="D10" s="3"/>
      <c r="E10" s="37"/>
      <c r="F10" s="2"/>
    </row>
    <row r="11" spans="1:6" ht="15" customHeight="1">
      <c r="A11" s="7"/>
      <c r="B11" s="15"/>
      <c r="C11" s="16"/>
      <c r="D11" s="3"/>
      <c r="E11" s="37"/>
      <c r="F11" s="2"/>
    </row>
    <row r="12" spans="1:6" ht="15" customHeight="1">
      <c r="A12" s="7"/>
      <c r="B12" s="15"/>
      <c r="C12" s="16"/>
      <c r="D12" s="3"/>
      <c r="E12" s="37"/>
      <c r="F12" s="2"/>
    </row>
    <row r="13" spans="1:6" ht="15" customHeight="1">
      <c r="A13" s="7"/>
      <c r="B13" s="15"/>
      <c r="C13" s="16"/>
      <c r="D13" s="3"/>
      <c r="E13" s="37"/>
      <c r="F13" s="2"/>
    </row>
    <row r="14" spans="1:6" s="5" customFormat="1" ht="13.9">
      <c r="A14" s="7"/>
      <c r="B14" s="105"/>
      <c r="C14" s="106"/>
      <c r="D14" s="3"/>
      <c r="E14" s="37"/>
      <c r="F14" s="4"/>
    </row>
    <row r="15" spans="1:6" s="5" customFormat="1" ht="15">
      <c r="A15" s="7"/>
      <c r="B15" s="15"/>
      <c r="C15" s="16"/>
      <c r="D15" s="3"/>
      <c r="E15" s="37"/>
      <c r="F15" s="4"/>
    </row>
    <row r="16" spans="1:6" s="5" customFormat="1" ht="15">
      <c r="A16" s="7"/>
      <c r="B16" s="15"/>
      <c r="C16" s="16"/>
      <c r="D16" s="3"/>
      <c r="E16" s="37"/>
      <c r="F16" s="4"/>
    </row>
    <row r="17" spans="1:6" s="5" customFormat="1" ht="15">
      <c r="A17" s="7"/>
      <c r="B17" s="15"/>
      <c r="C17" s="16"/>
      <c r="D17" s="3"/>
      <c r="E17" s="37"/>
      <c r="F17" s="4"/>
    </row>
    <row r="18" spans="1:6" s="5" customFormat="1" ht="13.9">
      <c r="A18" s="7"/>
      <c r="B18" s="105"/>
      <c r="C18" s="106"/>
      <c r="D18" s="3"/>
      <c r="E18" s="37"/>
      <c r="F18" s="4"/>
    </row>
    <row r="19" spans="1:6" s="5" customFormat="1" ht="15">
      <c r="A19" s="7"/>
      <c r="B19" s="15"/>
      <c r="C19" s="16"/>
      <c r="D19" s="3"/>
      <c r="E19" s="37"/>
      <c r="F19" s="4"/>
    </row>
    <row r="20" spans="1:6" s="5" customFormat="1" ht="15">
      <c r="A20" s="7"/>
      <c r="B20" s="15"/>
      <c r="C20" s="16"/>
      <c r="D20" s="3"/>
      <c r="E20" s="37"/>
      <c r="F20" s="4"/>
    </row>
    <row r="21" spans="1:6" s="5" customFormat="1" ht="15">
      <c r="A21" s="7"/>
      <c r="B21" s="15"/>
      <c r="C21" s="16"/>
      <c r="D21" s="3"/>
      <c r="E21" s="37"/>
      <c r="F21" s="4"/>
    </row>
    <row r="22" spans="1:6" ht="13.9">
      <c r="A22" s="7"/>
      <c r="B22" s="105"/>
      <c r="C22" s="106"/>
      <c r="D22" s="3"/>
      <c r="E22" s="37"/>
      <c r="F22" s="2"/>
    </row>
    <row r="23" spans="1:6" ht="15">
      <c r="A23" s="7"/>
      <c r="B23" s="15"/>
      <c r="C23" s="16"/>
      <c r="D23" s="3"/>
      <c r="E23" s="37"/>
      <c r="F23" s="2"/>
    </row>
    <row r="24" spans="1:6" ht="15">
      <c r="A24" s="7"/>
      <c r="B24" s="15"/>
      <c r="C24" s="16"/>
      <c r="D24" s="3"/>
      <c r="E24" s="37"/>
      <c r="F24" s="2"/>
    </row>
    <row r="25" spans="1:6" ht="15">
      <c r="A25" s="7"/>
      <c r="B25" s="15"/>
      <c r="C25" s="16"/>
      <c r="D25" s="3"/>
      <c r="E25" s="37"/>
      <c r="F25" s="2"/>
    </row>
    <row r="26" spans="1:6" ht="13.9">
      <c r="A26" s="7"/>
      <c r="B26" s="105"/>
      <c r="C26" s="106"/>
      <c r="D26" s="3"/>
      <c r="E26" s="37"/>
      <c r="F26" s="2"/>
    </row>
    <row r="27" spans="1:6" ht="13.9">
      <c r="A27" s="7"/>
      <c r="B27" s="105"/>
      <c r="C27" s="106"/>
      <c r="D27" s="3"/>
      <c r="E27" s="37"/>
      <c r="F27" s="2"/>
    </row>
    <row r="28" spans="1:6" ht="13.9">
      <c r="A28" s="7"/>
      <c r="B28" s="105"/>
      <c r="C28" s="106"/>
      <c r="D28" s="3"/>
      <c r="E28" s="37"/>
      <c r="F28" s="2"/>
    </row>
    <row r="29" spans="1:6" ht="13.9">
      <c r="A29" s="7"/>
      <c r="B29" s="155"/>
      <c r="C29" s="156"/>
      <c r="D29" s="3"/>
      <c r="E29" s="36"/>
      <c r="F29" s="2"/>
    </row>
    <row r="30" spans="1:6" ht="13.9">
      <c r="A30" s="8"/>
      <c r="B30" s="124" t="s">
        <v>15</v>
      </c>
      <c r="C30" s="125"/>
      <c r="D30" s="9"/>
      <c r="E30" s="38">
        <v>72000</v>
      </c>
      <c r="F30" s="2"/>
    </row>
    <row r="31" spans="1:6" ht="18" customHeight="1">
      <c r="A31" s="119" t="s">
        <v>16</v>
      </c>
      <c r="B31" s="120" t="s">
        <v>17</v>
      </c>
      <c r="C31" s="121"/>
      <c r="D31" s="121"/>
      <c r="E31" s="39">
        <f>E30*5%</f>
        <v>3600</v>
      </c>
      <c r="F31" s="2"/>
    </row>
    <row r="32" spans="1:6" s="5" customFormat="1" ht="19.149999999999999" customHeight="1">
      <c r="A32" s="86"/>
      <c r="B32" s="92" t="s">
        <v>18</v>
      </c>
      <c r="C32" s="93"/>
      <c r="D32" s="93"/>
      <c r="E32" s="36">
        <f>E31*D32</f>
        <v>0</v>
      </c>
      <c r="F32" s="13"/>
    </row>
    <row r="33" spans="1:6" ht="17.45" customHeight="1">
      <c r="A33" s="86"/>
      <c r="B33" s="92" t="s">
        <v>19</v>
      </c>
      <c r="C33" s="93"/>
      <c r="D33" s="93"/>
      <c r="E33" s="36">
        <f>E31+E30</f>
        <v>75600</v>
      </c>
      <c r="F33" s="12"/>
    </row>
    <row r="34" spans="1:6" ht="30" customHeight="1">
      <c r="A34" s="87"/>
      <c r="B34" s="145" t="s">
        <v>20</v>
      </c>
      <c r="C34" s="146"/>
      <c r="D34" s="146"/>
      <c r="E34" s="40">
        <v>75600</v>
      </c>
      <c r="F34" s="12"/>
    </row>
    <row r="35" spans="1:6" ht="15.75" customHeight="1">
      <c r="A35" s="12"/>
      <c r="B35" s="12"/>
      <c r="C35" s="12"/>
      <c r="D35" s="12"/>
      <c r="E35" s="12"/>
      <c r="F35" s="12"/>
    </row>
    <row r="36" spans="1:6">
      <c r="A36" s="12"/>
      <c r="B36" s="12"/>
      <c r="C36" s="12"/>
      <c r="D36" s="12"/>
      <c r="E36" s="19"/>
      <c r="F36" s="12"/>
    </row>
  </sheetData>
  <mergeCells count="23">
    <mergeCell ref="B28:C28"/>
    <mergeCell ref="B29:C29"/>
    <mergeCell ref="B10:C10"/>
    <mergeCell ref="B14:C14"/>
    <mergeCell ref="B18:C18"/>
    <mergeCell ref="B22:C22"/>
    <mergeCell ref="B26:C26"/>
    <mergeCell ref="B6:C6"/>
    <mergeCell ref="A1:C1"/>
    <mergeCell ref="D1:E1"/>
    <mergeCell ref="A31:A34"/>
    <mergeCell ref="B31:D31"/>
    <mergeCell ref="B32:D32"/>
    <mergeCell ref="B33:D33"/>
    <mergeCell ref="B34:D34"/>
    <mergeCell ref="B30:C30"/>
    <mergeCell ref="B4:C4"/>
    <mergeCell ref="B5:C5"/>
    <mergeCell ref="B7:C7"/>
    <mergeCell ref="B3:E3"/>
    <mergeCell ref="A2:E2"/>
    <mergeCell ref="B8:C8"/>
    <mergeCell ref="B27:C27"/>
  </mergeCells>
  <pageMargins left="0.7" right="0.7" top="0.75" bottom="0.75" header="0.3" footer="0.3"/>
  <pageSetup paperSize="9" scale="8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29D5FB-0FCD-4F12-BA2D-D2691285FD39}"/>
</file>

<file path=customXml/itemProps2.xml><?xml version="1.0" encoding="utf-8"?>
<ds:datastoreItem xmlns:ds="http://schemas.openxmlformats.org/officeDocument/2006/customXml" ds:itemID="{684A1E1B-BB96-4537-884A-B4F6458C02E5}"/>
</file>

<file path=customXml/itemProps3.xml><?xml version="1.0" encoding="utf-8"?>
<ds:datastoreItem xmlns:ds="http://schemas.openxmlformats.org/officeDocument/2006/customXml" ds:itemID="{4BE91658-9CCD-4158-9483-443D02A2B0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Anindita</dc:creator>
  <cp:keywords/>
  <dc:description/>
  <cp:lastModifiedBy>Usha Sri  Pagadala</cp:lastModifiedBy>
  <cp:revision/>
  <dcterms:created xsi:type="dcterms:W3CDTF">1996-10-14T23:33:28Z</dcterms:created>
  <dcterms:modified xsi:type="dcterms:W3CDTF">2024-10-09T07:16:22Z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