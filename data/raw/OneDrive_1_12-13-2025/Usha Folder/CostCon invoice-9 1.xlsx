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2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Usha Folder/"/>
    </mc:Choice>
  </mc:AlternateContent>
  <xr:revisionPtr revIDLastSave="172" documentId="8_{2DB59FD5-22BE-4699-ACC0-195626ECBC6C}" xr6:coauthVersionLast="47" xr6:coauthVersionMax="47" xr10:uidLastSave="{E01FD413-B0F4-46A9-BE0D-132B56EB912B}"/>
  <bookViews>
    <workbookView xWindow="-108" yWindow="-108" windowWidth="23256" windowHeight="12456" firstSheet="8" activeTab="8" xr2:uid="{00000000-000D-0000-FFFF-FFFF00000000}"/>
  </bookViews>
  <sheets>
    <sheet name="815-5624-COCO" sheetId="1" r:id="rId1"/>
    <sheet name=" 817-3424-COCO" sheetId="2" r:id="rId2"/>
    <sheet name=" 818-0324-COCO" sheetId="3" r:id="rId3"/>
    <sheet name="818-5024-COCO" sheetId="4" r:id="rId4"/>
    <sheet name="818-8624-COCO" sheetId="5" r:id="rId5"/>
    <sheet name="819-3524-COCO" sheetId="6" r:id="rId6"/>
    <sheet name="819-7424-COCO" sheetId="7" r:id="rId7"/>
    <sheet name="819-9624-COCO" sheetId="9" r:id="rId8"/>
    <sheet name="820-4124-COCO" sheetId="10" r:id="rId9"/>
  </sheets>
  <definedNames>
    <definedName name="_xlnm.Print_Area" localSheetId="1">' 817-3424-COCO'!$A$1:$H$25</definedName>
    <definedName name="_xlnm.Print_Area" localSheetId="3">'818-5024-COCO'!$A$1:$H$25</definedName>
    <definedName name="_xlnm.Print_Area" localSheetId="4">'818-8624-COCO'!$A$1:$H$25</definedName>
    <definedName name="_xlnm.Print_Area" localSheetId="2">' 818-0324-COCO'!$A$1:$H$25</definedName>
    <definedName name="_xlnm.Print_Area" localSheetId="5">'819-3524-COCO'!$A$1:$H$25</definedName>
    <definedName name="_xlnm.Print_Area" localSheetId="8">'820-4124-COCO'!$A$1:$H$25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0" l="1"/>
  <c r="G14" i="9"/>
  <c r="G14" i="7"/>
  <c r="G15" i="6"/>
  <c r="G14" i="5"/>
  <c r="G14" i="4"/>
  <c r="G14" i="3"/>
  <c r="G16" i="3" s="1"/>
  <c r="G14" i="2"/>
  <c r="G14" i="1"/>
  <c r="G15" i="2" l="1"/>
  <c r="G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tc={57E2E665-96B6-4CF8-B811-32BE0D1576CB}</author>
  </authors>
  <commentList>
    <comment ref="B10" authorId="0" shapeId="0" xr:uid="{57E2E665-96B6-4CF8-B811-32BE0D1576C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@Meena K 
i think we should change office supplies to 
&gt;Printer cartridges 
&gt;Routers
&gt;Hard drives 
&gt;Projector setup 
&gt;Whiteboards 
&gt; Fax Machines
&gt;Desk organisers  
etccc
Reply:
    Done Geha</t>
      </text>
    </comment>
  </commentList>
</comments>
</file>

<file path=xl/sharedStrings.xml><?xml version="1.0" encoding="utf-8"?>
<sst xmlns="http://schemas.openxmlformats.org/spreadsheetml/2006/main" count="207" uniqueCount="57">
  <si>
    <t xml:space="preserve">CostCon 27198 John Junction Apt. 235, </t>
  </si>
  <si>
    <t>Lake Michelle, South Dakota,</t>
  </si>
  <si>
    <t>United States, 88586</t>
  </si>
  <si>
    <t xml:space="preserve">INVOICE </t>
  </si>
  <si>
    <r>
      <rPr>
        <b/>
        <sz val="12"/>
        <color rgb="FF000000"/>
        <rFont val="Arial"/>
      </rPr>
      <t>INVOICE NO. :</t>
    </r>
    <r>
      <rPr>
        <sz val="12"/>
        <color rgb="FF000000"/>
        <rFont val="Arial"/>
      </rPr>
      <t xml:space="preserve"> 815-5624-COCO</t>
    </r>
  </si>
  <si>
    <t>Steel Horse Motors Dallas Inc.</t>
  </si>
  <si>
    <r>
      <rPr>
        <b/>
        <sz val="12"/>
        <color rgb="FF000000"/>
        <rFont val="Arial"/>
        <family val="2"/>
      </rPr>
      <t xml:space="preserve">DATE:              </t>
    </r>
    <r>
      <rPr>
        <sz val="12"/>
        <color rgb="FF000000"/>
        <rFont val="Arial"/>
        <family val="2"/>
      </rPr>
      <t xml:space="preserve"> 8/15/2024</t>
    </r>
  </si>
  <si>
    <t>2200 Ross Avenue, Dallas, 75201</t>
  </si>
  <si>
    <r>
      <rPr>
        <b/>
        <sz val="12"/>
        <color rgb="FF000000"/>
        <rFont val="Arial"/>
        <family val="2"/>
      </rPr>
      <t>INVOICE DUE DATE</t>
    </r>
    <r>
      <rPr>
        <sz val="12"/>
        <color rgb="FF000000"/>
        <rFont val="Arial"/>
        <family val="2"/>
      </rPr>
      <t xml:space="preserve"> : 09/13/2024</t>
    </r>
  </si>
  <si>
    <t>ITEMS</t>
  </si>
  <si>
    <t>DESCRIPTION</t>
  </si>
  <si>
    <t>PRICE</t>
  </si>
  <si>
    <t>TAX</t>
  </si>
  <si>
    <t>AMOUNT</t>
  </si>
  <si>
    <t>Printers - 30</t>
  </si>
  <si>
    <t xml:space="preserve">Total </t>
  </si>
  <si>
    <t>Tax</t>
  </si>
  <si>
    <t>Balance Received :                           -</t>
  </si>
  <si>
    <t>Balance Due :                                     -</t>
  </si>
  <si>
    <t xml:space="preserve">GRAND TOTAL </t>
  </si>
  <si>
    <t>Amount in Words:  Six Thousand Four Hundred and Eighty Seven Only</t>
  </si>
  <si>
    <t>&lt;Payment due date, with in 28 days&gt;</t>
  </si>
  <si>
    <t>Seal &amp; Signature</t>
  </si>
  <si>
    <r>
      <rPr>
        <b/>
        <sz val="12"/>
        <color rgb="FF000000"/>
        <rFont val="Arial"/>
      </rPr>
      <t>INVOICE NO. :</t>
    </r>
    <r>
      <rPr>
        <sz val="12"/>
        <color rgb="FF000000"/>
        <rFont val="Arial"/>
      </rPr>
      <t xml:space="preserve">  817-3424-COCO</t>
    </r>
  </si>
  <si>
    <r>
      <rPr>
        <b/>
        <sz val="12"/>
        <color rgb="FF000000"/>
        <rFont val="Arial"/>
      </rPr>
      <t xml:space="preserve">DATE:                </t>
    </r>
    <r>
      <rPr>
        <sz val="12"/>
        <color rgb="FF000000"/>
        <rFont val="Arial"/>
      </rPr>
      <t>8/15/2024</t>
    </r>
  </si>
  <si>
    <t>Projectors and Screens</t>
  </si>
  <si>
    <t>GRAND TOTAL :</t>
  </si>
  <si>
    <t>Amount in Words: Two hundred nineteen thousand nine hundred forty-five only</t>
  </si>
  <si>
    <r>
      <rPr>
        <b/>
        <sz val="12"/>
        <color rgb="FF000000"/>
        <rFont val="Arial"/>
      </rPr>
      <t>INVOICE NO. :</t>
    </r>
    <r>
      <rPr>
        <sz val="12"/>
        <color rgb="FF000000"/>
        <rFont val="Arial"/>
      </rPr>
      <t xml:space="preserve"> 818-0324-COCO</t>
    </r>
  </si>
  <si>
    <r>
      <rPr>
        <b/>
        <sz val="12"/>
        <color rgb="FF000000"/>
        <rFont val="Arial"/>
        <family val="2"/>
      </rPr>
      <t xml:space="preserve">DATE:               </t>
    </r>
    <r>
      <rPr>
        <sz val="12"/>
        <color rgb="FF000000"/>
        <rFont val="Arial"/>
        <family val="2"/>
      </rPr>
      <t xml:space="preserve"> 8/15/2024</t>
    </r>
  </si>
  <si>
    <t>Hard drives (200 pieces)</t>
  </si>
  <si>
    <t>Amount in Words: Five Thousand Four Hundred and Sixty Five</t>
  </si>
  <si>
    <r>
      <rPr>
        <b/>
        <sz val="12"/>
        <color rgb="FF000000"/>
        <rFont val="Arial"/>
      </rPr>
      <t>INVOICE NO. :</t>
    </r>
    <r>
      <rPr>
        <sz val="12"/>
        <color rgb="FF000000"/>
        <rFont val="Arial"/>
      </rPr>
      <t xml:space="preserve">  818-5024-COCO</t>
    </r>
  </si>
  <si>
    <r>
      <rPr>
        <b/>
        <sz val="12"/>
        <color rgb="FF000000"/>
        <rFont val="Arial"/>
        <family val="2"/>
      </rPr>
      <t xml:space="preserve">DATE:                </t>
    </r>
    <r>
      <rPr>
        <sz val="12"/>
        <color rgb="FF000000"/>
        <rFont val="Arial"/>
        <family val="2"/>
      </rPr>
      <t>8/15/2024</t>
    </r>
  </si>
  <si>
    <t>First aid kits and fire extinguishers.</t>
  </si>
  <si>
    <t>Amount in Words: Five Thousand Eight Hundred and Eighty Two Only</t>
  </si>
  <si>
    <r>
      <rPr>
        <b/>
        <sz val="12"/>
        <color rgb="FF242424"/>
        <rFont val="Arial"/>
      </rPr>
      <t>INVOICE NO. :</t>
    </r>
    <r>
      <rPr>
        <sz val="12"/>
        <color rgb="FF242424"/>
        <rFont val="Arial"/>
      </rPr>
      <t xml:space="preserve"> 818-8624-COCO</t>
    </r>
  </si>
  <si>
    <r>
      <rPr>
        <b/>
        <sz val="12"/>
        <color rgb="FF242424"/>
        <rFont val="Arial"/>
      </rPr>
      <t>DATE:</t>
    </r>
    <r>
      <rPr>
        <sz val="12"/>
        <color rgb="FF242424"/>
        <rFont val="Arial"/>
      </rPr>
      <t xml:space="preserve">             8/15/2024</t>
    </r>
  </si>
  <si>
    <r>
      <rPr>
        <b/>
        <sz val="12"/>
        <color rgb="FF000000"/>
        <rFont val="Arial"/>
      </rPr>
      <t>INVOICE DUE DATE</t>
    </r>
    <r>
      <rPr>
        <sz val="12"/>
        <color rgb="FF000000"/>
        <rFont val="Arial"/>
      </rPr>
      <t xml:space="preserve"> : 09/13/2024</t>
    </r>
  </si>
  <si>
    <t>Digital lockers</t>
  </si>
  <si>
    <t>Amount in Words: Five Thousand Seven Hundred and Five</t>
  </si>
  <si>
    <t>X</t>
  </si>
  <si>
    <r>
      <rPr>
        <b/>
        <sz val="12"/>
        <color rgb="FF242424"/>
        <rFont val="Arial"/>
      </rPr>
      <t>Invoice No.:</t>
    </r>
    <r>
      <rPr>
        <sz val="11"/>
        <color rgb="FF242424"/>
        <rFont val="Aptos Narrow"/>
      </rPr>
      <t xml:space="preserve"> </t>
    </r>
    <r>
      <rPr>
        <sz val="12"/>
        <color rgb="FF242424"/>
        <rFont val="Arial"/>
      </rPr>
      <t>819-3524-COCO</t>
    </r>
  </si>
  <si>
    <r>
      <rPr>
        <b/>
        <sz val="12"/>
        <color rgb="FF000000"/>
        <rFont val="Arial"/>
        <family val="2"/>
      </rPr>
      <t>Date :</t>
    </r>
    <r>
      <rPr>
        <sz val="12"/>
        <color rgb="FF000000"/>
        <rFont val="Arial"/>
        <family val="2"/>
      </rPr>
      <t xml:space="preserve">          8/15/2024</t>
    </r>
  </si>
  <si>
    <t>Fax Machines</t>
  </si>
  <si>
    <t>Amount in Words: Five Thousand Three Hundred and Sixteen</t>
  </si>
  <si>
    <r>
      <rPr>
        <b/>
        <sz val="12"/>
        <color rgb="FF000000"/>
        <rFont val="Arial"/>
      </rPr>
      <t>INVOICE NO. :</t>
    </r>
    <r>
      <rPr>
        <sz val="12"/>
        <color rgb="FF000000"/>
        <rFont val="Arial"/>
      </rPr>
      <t xml:space="preserve"> 819-7424-COCO</t>
    </r>
  </si>
  <si>
    <r>
      <rPr>
        <sz val="12"/>
        <color rgb="FF111111"/>
        <rFont val="Arial"/>
      </rPr>
      <t xml:space="preserve">Breakroom Supplies
</t>
    </r>
    <r>
      <rPr>
        <i/>
        <sz val="11"/>
        <color rgb="FF111111"/>
        <rFont val="Arial"/>
      </rPr>
      <t>(Coffee makers -10 and microwaves -10)</t>
    </r>
  </si>
  <si>
    <t>Amount in Words: Six Thousand One Hundred and Thirty Six Only</t>
  </si>
  <si>
    <r>
      <rPr>
        <b/>
        <sz val="12"/>
        <color rgb="FF000000"/>
        <rFont val="Arial"/>
      </rPr>
      <t>INVOICE NO. :</t>
    </r>
    <r>
      <rPr>
        <sz val="12"/>
        <color rgb="FF000000"/>
        <rFont val="Arial"/>
      </rPr>
      <t xml:space="preserve"> 819-9624-COCO</t>
    </r>
  </si>
  <si>
    <r>
      <rPr>
        <b/>
        <sz val="12"/>
        <color rgb="FF000000"/>
        <rFont val="Arial"/>
        <family val="2"/>
      </rPr>
      <t xml:space="preserve">DATE: </t>
    </r>
    <r>
      <rPr>
        <sz val="12"/>
        <color rgb="FF000000"/>
        <rFont val="Arial"/>
        <family val="2"/>
      </rPr>
      <t xml:space="preserve">              8/15/2024</t>
    </r>
  </si>
  <si>
    <r>
      <rPr>
        <sz val="12"/>
        <color rgb="FF000000"/>
        <rFont val="Arial"/>
      </rPr>
      <t xml:space="preserve">Office Stationary
</t>
    </r>
    <r>
      <rPr>
        <i/>
        <sz val="11"/>
        <color rgb="FF000000"/>
        <rFont val="Arial"/>
      </rPr>
      <t>(Includes Printer Paper, Notebooks, Pens, sticky notes)</t>
    </r>
  </si>
  <si>
    <t>Amount in Words:  Five Thousand Nine Hundred Eighty Five only</t>
  </si>
  <si>
    <r>
      <rPr>
        <b/>
        <sz val="12"/>
        <color rgb="FF000000"/>
        <rFont val="Arial"/>
      </rPr>
      <t>INVOICE NO. :</t>
    </r>
    <r>
      <rPr>
        <sz val="12"/>
        <color rgb="FF000000"/>
        <rFont val="Arial"/>
      </rPr>
      <t xml:space="preserve"> 820-4124-COCO</t>
    </r>
  </si>
  <si>
    <t>TAX Rate</t>
  </si>
  <si>
    <r>
      <rPr>
        <sz val="12"/>
        <color rgb="FF000000"/>
        <rFont val="Arial"/>
      </rPr>
      <t xml:space="preserve">Mail room supplies 
</t>
    </r>
    <r>
      <rPr>
        <i/>
        <sz val="11"/>
        <color rgb="FF000000"/>
        <rFont val="Arial"/>
      </rPr>
      <t>(Includes envelopes, packing tape, shipping labels.)</t>
    </r>
  </si>
  <si>
    <t>Amount in Words: Six Thousand Eight Hundred and Forty Seven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</si>
</sst>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"/>
    <numFmt numFmtId="165" formatCode="_ [$₹-4009]\ * #,##0.00_ ;_ [$₹-4009]\ * \-#,##0.00_ ;_ [$₹-4009]\ * &quot;-&quot;??_ ;_ @_ "/>
    <numFmt numFmtId="166" formatCode="[$$-409]#,##0.00_ ;\-[$$-409]#,##0.00\ "/>
    <numFmt numFmtId="167" formatCode="[$$-409]#,##0.00"/>
    <numFmt numFmtId="168" formatCode="&quot;$&quot;#,##0.00"/>
  </numFmts>
  <fonts count="2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i/>
      <sz val="12"/>
      <color rgb="FF404040"/>
      <name val="Arial"/>
      <family val="2"/>
    </font>
    <font>
      <sz val="11"/>
      <color rgb="FF242424"/>
      <name val="Aptos Narrow"/>
      <family val="2"/>
    </font>
    <font>
      <b/>
      <sz val="16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rgb="FF242424"/>
      <name val="Arial"/>
      <family val="2"/>
    </font>
    <font>
      <sz val="12"/>
      <color rgb="FF111111"/>
      <name val="-Apple-System"/>
      <charset val="1"/>
    </font>
    <font>
      <sz val="12"/>
      <color rgb="FF212121"/>
      <name val="Arial"/>
    </font>
    <font>
      <sz val="12"/>
      <color rgb="FF111111"/>
      <name val="Arial"/>
    </font>
    <font>
      <sz val="12"/>
      <color rgb="FF000000"/>
      <name val="Arial"/>
    </font>
    <font>
      <b/>
      <sz val="12"/>
      <color rgb="FF000000"/>
      <name val="Arial"/>
    </font>
    <font>
      <i/>
      <sz val="11"/>
      <color rgb="FF000000"/>
      <name val="Arial"/>
    </font>
    <font>
      <i/>
      <sz val="11"/>
      <color rgb="FF111111"/>
      <name val="Arial"/>
    </font>
    <font>
      <b/>
      <sz val="12"/>
      <color rgb="FF242424"/>
      <name val="Arial"/>
    </font>
    <font>
      <sz val="11"/>
      <color rgb="FF242424"/>
      <name val="Aptos Narrow"/>
    </font>
    <font>
      <sz val="12"/>
      <color rgb="FF242424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1" fillId="0" borderId="25" xfId="0" applyFont="1" applyBorder="1"/>
    <xf numFmtId="0" fontId="2" fillId="3" borderId="27" xfId="0" applyFont="1" applyFill="1" applyBorder="1" applyAlignment="1">
      <alignment vertical="top"/>
    </xf>
    <xf numFmtId="0" fontId="2" fillId="3" borderId="28" xfId="0" applyFont="1" applyFill="1" applyBorder="1" applyAlignment="1">
      <alignment vertical="top"/>
    </xf>
    <xf numFmtId="0" fontId="2" fillId="3" borderId="28" xfId="0" applyFont="1" applyFill="1" applyBorder="1"/>
    <xf numFmtId="0" fontId="2" fillId="3" borderId="29" xfId="0" applyFont="1" applyFill="1" applyBorder="1"/>
    <xf numFmtId="0" fontId="2" fillId="3" borderId="26" xfId="0" applyFont="1" applyFill="1" applyBorder="1" applyAlignment="1">
      <alignment vertical="top"/>
    </xf>
    <xf numFmtId="0" fontId="2" fillId="3" borderId="0" xfId="0" applyFont="1" applyFill="1" applyAlignment="1">
      <alignment vertical="top"/>
    </xf>
    <xf numFmtId="0" fontId="2" fillId="3" borderId="0" xfId="0" applyFont="1" applyFill="1"/>
    <xf numFmtId="0" fontId="2" fillId="3" borderId="30" xfId="0" applyFont="1" applyFill="1" applyBorder="1"/>
    <xf numFmtId="0" fontId="8" fillId="3" borderId="0" xfId="0" applyFont="1" applyFill="1" applyAlignment="1">
      <alignment vertical="top"/>
    </xf>
    <xf numFmtId="0" fontId="2" fillId="0" borderId="12" xfId="0" applyFont="1" applyBorder="1"/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30" xfId="0" applyFont="1" applyBorder="1"/>
    <xf numFmtId="167" fontId="3" fillId="0" borderId="0" xfId="0" applyNumberFormat="1" applyFont="1" applyAlignment="1">
      <alignment vertical="center"/>
    </xf>
    <xf numFmtId="167" fontId="3" fillId="0" borderId="30" xfId="0" applyNumberFormat="1" applyFont="1" applyBorder="1" applyAlignment="1">
      <alignment vertical="center"/>
    </xf>
    <xf numFmtId="0" fontId="4" fillId="0" borderId="26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9" fillId="0" borderId="26" xfId="0" applyFont="1" applyBorder="1"/>
    <xf numFmtId="0" fontId="9" fillId="0" borderId="0" xfId="0" applyFont="1"/>
    <xf numFmtId="0" fontId="10" fillId="0" borderId="26" xfId="0" applyFont="1" applyBorder="1"/>
    <xf numFmtId="0" fontId="2" fillId="3" borderId="53" xfId="0" applyFont="1" applyFill="1" applyBorder="1" applyAlignment="1">
      <alignment vertical="top"/>
    </xf>
    <xf numFmtId="0" fontId="2" fillId="3" borderId="54" xfId="0" applyFont="1" applyFill="1" applyBorder="1" applyAlignment="1">
      <alignment vertical="top"/>
    </xf>
    <xf numFmtId="0" fontId="2" fillId="3" borderId="54" xfId="0" applyFont="1" applyFill="1" applyBorder="1"/>
    <xf numFmtId="0" fontId="2" fillId="3" borderId="55" xfId="0" applyFont="1" applyFill="1" applyBorder="1"/>
    <xf numFmtId="0" fontId="2" fillId="3" borderId="56" xfId="0" applyFont="1" applyFill="1" applyBorder="1" applyAlignment="1">
      <alignment vertical="top"/>
    </xf>
    <xf numFmtId="0" fontId="2" fillId="3" borderId="57" xfId="0" applyFont="1" applyFill="1" applyBorder="1"/>
    <xf numFmtId="0" fontId="2" fillId="0" borderId="56" xfId="0" applyFont="1" applyBorder="1" applyAlignment="1">
      <alignment horizontal="center" vertical="center"/>
    </xf>
    <xf numFmtId="0" fontId="2" fillId="0" borderId="56" xfId="0" applyFont="1" applyBorder="1" applyAlignment="1">
      <alignment horizontal="left" vertical="center"/>
    </xf>
    <xf numFmtId="0" fontId="4" fillId="0" borderId="74" xfId="0" applyFont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4" fillId="0" borderId="77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5" fillId="2" borderId="77" xfId="0" applyFont="1" applyFill="1" applyBorder="1" applyAlignment="1">
      <alignment horizontal="left"/>
    </xf>
    <xf numFmtId="0" fontId="5" fillId="2" borderId="52" xfId="0" applyFont="1" applyFill="1" applyBorder="1" applyAlignment="1">
      <alignment horizontal="center"/>
    </xf>
    <xf numFmtId="0" fontId="4" fillId="0" borderId="81" xfId="0" applyFont="1" applyBorder="1" applyAlignment="1">
      <alignment horizontal="center"/>
    </xf>
    <xf numFmtId="9" fontId="2" fillId="0" borderId="0" xfId="0" applyNumberFormat="1" applyFont="1" applyAlignment="1">
      <alignment horizontal="center" vertical="center"/>
    </xf>
    <xf numFmtId="0" fontId="2" fillId="0" borderId="66" xfId="0" applyFont="1" applyBorder="1" applyAlignment="1">
      <alignment horizontal="left"/>
    </xf>
    <xf numFmtId="0" fontId="2" fillId="0" borderId="67" xfId="0" applyFont="1" applyBorder="1" applyAlignment="1">
      <alignment horizontal="left"/>
    </xf>
    <xf numFmtId="0" fontId="2" fillId="0" borderId="68" xfId="0" applyFont="1" applyBorder="1" applyAlignment="1">
      <alignment horizontal="left"/>
    </xf>
    <xf numFmtId="0" fontId="4" fillId="0" borderId="69" xfId="0" applyFont="1" applyBorder="1" applyAlignment="1">
      <alignment horizontal="center"/>
    </xf>
    <xf numFmtId="0" fontId="4" fillId="0" borderId="67" xfId="0" applyFont="1" applyBorder="1" applyAlignment="1">
      <alignment horizontal="center"/>
    </xf>
    <xf numFmtId="0" fontId="4" fillId="0" borderId="70" xfId="0" applyFont="1" applyBorder="1" applyAlignment="1">
      <alignment horizontal="center"/>
    </xf>
    <xf numFmtId="0" fontId="2" fillId="0" borderId="71" xfId="0" applyFont="1" applyBorder="1" applyAlignment="1">
      <alignment horizontal="left"/>
    </xf>
    <xf numFmtId="0" fontId="2" fillId="0" borderId="72" xfId="0" applyFont="1" applyBorder="1" applyAlignment="1">
      <alignment horizontal="left"/>
    </xf>
    <xf numFmtId="0" fontId="2" fillId="0" borderId="73" xfId="0" applyFont="1" applyBorder="1" applyAlignment="1">
      <alignment horizontal="left"/>
    </xf>
    <xf numFmtId="0" fontId="4" fillId="0" borderId="6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167" fontId="3" fillId="0" borderId="6" xfId="0" applyNumberFormat="1" applyFont="1" applyBorder="1" applyAlignment="1">
      <alignment vertical="center"/>
    </xf>
    <xf numFmtId="167" fontId="3" fillId="0" borderId="60" xfId="0" applyNumberFormat="1" applyFont="1" applyBorder="1" applyAlignment="1">
      <alignment vertical="center"/>
    </xf>
    <xf numFmtId="0" fontId="5" fillId="0" borderId="41" xfId="0" applyFont="1" applyBorder="1" applyAlignment="1">
      <alignment horizontal="left"/>
    </xf>
    <xf numFmtId="0" fontId="5" fillId="0" borderId="42" xfId="0" applyFont="1" applyBorder="1" applyAlignment="1">
      <alignment horizontal="left"/>
    </xf>
    <xf numFmtId="0" fontId="5" fillId="0" borderId="50" xfId="0" applyFont="1" applyBorder="1" applyAlignment="1">
      <alignment horizontal="left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5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7" xfId="0" applyFont="1" applyBorder="1" applyAlignment="1">
      <alignment horizontal="left" vertical="center"/>
    </xf>
    <xf numFmtId="0" fontId="2" fillId="2" borderId="56" xfId="0" applyFont="1" applyFill="1" applyBorder="1" applyAlignment="1">
      <alignment vertical="center"/>
    </xf>
    <xf numFmtId="0" fontId="4" fillId="0" borderId="75" xfId="0" applyFont="1" applyBorder="1" applyAlignment="1">
      <alignment horizontal="center"/>
    </xf>
    <xf numFmtId="0" fontId="4" fillId="0" borderId="76" xfId="0" applyFont="1" applyBorder="1" applyAlignment="1">
      <alignment horizontal="center"/>
    </xf>
    <xf numFmtId="164" fontId="2" fillId="0" borderId="0" xfId="0" applyNumberFormat="1" applyFont="1" applyAlignment="1">
      <alignment horizontal="left" vertical="center"/>
    </xf>
    <xf numFmtId="164" fontId="2" fillId="0" borderId="57" xfId="0" applyNumberFormat="1" applyFont="1" applyBorder="1" applyAlignment="1">
      <alignment horizontal="left" vertical="center"/>
    </xf>
    <xf numFmtId="0" fontId="6" fillId="0" borderId="62" xfId="0" applyFont="1" applyBorder="1" applyAlignment="1">
      <alignment horizontal="center" vertical="top" wrapText="1"/>
    </xf>
    <xf numFmtId="0" fontId="6" fillId="0" borderId="52" xfId="0" applyFont="1" applyBorder="1" applyAlignment="1">
      <alignment horizontal="center" vertical="top" wrapText="1"/>
    </xf>
    <xf numFmtId="0" fontId="6" fillId="0" borderId="28" xfId="0" applyFont="1" applyBorder="1" applyAlignment="1">
      <alignment horizontal="center" vertical="top" wrapText="1"/>
    </xf>
    <xf numFmtId="0" fontId="6" fillId="0" borderId="63" xfId="0" applyFont="1" applyBorder="1" applyAlignment="1">
      <alignment horizontal="center" vertical="top" wrapText="1"/>
    </xf>
    <xf numFmtId="168" fontId="5" fillId="0" borderId="51" xfId="0" applyNumberFormat="1" applyFont="1" applyBorder="1" applyAlignment="1">
      <alignment horizontal="right"/>
    </xf>
    <xf numFmtId="168" fontId="5" fillId="0" borderId="61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4" fillId="0" borderId="5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6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7" xfId="0" applyFont="1" applyBorder="1" applyAlignment="1">
      <alignment horizontal="left"/>
    </xf>
    <xf numFmtId="166" fontId="2" fillId="0" borderId="0" xfId="0" applyNumberFormat="1" applyFont="1" applyAlignment="1">
      <alignment horizontal="center" vertical="center"/>
    </xf>
    <xf numFmtId="166" fontId="2" fillId="0" borderId="57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57" xfId="0" applyNumberFormat="1" applyFont="1" applyBorder="1" applyAlignment="1">
      <alignment horizontal="center" vertical="center"/>
    </xf>
    <xf numFmtId="0" fontId="3" fillId="4" borderId="58" xfId="0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right" vertical="center"/>
    </xf>
    <xf numFmtId="167" fontId="3" fillId="4" borderId="3" xfId="0" applyNumberFormat="1" applyFont="1" applyFill="1" applyBorder="1" applyAlignment="1">
      <alignment horizontal="right" vertical="center"/>
    </xf>
    <xf numFmtId="167" fontId="3" fillId="4" borderId="59" xfId="0" applyNumberFormat="1" applyFont="1" applyFill="1" applyBorder="1" applyAlignment="1">
      <alignment horizontal="right" vertical="center"/>
    </xf>
    <xf numFmtId="0" fontId="4" fillId="0" borderId="5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4" fillId="0" borderId="26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0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52" xfId="0" applyFont="1" applyBorder="1" applyAlignment="1">
      <alignment horizontal="left"/>
    </xf>
    <xf numFmtId="0" fontId="5" fillId="0" borderId="78" xfId="0" applyFont="1" applyBorder="1" applyAlignment="1">
      <alignment horizontal="left"/>
    </xf>
    <xf numFmtId="167" fontId="3" fillId="0" borderId="22" xfId="0" applyNumberFormat="1" applyFont="1" applyBorder="1" applyAlignment="1">
      <alignment vertical="center"/>
    </xf>
    <xf numFmtId="167" fontId="3" fillId="0" borderId="35" xfId="0" applyNumberFormat="1" applyFont="1" applyBorder="1" applyAlignment="1">
      <alignment vertical="center"/>
    </xf>
    <xf numFmtId="0" fontId="4" fillId="0" borderId="26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3" fillId="0" borderId="26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2" fillId="0" borderId="3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4" fillId="0" borderId="16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6" fillId="0" borderId="33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38" xfId="0" applyFont="1" applyBorder="1" applyAlignment="1">
      <alignment horizontal="center" vertical="top" wrapText="1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167" fontId="3" fillId="0" borderId="0" xfId="0" applyNumberFormat="1" applyFont="1" applyAlignment="1">
      <alignment vertical="center"/>
    </xf>
    <xf numFmtId="167" fontId="3" fillId="0" borderId="30" xfId="0" applyNumberFormat="1" applyFont="1" applyBorder="1" applyAlignment="1">
      <alignment vertical="center"/>
    </xf>
    <xf numFmtId="0" fontId="4" fillId="0" borderId="27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167" fontId="3" fillId="0" borderId="5" xfId="0" applyNumberFormat="1" applyFont="1" applyBorder="1" applyAlignment="1">
      <alignment vertical="center"/>
    </xf>
    <xf numFmtId="167" fontId="3" fillId="0" borderId="37" xfId="0" applyNumberFormat="1" applyFont="1" applyBorder="1" applyAlignment="1">
      <alignment vertical="center"/>
    </xf>
    <xf numFmtId="165" fontId="2" fillId="0" borderId="30" xfId="0" applyNumberFormat="1" applyFont="1" applyBorder="1" applyAlignment="1">
      <alignment horizontal="center" vertical="center"/>
    </xf>
    <xf numFmtId="0" fontId="3" fillId="4" borderId="44" xfId="0" applyFont="1" applyFill="1" applyBorder="1" applyAlignment="1">
      <alignment horizontal="right" vertical="center"/>
    </xf>
    <xf numFmtId="0" fontId="3" fillId="4" borderId="45" xfId="0" applyFont="1" applyFill="1" applyBorder="1" applyAlignment="1">
      <alignment horizontal="right" vertical="center"/>
    </xf>
    <xf numFmtId="0" fontId="3" fillId="4" borderId="43" xfId="0" applyFont="1" applyFill="1" applyBorder="1" applyAlignment="1">
      <alignment horizontal="right" vertical="center"/>
    </xf>
    <xf numFmtId="167" fontId="3" fillId="4" borderId="21" xfId="0" applyNumberFormat="1" applyFont="1" applyFill="1" applyBorder="1" applyAlignment="1">
      <alignment horizontal="right" vertical="center"/>
    </xf>
    <xf numFmtId="167" fontId="3" fillId="4" borderId="40" xfId="0" applyNumberFormat="1" applyFont="1" applyFill="1" applyBorder="1" applyAlignment="1">
      <alignment horizontal="right" vertical="center"/>
    </xf>
    <xf numFmtId="166" fontId="2" fillId="0" borderId="30" xfId="0" applyNumberFormat="1" applyFont="1" applyBorder="1" applyAlignment="1">
      <alignment horizontal="center" vertical="center"/>
    </xf>
    <xf numFmtId="0" fontId="4" fillId="0" borderId="52" xfId="0" applyFont="1" applyBorder="1" applyAlignment="1">
      <alignment horizontal="center"/>
    </xf>
    <xf numFmtId="0" fontId="4" fillId="0" borderId="78" xfId="0" applyFont="1" applyBorder="1" applyAlignment="1">
      <alignment horizontal="center"/>
    </xf>
    <xf numFmtId="0" fontId="4" fillId="0" borderId="26" xfId="0" applyFont="1" applyBorder="1" applyAlignment="1">
      <alignment vertical="center"/>
    </xf>
    <xf numFmtId="0" fontId="2" fillId="0" borderId="30" xfId="0" applyFont="1" applyBorder="1" applyAlignment="1">
      <alignment horizontal="left" vertical="center"/>
    </xf>
    <xf numFmtId="0" fontId="2" fillId="2" borderId="26" xfId="0" applyFont="1" applyFill="1" applyBorder="1" applyAlignment="1">
      <alignment vertical="center"/>
    </xf>
    <xf numFmtId="164" fontId="2" fillId="0" borderId="30" xfId="0" applyNumberFormat="1" applyFont="1" applyBorder="1" applyAlignment="1">
      <alignment horizontal="left" vertical="center"/>
    </xf>
    <xf numFmtId="0" fontId="2" fillId="0" borderId="34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5" fillId="0" borderId="77" xfId="0" applyFont="1" applyBorder="1" applyAlignment="1">
      <alignment horizontal="left"/>
    </xf>
    <xf numFmtId="168" fontId="5" fillId="0" borderId="46" xfId="0" applyNumberFormat="1" applyFont="1" applyBorder="1" applyAlignment="1">
      <alignment horizontal="right"/>
    </xf>
    <xf numFmtId="168" fontId="5" fillId="0" borderId="47" xfId="0" applyNumberFormat="1" applyFont="1" applyBorder="1" applyAlignment="1">
      <alignment horizontal="right"/>
    </xf>
    <xf numFmtId="167" fontId="3" fillId="0" borderId="8" xfId="0" applyNumberFormat="1" applyFont="1" applyBorder="1" applyAlignment="1">
      <alignment vertical="center"/>
    </xf>
    <xf numFmtId="0" fontId="4" fillId="0" borderId="26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26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3" fillId="4" borderId="31" xfId="0" applyFont="1" applyFill="1" applyBorder="1" applyAlignment="1">
      <alignment horizontal="right" vertical="center"/>
    </xf>
    <xf numFmtId="167" fontId="3" fillId="4" borderId="36" xfId="0" applyNumberFormat="1" applyFont="1" applyFill="1" applyBorder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6" fontId="2" fillId="0" borderId="30" xfId="0" applyNumberFormat="1" applyFont="1" applyBorder="1" applyAlignment="1">
      <alignment horizontal="right" vertical="center"/>
    </xf>
    <xf numFmtId="167" fontId="3" fillId="0" borderId="48" xfId="0" applyNumberFormat="1" applyFont="1" applyBorder="1" applyAlignment="1">
      <alignment vertical="center"/>
    </xf>
    <xf numFmtId="167" fontId="3" fillId="0" borderId="47" xfId="0" applyNumberFormat="1" applyFont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167" fontId="3" fillId="0" borderId="46" xfId="0" applyNumberFormat="1" applyFont="1" applyBorder="1" applyAlignment="1">
      <alignment vertical="center"/>
    </xf>
    <xf numFmtId="167" fontId="3" fillId="0" borderId="32" xfId="0" applyNumberFormat="1" applyFont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14" fontId="20" fillId="0" borderId="0" xfId="0" applyNumberFormat="1" applyFont="1" applyAlignment="1">
      <alignment horizontal="left" vertical="center"/>
    </xf>
    <xf numFmtId="0" fontId="2" fillId="0" borderId="20" xfId="0" applyFont="1" applyBorder="1" applyAlignment="1">
      <alignment horizontal="left"/>
    </xf>
    <xf numFmtId="167" fontId="3" fillId="0" borderId="9" xfId="0" applyNumberFormat="1" applyFont="1" applyBorder="1" applyAlignment="1">
      <alignment vertical="center"/>
    </xf>
    <xf numFmtId="0" fontId="2" fillId="0" borderId="2" xfId="0" applyFont="1" applyBorder="1" applyAlignment="1">
      <alignment horizontal="left"/>
    </xf>
    <xf numFmtId="0" fontId="4" fillId="0" borderId="17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67" fontId="3" fillId="0" borderId="7" xfId="0" applyNumberFormat="1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4" fillId="0" borderId="80" xfId="0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14" fontId="2" fillId="0" borderId="2" xfId="0" applyNumberFormat="1" applyFont="1" applyBorder="1" applyAlignment="1">
      <alignment horizontal="left" vertical="center"/>
    </xf>
    <xf numFmtId="0" fontId="2" fillId="0" borderId="26" xfId="0" applyFont="1" applyBorder="1" applyAlignment="1">
      <alignment vertical="center"/>
    </xf>
    <xf numFmtId="0" fontId="2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left" vertical="center"/>
    </xf>
    <xf numFmtId="0" fontId="4" fillId="0" borderId="77" xfId="0" applyFont="1" applyBorder="1" applyAlignment="1">
      <alignment horizontal="left"/>
    </xf>
    <xf numFmtId="0" fontId="4" fillId="0" borderId="52" xfId="0" applyFont="1" applyBorder="1" applyAlignment="1">
      <alignment horizontal="left"/>
    </xf>
    <xf numFmtId="0" fontId="4" fillId="0" borderId="78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0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82" xfId="0" applyFont="1" applyBorder="1" applyAlignment="1">
      <alignment horizontal="center"/>
    </xf>
    <xf numFmtId="0" fontId="2" fillId="0" borderId="83" xfId="0" applyFont="1" applyBorder="1" applyAlignment="1">
      <alignment horizontal="center"/>
    </xf>
    <xf numFmtId="0" fontId="2" fillId="0" borderId="84" xfId="0" applyFont="1" applyBorder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6" xfId="0" applyFont="1" applyBorder="1" applyAlignment="1">
      <alignment horizontal="left"/>
    </xf>
    <xf numFmtId="0" fontId="4" fillId="2" borderId="26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30" xfId="0" applyFont="1" applyFill="1" applyBorder="1" applyAlignment="1">
      <alignment horizontal="left"/>
    </xf>
    <xf numFmtId="0" fontId="4" fillId="2" borderId="26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67" fontId="3" fillId="0" borderId="24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3" xfId="0" applyFont="1" applyBorder="1" applyAlignment="1">
      <alignment horizontal="center"/>
    </xf>
    <xf numFmtId="167" fontId="3" fillId="4" borderId="23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67" fontId="3" fillId="0" borderId="10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0" xfId="0" applyFont="1" applyFill="1" applyAlignment="1"/>
    <xf numFmtId="0" fontId="2" fillId="0" borderId="0" xfId="0" applyFont="1" applyAlignment="1"/>
    <xf numFmtId="0" fontId="4" fillId="0" borderId="56" xfId="0" applyFont="1" applyBorder="1" applyAlignment="1"/>
    <xf numFmtId="0" fontId="4" fillId="0" borderId="0" xfId="0" applyFont="1" applyAlignment="1"/>
    <xf numFmtId="0" fontId="4" fillId="0" borderId="2" xfId="0" applyFont="1" applyBorder="1" applyAlignment="1"/>
    <xf numFmtId="0" fontId="2" fillId="0" borderId="56" xfId="0" applyFont="1" applyBorder="1" applyAlignment="1"/>
    <xf numFmtId="0" fontId="2" fillId="0" borderId="2" xfId="0" applyFont="1" applyBorder="1" applyAlignment="1"/>
    <xf numFmtId="0" fontId="4" fillId="0" borderId="79" xfId="0" applyFont="1" applyBorder="1" applyAlignment="1"/>
    <xf numFmtId="0" fontId="4" fillId="0" borderId="45" xfId="0" applyFont="1" applyBorder="1" applyAlignment="1"/>
    <xf numFmtId="0" fontId="4" fillId="0" borderId="51" xfId="0" applyFont="1" applyBorder="1" applyAlignment="1"/>
    <xf numFmtId="0" fontId="2" fillId="0" borderId="6" xfId="0" applyFont="1" applyBorder="1" applyAlignment="1"/>
    <xf numFmtId="0" fontId="2" fillId="0" borderId="5" xfId="0" applyFont="1" applyBorder="1" applyAlignment="1"/>
    <xf numFmtId="0" fontId="2" fillId="0" borderId="60" xfId="0" applyFont="1" applyBorder="1" applyAlignment="1"/>
    <xf numFmtId="0" fontId="2" fillId="0" borderId="16" xfId="0" applyFont="1" applyBorder="1" applyAlignment="1"/>
    <xf numFmtId="0" fontId="2" fillId="0" borderId="14" xfId="0" applyFont="1" applyBorder="1" applyAlignment="1"/>
    <xf numFmtId="0" fontId="2" fillId="0" borderId="65" xfId="0" applyFont="1" applyBorder="1" applyAlignment="1"/>
    <xf numFmtId="0" fontId="2" fillId="0" borderId="26" xfId="0" applyFont="1" applyBorder="1" applyAlignment="1"/>
    <xf numFmtId="0" fontId="4" fillId="0" borderId="77" xfId="0" applyFont="1" applyBorder="1" applyAlignment="1"/>
    <xf numFmtId="0" fontId="4" fillId="0" borderId="52" xfId="0" applyFont="1" applyBorder="1" applyAlignment="1"/>
    <xf numFmtId="0" fontId="4" fillId="0" borderId="78" xfId="0" applyFont="1" applyBorder="1" applyAlignment="1"/>
    <xf numFmtId="0" fontId="2" fillId="0" borderId="37" xfId="0" applyFont="1" applyBorder="1" applyAlignment="1"/>
    <xf numFmtId="0" fontId="4" fillId="0" borderId="26" xfId="0" applyFont="1" applyBorder="1" applyAlignment="1"/>
    <xf numFmtId="0" fontId="2" fillId="0" borderId="30" xfId="0" applyFont="1" applyBorder="1" applyAlignment="1"/>
    <xf numFmtId="0" fontId="2" fillId="0" borderId="10" xfId="0" applyFont="1" applyBorder="1" applyAlignment="1"/>
    <xf numFmtId="0" fontId="9" fillId="0" borderId="77" xfId="0" applyFont="1" applyBorder="1" applyAlignment="1"/>
    <xf numFmtId="0" fontId="9" fillId="0" borderId="52" xfId="0" applyFont="1" applyBorder="1" applyAlignment="1"/>
    <xf numFmtId="0" fontId="10" fillId="0" borderId="26" xfId="0" applyFont="1" applyBorder="1" applyAlignment="1"/>
    <xf numFmtId="0" fontId="4" fillId="2" borderId="77" xfId="0" applyFont="1" applyFill="1" applyBorder="1" applyAlignment="1"/>
    <xf numFmtId="0" fontId="4" fillId="2" borderId="52" xfId="0" applyFont="1" applyFill="1" applyBorder="1" applyAlignment="1"/>
    <xf numFmtId="0" fontId="2" fillId="0" borderId="12" xfId="0" applyFont="1" applyBorder="1" applyAlignment="1"/>
    <xf numFmtId="0" fontId="4" fillId="0" borderId="1" xfId="0" applyFont="1" applyBorder="1" applyAlignment="1"/>
    <xf numFmtId="0" fontId="2" fillId="0" borderId="1" xfId="0" applyFont="1" applyBorder="1" applyAlignment="1"/>
    <xf numFmtId="0" fontId="4" fillId="0" borderId="8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ocumenttasks/documenttask1.xml><?xml version="1.0" encoding="utf-8"?>
<Tasks xmlns="http://schemas.microsoft.com/office/tasks/2019/documenttasks">
  <Task id="{C8776BF3-E0A4-4054-A631-01A5A31C30D6}">
    <Anchor>
      <Comment id="{57E2E665-96B6-4CF8-B811-32BE0D1576CB}"/>
    </Anchor>
    <History>
      <Event time="2024-09-19T11:49:00.25" id="{5AE52006-9BE3-49B7-AB8F-5FBA853FE809}">
        <Attribution userId="S::gnunepally@konaai.com::8eae3179-4eb4-4287-b112-8b3d4d5067b2" userName="Geha Reddy Nunepally" userProvider="AD"/>
        <Anchor>
          <Comment id="{57E2E665-96B6-4CF8-B811-32BE0D1576CB}"/>
        </Anchor>
        <Create/>
      </Event>
      <Event time="2024-09-19T11:49:00.25" id="{B2F7314C-F5CF-4846-9F7B-086F6F707F09}">
        <Attribution userId="S::gnunepally@konaai.com::8eae3179-4eb4-4287-b112-8b3d4d5067b2" userName="Geha Reddy Nunepally" userProvider="AD"/>
        <Anchor>
          <Comment id="{57E2E665-96B6-4CF8-B811-32BE0D1576CB}"/>
        </Anchor>
        <Assign userId="S::Kmeena@konaai.com::db3c7776-c3f5-4e4f-91ea-976cc2da7879" userName="Meena K" userProvider="AD"/>
      </Event>
      <Event time="2024-09-19T11:49:00.25" id="{4CEFEF62-D428-4CB3-B3C7-337119E6CF8C}">
        <Attribution userId="S::gnunepally@konaai.com::8eae3179-4eb4-4287-b112-8b3d4d5067b2" userName="Geha Reddy Nunepally" userProvider="AD"/>
        <Anchor>
          <Comment id="{57E2E665-96B6-4CF8-B811-32BE0D1576CB}"/>
        </Anchor>
        <SetTitle title="@Meena K i think we should change office supplies to &gt;Routers &gt;Hard drives &gt;Projector setup &gt;Whiteboards &gt; Fax Machine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447676</xdr:colOff>
      <xdr:row>8</xdr:row>
      <xdr:rowOff>0</xdr:rowOff>
    </xdr:from>
    <xdr:ext cx="6088379" cy="25146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B6985CA1-2518-4CFD-852C-5907E487671C}"/>
            </a:ext>
          </a:extLst>
        </xdr:cNvPr>
        <xdr:cNvGrpSpPr/>
      </xdr:nvGrpSpPr>
      <xdr:grpSpPr>
        <a:xfrm>
          <a:off x="447676" y="1609725"/>
          <a:ext cx="6088379" cy="251460"/>
          <a:chOff x="-9700" y="678775"/>
          <a:chExt cx="6390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8EFEF4A6-8174-247A-0C38-466979496325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447676</xdr:colOff>
      <xdr:row>8</xdr:row>
      <xdr:rowOff>0</xdr:rowOff>
    </xdr:from>
    <xdr:ext cx="6088379" cy="25146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A206B9C8-D39D-42B8-A026-AB11DE2FE997}"/>
            </a:ext>
          </a:extLst>
        </xdr:cNvPr>
        <xdr:cNvGrpSpPr/>
      </xdr:nvGrpSpPr>
      <xdr:grpSpPr>
        <a:xfrm>
          <a:off x="447676" y="1609725"/>
          <a:ext cx="6088379" cy="251460"/>
          <a:chOff x="-9700" y="678775"/>
          <a:chExt cx="6390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1441A127-8504-F3D4-91F3-0996AA665885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20</xdr:row>
      <xdr:rowOff>0</xdr:rowOff>
    </xdr:from>
    <xdr:ext cx="5966459" cy="1905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E6BC09CB-DD89-4EA3-83F1-E95B0B864F52}"/>
            </a:ext>
          </a:extLst>
        </xdr:cNvPr>
        <xdr:cNvGrpSpPr/>
      </xdr:nvGrpSpPr>
      <xdr:grpSpPr>
        <a:xfrm>
          <a:off x="0" y="3914775"/>
          <a:ext cx="5966459" cy="190500"/>
          <a:chOff x="-9700" y="678775"/>
          <a:chExt cx="6390000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FFB2E5DE-7FAB-D585-15AA-0B36E797EEE3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447676</xdr:colOff>
      <xdr:row>8</xdr:row>
      <xdr:rowOff>0</xdr:rowOff>
    </xdr:from>
    <xdr:ext cx="6088379" cy="25146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D833FCF4-5FCB-419D-9A9A-2CBFBB58DF1E}"/>
            </a:ext>
          </a:extLst>
        </xdr:cNvPr>
        <xdr:cNvGrpSpPr/>
      </xdr:nvGrpSpPr>
      <xdr:grpSpPr>
        <a:xfrm>
          <a:off x="447676" y="1609725"/>
          <a:ext cx="6088379" cy="251460"/>
          <a:chOff x="-9700" y="678775"/>
          <a:chExt cx="6390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7F3A9733-501D-1751-7B83-54E7B853B5DD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20</xdr:row>
      <xdr:rowOff>0</xdr:rowOff>
    </xdr:from>
    <xdr:ext cx="5966459" cy="1905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569E604C-AE04-4A16-B930-87D582041949}"/>
            </a:ext>
          </a:extLst>
        </xdr:cNvPr>
        <xdr:cNvGrpSpPr/>
      </xdr:nvGrpSpPr>
      <xdr:grpSpPr>
        <a:xfrm>
          <a:off x="0" y="3914775"/>
          <a:ext cx="5966459" cy="190500"/>
          <a:chOff x="-9700" y="678775"/>
          <a:chExt cx="6390000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3F60453D-723C-338E-71D5-057FADA94CBF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447676</xdr:colOff>
      <xdr:row>8</xdr:row>
      <xdr:rowOff>0</xdr:rowOff>
    </xdr:from>
    <xdr:ext cx="6088379" cy="25146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64847C45-E6A7-42AD-ABC0-02F48D2481B6}"/>
            </a:ext>
          </a:extLst>
        </xdr:cNvPr>
        <xdr:cNvGrpSpPr/>
      </xdr:nvGrpSpPr>
      <xdr:grpSpPr>
        <a:xfrm>
          <a:off x="447676" y="1628775"/>
          <a:ext cx="6088379" cy="251460"/>
          <a:chOff x="-9700" y="678775"/>
          <a:chExt cx="6390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9C22A618-6582-8A9D-94FC-918FF97C59F6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21</xdr:row>
      <xdr:rowOff>0</xdr:rowOff>
    </xdr:from>
    <xdr:ext cx="5966459" cy="1905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D1BABA37-B726-4C69-A252-A7677AE15852}"/>
            </a:ext>
          </a:extLst>
        </xdr:cNvPr>
        <xdr:cNvGrpSpPr/>
      </xdr:nvGrpSpPr>
      <xdr:grpSpPr>
        <a:xfrm>
          <a:off x="0" y="4143375"/>
          <a:ext cx="5966459" cy="190500"/>
          <a:chOff x="-9700" y="678775"/>
          <a:chExt cx="6390000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19367AC7-DCB9-4CE4-077C-482341D62B2C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447676</xdr:colOff>
      <xdr:row>7</xdr:row>
      <xdr:rowOff>152400</xdr:rowOff>
    </xdr:from>
    <xdr:ext cx="6088379" cy="25146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B94ED6D8-A6C1-4B6B-B201-4CB56449CB14}"/>
            </a:ext>
          </a:extLst>
        </xdr:cNvPr>
        <xdr:cNvGrpSpPr/>
      </xdr:nvGrpSpPr>
      <xdr:grpSpPr>
        <a:xfrm>
          <a:off x="447676" y="1571625"/>
          <a:ext cx="6088379" cy="251460"/>
          <a:chOff x="-9700" y="678775"/>
          <a:chExt cx="6390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2B42A487-E72A-C2C2-5C60-8240E5B2414F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79005D06-F51F-439B-B54D-D657E328FD5D}"/>
            </a:ext>
          </a:extLst>
        </xdr:cNvPr>
        <xdr:cNvGrpSpPr/>
      </xdr:nvGrpSpPr>
      <xdr:grpSpPr>
        <a:xfrm>
          <a:off x="0" y="3724275"/>
          <a:ext cx="5966459" cy="190500"/>
          <a:chOff x="-9700" y="678775"/>
          <a:chExt cx="6390000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E0AD44A1-35CB-EEA4-E5DC-3A5E6263F811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447676</xdr:colOff>
      <xdr:row>7</xdr:row>
      <xdr:rowOff>152400</xdr:rowOff>
    </xdr:from>
    <xdr:ext cx="6088379" cy="25146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12DDFE72-7A74-44FE-95E2-8419BE672D9B}"/>
            </a:ext>
          </a:extLst>
        </xdr:cNvPr>
        <xdr:cNvGrpSpPr/>
      </xdr:nvGrpSpPr>
      <xdr:grpSpPr>
        <a:xfrm>
          <a:off x="447676" y="1571625"/>
          <a:ext cx="6088379" cy="251460"/>
          <a:chOff x="-9700" y="678775"/>
          <a:chExt cx="6390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12EC8AFD-757C-F091-DF82-6520191A89CE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A50ECE34-58EC-4C3D-86E4-35E3C5288E69}"/>
            </a:ext>
          </a:extLst>
        </xdr:cNvPr>
        <xdr:cNvGrpSpPr/>
      </xdr:nvGrpSpPr>
      <xdr:grpSpPr>
        <a:xfrm>
          <a:off x="0" y="4133850"/>
          <a:ext cx="5966459" cy="190500"/>
          <a:chOff x="-9700" y="678775"/>
          <a:chExt cx="6390000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1EEF067C-C600-F9F8-55CE-663315FBC362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447676</xdr:colOff>
      <xdr:row>8</xdr:row>
      <xdr:rowOff>0</xdr:rowOff>
    </xdr:from>
    <xdr:ext cx="6088379" cy="25146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BB5BFBB8-B69D-4518-B11B-7EB830A182C6}"/>
            </a:ext>
          </a:extLst>
        </xdr:cNvPr>
        <xdr:cNvGrpSpPr/>
      </xdr:nvGrpSpPr>
      <xdr:grpSpPr>
        <a:xfrm>
          <a:off x="447676" y="1609725"/>
          <a:ext cx="6088379" cy="251460"/>
          <a:chOff x="-9700" y="678775"/>
          <a:chExt cx="6390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177B5AC4-21C3-E263-F1A5-3C5D22516C4D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20</xdr:row>
      <xdr:rowOff>0</xdr:rowOff>
    </xdr:from>
    <xdr:ext cx="5966459" cy="1905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AA91F31E-D10E-414A-B850-F9984E99C769}"/>
            </a:ext>
          </a:extLst>
        </xdr:cNvPr>
        <xdr:cNvGrpSpPr/>
      </xdr:nvGrpSpPr>
      <xdr:grpSpPr>
        <a:xfrm>
          <a:off x="0" y="4381500"/>
          <a:ext cx="5966459" cy="190500"/>
          <a:chOff x="-9700" y="678775"/>
          <a:chExt cx="6390000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53BC9F09-BE08-F4F7-6718-DD8451817756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447676</xdr:colOff>
      <xdr:row>8</xdr:row>
      <xdr:rowOff>0</xdr:rowOff>
    </xdr:from>
    <xdr:ext cx="6088379" cy="25146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1C6CEEE5-DE2F-4B3F-A2A7-B1D7FC51140A}"/>
            </a:ext>
          </a:extLst>
        </xdr:cNvPr>
        <xdr:cNvGrpSpPr/>
      </xdr:nvGrpSpPr>
      <xdr:grpSpPr>
        <a:xfrm>
          <a:off x="447676" y="1609725"/>
          <a:ext cx="6088379" cy="251460"/>
          <a:chOff x="-9700" y="678775"/>
          <a:chExt cx="6390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E2D485F-4456-946B-D22A-0A820DAC1CA9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20</xdr:row>
      <xdr:rowOff>0</xdr:rowOff>
    </xdr:from>
    <xdr:ext cx="5966459" cy="1905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19F369B8-5624-4435-9074-C8CCF1504FE5}"/>
            </a:ext>
          </a:extLst>
        </xdr:cNvPr>
        <xdr:cNvGrpSpPr/>
      </xdr:nvGrpSpPr>
      <xdr:grpSpPr>
        <a:xfrm>
          <a:off x="0" y="4333875"/>
          <a:ext cx="5966459" cy="190500"/>
          <a:chOff x="-9700" y="678775"/>
          <a:chExt cx="6390000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B4923008-8D08-23AF-C15D-FF9D1D8864F5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eena K" id="{B69286C5-113B-41FF-83E7-2823E6C1B604}" userId="Kmeena@konaai.com" providerId="PeoplePicker"/>
  <person displayName="Meena K" id="{7627D509-D85B-40CD-BB41-48CCD9ECAB72}" userId="S::kmeena@konaai.com::db3c7776-c3f5-4e4f-91ea-976cc2da7879" providerId="AD"/>
  <person displayName="Geha Reddy Nunepally" id="{968CFE18-3526-4C5C-B184-1C4221128EEC}" userId="S::gnunepally@konaai.com::8eae3179-4eb4-4287-b112-8b3d4d5067b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0" dT="2024-09-19T11:49:01.68" personId="{968CFE18-3526-4C5C-B184-1C4221128EEC}" id="{57E2E665-96B6-4CF8-B811-32BE0D1576CB}">
    <text xml:space="preserve">@Meena K 
i think we should change office supplies to 
&gt;Printer cartridges 
&gt;Routers
&gt;Hard drives 
&gt;Projector setup 
&gt;Whiteboards 
&gt; Fax Machines
&gt;Desk organisers  
etccc
</text>
    <mentions>
      <mention mentionpersonId="{B69286C5-113B-41FF-83E7-2823E6C1B604}" mentionId="{3754526D-A017-4E26-B2B6-C27ACEECF83E}" startIndex="0" length="8"/>
    </mentions>
  </threadedComment>
  <threadedComment ref="B10" dT="2024-09-20T08:52:01.32" personId="{7627D509-D85B-40CD-BB41-48CCD9ECAB72}" id="{A6A38007-7EAC-40D5-872F-E520E02E2032}" parentId="{57E2E665-96B6-4CF8-B811-32BE0D1576CB}">
    <text>Done Geha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zoomScaleNormal="100" workbookViewId="0">
      <selection activeCell="E5" sqref="E5:H5"/>
    </sheetView>
  </sheetViews>
  <sheetFormatPr defaultColWidth="9.140625" defaultRowHeight="13.15"/>
  <cols>
    <col min="1" max="1" width="9.140625" style="1"/>
    <col min="2" max="2" width="24.140625" style="1" customWidth="1"/>
    <col min="3" max="3" width="9.140625" style="1"/>
    <col min="4" max="4" width="12" style="1" customWidth="1"/>
    <col min="5" max="5" width="15.28515625" style="1" customWidth="1"/>
    <col min="6" max="6" width="10.28515625" style="1" customWidth="1"/>
    <col min="7" max="7" width="9.140625" style="1"/>
    <col min="8" max="8" width="10.5703125" style="1" customWidth="1"/>
    <col min="9" max="16384" width="9.140625" style="1"/>
  </cols>
  <sheetData>
    <row r="1" spans="1:8" ht="15">
      <c r="A1" s="32" t="s">
        <v>0</v>
      </c>
      <c r="B1" s="33"/>
      <c r="C1" s="33"/>
      <c r="D1" s="33"/>
      <c r="E1" s="34"/>
      <c r="F1" s="34"/>
      <c r="G1" s="34"/>
      <c r="H1" s="35"/>
    </row>
    <row r="2" spans="1:8" ht="15">
      <c r="A2" s="36" t="s">
        <v>1</v>
      </c>
      <c r="B2" s="15"/>
      <c r="C2" s="15"/>
      <c r="D2" s="15"/>
      <c r="E2" s="16"/>
      <c r="F2" s="16"/>
      <c r="G2" s="16"/>
      <c r="H2" s="37"/>
    </row>
    <row r="3" spans="1:8" ht="15">
      <c r="A3" s="36" t="s">
        <v>2</v>
      </c>
      <c r="B3" s="15"/>
      <c r="C3" s="15"/>
      <c r="D3" s="15"/>
      <c r="E3" s="16"/>
      <c r="F3" s="16"/>
      <c r="G3" s="16"/>
      <c r="H3" s="37"/>
    </row>
    <row r="4" spans="1:8" ht="21">
      <c r="A4" s="36"/>
      <c r="B4" s="15"/>
      <c r="C4" s="15"/>
      <c r="D4" s="18" t="s">
        <v>3</v>
      </c>
      <c r="E4" s="16"/>
      <c r="F4" s="16"/>
      <c r="G4" s="16"/>
      <c r="H4" s="37"/>
    </row>
    <row r="5" spans="1:8" ht="15.75">
      <c r="A5" s="75"/>
      <c r="B5" s="76"/>
      <c r="C5" s="76"/>
      <c r="D5" s="76"/>
      <c r="E5" s="77" t="s">
        <v>4</v>
      </c>
      <c r="F5" s="78"/>
      <c r="G5" s="78"/>
      <c r="H5" s="79"/>
    </row>
    <row r="6" spans="1:8" ht="15.6">
      <c r="A6" s="80" t="s">
        <v>5</v>
      </c>
      <c r="B6" s="239"/>
      <c r="C6" s="239"/>
      <c r="D6" s="239"/>
      <c r="E6" s="78" t="s">
        <v>6</v>
      </c>
      <c r="F6" s="78"/>
      <c r="G6" s="78"/>
      <c r="H6" s="79"/>
    </row>
    <row r="7" spans="1:8" ht="15.6">
      <c r="A7" s="80" t="s">
        <v>7</v>
      </c>
      <c r="B7" s="239"/>
      <c r="C7" s="239"/>
      <c r="D7" s="239"/>
      <c r="E7" s="78" t="s">
        <v>8</v>
      </c>
      <c r="F7" s="78"/>
      <c r="G7" s="78"/>
      <c r="H7" s="79"/>
    </row>
    <row r="8" spans="1:8" ht="15.6" thickBot="1">
      <c r="A8" s="80"/>
      <c r="B8" s="239"/>
      <c r="C8" s="239"/>
      <c r="D8" s="239"/>
      <c r="E8" s="83"/>
      <c r="F8" s="83"/>
      <c r="G8" s="83"/>
      <c r="H8" s="84"/>
    </row>
    <row r="9" spans="1:8" ht="16.149999999999999" thickBot="1">
      <c r="A9" s="40" t="s">
        <v>9</v>
      </c>
      <c r="B9" s="81" t="s">
        <v>10</v>
      </c>
      <c r="C9" s="81"/>
      <c r="D9" s="81"/>
      <c r="E9" s="41" t="s">
        <v>11</v>
      </c>
      <c r="F9" s="41" t="s">
        <v>12</v>
      </c>
      <c r="G9" s="81" t="s">
        <v>13</v>
      </c>
      <c r="H9" s="82"/>
    </row>
    <row r="10" spans="1:8" ht="15">
      <c r="A10" s="38">
        <v>1</v>
      </c>
      <c r="B10" s="91" t="s">
        <v>14</v>
      </c>
      <c r="C10" s="91"/>
      <c r="D10" s="91"/>
      <c r="E10" s="4">
        <v>6178</v>
      </c>
      <c r="F10" s="5">
        <v>0.05</v>
      </c>
      <c r="G10" s="98">
        <v>6178</v>
      </c>
      <c r="H10" s="99"/>
    </row>
    <row r="11" spans="1:8" ht="15">
      <c r="A11" s="39"/>
      <c r="B11" s="78"/>
      <c r="C11" s="240"/>
      <c r="D11" s="7"/>
      <c r="E11" s="8"/>
      <c r="F11" s="5"/>
      <c r="G11" s="100"/>
      <c r="H11" s="101"/>
    </row>
    <row r="12" spans="1:8" ht="15">
      <c r="A12" s="39"/>
      <c r="B12" s="78"/>
      <c r="C12" s="240"/>
      <c r="D12" s="7"/>
      <c r="E12" s="8"/>
      <c r="F12" s="5"/>
      <c r="G12" s="100"/>
      <c r="H12" s="101"/>
    </row>
    <row r="13" spans="1:8" ht="15">
      <c r="A13" s="39"/>
      <c r="B13" s="78"/>
      <c r="C13" s="240"/>
      <c r="D13" s="7"/>
      <c r="E13" s="8"/>
      <c r="F13" s="5"/>
      <c r="G13" s="100"/>
      <c r="H13" s="101"/>
    </row>
    <row r="14" spans="1:8" ht="15.6">
      <c r="A14" s="102" t="s">
        <v>15</v>
      </c>
      <c r="B14" s="103"/>
      <c r="C14" s="103"/>
      <c r="D14" s="103"/>
      <c r="E14" s="103"/>
      <c r="F14" s="103"/>
      <c r="G14" s="104">
        <f>SUM(G10:H13)</f>
        <v>6178</v>
      </c>
      <c r="H14" s="105"/>
    </row>
    <row r="15" spans="1:8" ht="15.6">
      <c r="A15" s="106"/>
      <c r="B15" s="107"/>
      <c r="C15" s="108"/>
      <c r="D15" s="73" t="s">
        <v>16</v>
      </c>
      <c r="E15" s="74"/>
      <c r="F15" s="74"/>
      <c r="G15" s="68">
        <v>309</v>
      </c>
      <c r="H15" s="69"/>
    </row>
    <row r="16" spans="1:8" ht="15.6">
      <c r="A16" s="241"/>
      <c r="B16" s="242"/>
      <c r="C16" s="243"/>
      <c r="D16" s="66" t="s">
        <v>17</v>
      </c>
      <c r="E16" s="67"/>
      <c r="F16" s="67"/>
      <c r="G16" s="68">
        <v>0</v>
      </c>
      <c r="H16" s="69"/>
    </row>
    <row r="17" spans="1:8" ht="16.149999999999999" thickBot="1">
      <c r="A17" s="244"/>
      <c r="B17" s="240"/>
      <c r="C17" s="245"/>
      <c r="D17" s="66" t="s">
        <v>18</v>
      </c>
      <c r="E17" s="67"/>
      <c r="F17" s="67"/>
      <c r="G17" s="68">
        <v>6487</v>
      </c>
      <c r="H17" s="69"/>
    </row>
    <row r="18" spans="1:8" ht="15.6">
      <c r="A18" s="246"/>
      <c r="B18" s="247"/>
      <c r="C18" s="248"/>
      <c r="D18" s="70" t="s">
        <v>19</v>
      </c>
      <c r="E18" s="71"/>
      <c r="F18" s="72"/>
      <c r="G18" s="89">
        <v>6487</v>
      </c>
      <c r="H18" s="90"/>
    </row>
    <row r="19" spans="1:8" ht="15.6">
      <c r="A19" s="92"/>
      <c r="B19" s="93"/>
      <c r="C19" s="93"/>
      <c r="D19" s="93"/>
      <c r="E19" s="93"/>
      <c r="F19" s="93"/>
      <c r="G19" s="93"/>
      <c r="H19" s="94"/>
    </row>
    <row r="20" spans="1:8" ht="15.6">
      <c r="A20" s="95" t="s">
        <v>20</v>
      </c>
      <c r="B20" s="96"/>
      <c r="C20" s="96"/>
      <c r="D20" s="96"/>
      <c r="E20" s="96"/>
      <c r="F20" s="96"/>
      <c r="G20" s="96"/>
      <c r="H20" s="97"/>
    </row>
    <row r="21" spans="1:8" ht="13.5" customHeight="1">
      <c r="A21" s="85"/>
      <c r="B21" s="86"/>
      <c r="C21" s="86"/>
      <c r="D21" s="87"/>
      <c r="E21" s="87"/>
      <c r="F21" s="87"/>
      <c r="G21" s="87"/>
      <c r="H21" s="88"/>
    </row>
    <row r="22" spans="1:8" ht="15.6">
      <c r="A22" s="60" t="s">
        <v>21</v>
      </c>
      <c r="B22" s="61"/>
      <c r="C22" s="62"/>
      <c r="D22" s="249"/>
      <c r="E22" s="250"/>
      <c r="F22" s="250"/>
      <c r="G22" s="250"/>
      <c r="H22" s="251"/>
    </row>
    <row r="23" spans="1:8" ht="15">
      <c r="A23" s="63"/>
      <c r="B23" s="64"/>
      <c r="C23" s="65"/>
      <c r="D23" s="252"/>
      <c r="E23" s="253"/>
      <c r="F23" s="253"/>
      <c r="G23" s="253"/>
      <c r="H23" s="254"/>
    </row>
    <row r="24" spans="1:8" ht="16.149999999999999" thickBot="1">
      <c r="A24" s="51"/>
      <c r="B24" s="52"/>
      <c r="C24" s="53"/>
      <c r="D24" s="54" t="s">
        <v>22</v>
      </c>
      <c r="E24" s="55"/>
      <c r="F24" s="55"/>
      <c r="G24" s="55"/>
      <c r="H24" s="56"/>
    </row>
    <row r="25" spans="1:8" ht="15.6" thickBot="1">
      <c r="A25" s="57"/>
      <c r="B25" s="58"/>
      <c r="C25" s="58"/>
      <c r="D25" s="58"/>
      <c r="E25" s="58"/>
      <c r="F25" s="58"/>
      <c r="G25" s="58"/>
      <c r="H25" s="59"/>
    </row>
  </sheetData>
  <mergeCells count="41">
    <mergeCell ref="A21:H21"/>
    <mergeCell ref="G18:H18"/>
    <mergeCell ref="B9:D9"/>
    <mergeCell ref="B10:D10"/>
    <mergeCell ref="A19:H19"/>
    <mergeCell ref="A20:H20"/>
    <mergeCell ref="G10:H10"/>
    <mergeCell ref="B11:C11"/>
    <mergeCell ref="G11:H11"/>
    <mergeCell ref="B12:C12"/>
    <mergeCell ref="G12:H12"/>
    <mergeCell ref="B13:C13"/>
    <mergeCell ref="G13:H13"/>
    <mergeCell ref="A14:F14"/>
    <mergeCell ref="G14:H14"/>
    <mergeCell ref="A15:C15"/>
    <mergeCell ref="A5:D5"/>
    <mergeCell ref="E5:H5"/>
    <mergeCell ref="A6:D6"/>
    <mergeCell ref="E6:H6"/>
    <mergeCell ref="G9:H9"/>
    <mergeCell ref="A7:D7"/>
    <mergeCell ref="E7:H7"/>
    <mergeCell ref="A8:D8"/>
    <mergeCell ref="E8:H8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A24:C24"/>
    <mergeCell ref="D24:H24"/>
    <mergeCell ref="A25:H25"/>
    <mergeCell ref="A22:C22"/>
    <mergeCell ref="D22:H23"/>
    <mergeCell ref="A23:C23"/>
  </mergeCells>
  <pageMargins left="0.7" right="0.7" top="0.75" bottom="0.75" header="0.3" footer="0.3"/>
  <pageSetup paperSize="9" scale="9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EDDBB-32F1-4DFF-A780-216614F2EE34}">
  <sheetPr>
    <pageSetUpPr fitToPage="1"/>
  </sheetPr>
  <dimension ref="A1:H25"/>
  <sheetViews>
    <sheetView workbookViewId="0">
      <selection activeCell="E5" sqref="E5:H5"/>
    </sheetView>
  </sheetViews>
  <sheetFormatPr defaultColWidth="9.140625" defaultRowHeight="13.15"/>
  <cols>
    <col min="1" max="1" width="9.140625" style="1"/>
    <col min="2" max="2" width="24.140625" style="1" customWidth="1"/>
    <col min="3" max="3" width="9.140625" style="1"/>
    <col min="4" max="4" width="12" style="1" customWidth="1"/>
    <col min="5" max="5" width="15.28515625" style="1" customWidth="1"/>
    <col min="6" max="6" width="11.42578125" style="1" customWidth="1"/>
    <col min="7" max="7" width="9.140625" style="1"/>
    <col min="8" max="8" width="10.5703125" style="1" customWidth="1"/>
    <col min="9" max="16384" width="9.140625" style="1"/>
  </cols>
  <sheetData>
    <row r="1" spans="1:8" ht="15">
      <c r="A1" s="10" t="s">
        <v>0</v>
      </c>
      <c r="B1" s="11"/>
      <c r="C1" s="11"/>
      <c r="D1" s="11"/>
      <c r="E1" s="12"/>
      <c r="F1" s="12"/>
      <c r="G1" s="12"/>
      <c r="H1" s="13"/>
    </row>
    <row r="2" spans="1:8" ht="15">
      <c r="A2" s="14" t="s">
        <v>1</v>
      </c>
      <c r="B2" s="15"/>
      <c r="C2" s="15"/>
      <c r="D2" s="15"/>
      <c r="E2" s="16"/>
      <c r="F2" s="16"/>
      <c r="G2" s="16"/>
      <c r="H2" s="17"/>
    </row>
    <row r="3" spans="1:8" ht="15">
      <c r="A3" s="14" t="s">
        <v>2</v>
      </c>
      <c r="B3" s="15"/>
      <c r="C3" s="15"/>
      <c r="D3" s="15"/>
      <c r="E3" s="16"/>
      <c r="F3" s="16"/>
      <c r="G3" s="16"/>
      <c r="H3" s="17"/>
    </row>
    <row r="4" spans="1:8" ht="21">
      <c r="A4" s="14"/>
      <c r="B4" s="15"/>
      <c r="C4" s="15"/>
      <c r="D4" s="18" t="s">
        <v>3</v>
      </c>
      <c r="E4" s="16"/>
      <c r="F4" s="16"/>
      <c r="G4" s="16"/>
      <c r="H4" s="17"/>
    </row>
    <row r="5" spans="1:8" ht="15.75">
      <c r="A5" s="155"/>
      <c r="B5" s="76"/>
      <c r="C5" s="76"/>
      <c r="D5" s="76"/>
      <c r="E5" s="77" t="s">
        <v>23</v>
      </c>
      <c r="F5" s="78"/>
      <c r="G5" s="78"/>
      <c r="H5" s="156"/>
    </row>
    <row r="6" spans="1:8" ht="15.75" customHeight="1">
      <c r="A6" s="157" t="s">
        <v>5</v>
      </c>
      <c r="B6" s="239"/>
      <c r="C6" s="239"/>
      <c r="D6" s="239"/>
      <c r="E6" s="77" t="s">
        <v>24</v>
      </c>
      <c r="F6" s="78"/>
      <c r="G6" s="78"/>
      <c r="H6" s="156"/>
    </row>
    <row r="7" spans="1:8" ht="15.6">
      <c r="A7" s="157" t="s">
        <v>7</v>
      </c>
      <c r="B7" s="239"/>
      <c r="C7" s="239"/>
      <c r="D7" s="239"/>
      <c r="E7" s="78" t="s">
        <v>8</v>
      </c>
      <c r="F7" s="78"/>
      <c r="G7" s="78"/>
      <c r="H7" s="156"/>
    </row>
    <row r="8" spans="1:8" ht="15">
      <c r="A8" s="157"/>
      <c r="B8" s="239"/>
      <c r="C8" s="239"/>
      <c r="D8" s="239"/>
      <c r="E8" s="83"/>
      <c r="F8" s="83"/>
      <c r="G8" s="83"/>
      <c r="H8" s="158"/>
    </row>
    <row r="9" spans="1:8" ht="15.75">
      <c r="A9" s="45" t="s">
        <v>9</v>
      </c>
      <c r="B9" s="153" t="s">
        <v>10</v>
      </c>
      <c r="C9" s="153"/>
      <c r="D9" s="153"/>
      <c r="E9" s="46" t="s">
        <v>11</v>
      </c>
      <c r="F9" s="46" t="s">
        <v>12</v>
      </c>
      <c r="G9" s="153" t="s">
        <v>13</v>
      </c>
      <c r="H9" s="154"/>
    </row>
    <row r="10" spans="1:8" ht="16.899999999999999" customHeight="1">
      <c r="A10" s="22">
        <v>1</v>
      </c>
      <c r="B10" s="91" t="s">
        <v>25</v>
      </c>
      <c r="C10" s="91"/>
      <c r="D10" s="91"/>
      <c r="E10" s="4">
        <v>199950</v>
      </c>
      <c r="F10" s="50">
        <v>0.05</v>
      </c>
      <c r="G10" s="98">
        <v>199950</v>
      </c>
      <c r="H10" s="152"/>
    </row>
    <row r="11" spans="1:8" ht="15">
      <c r="A11" s="23"/>
      <c r="B11" s="78"/>
      <c r="C11" s="240"/>
      <c r="D11" s="7"/>
      <c r="E11" s="8"/>
      <c r="F11" s="5"/>
      <c r="G11" s="100"/>
      <c r="H11" s="146"/>
    </row>
    <row r="12" spans="1:8" ht="15">
      <c r="A12" s="23"/>
      <c r="B12" s="78"/>
      <c r="C12" s="240"/>
      <c r="D12" s="7"/>
      <c r="E12" s="8"/>
      <c r="F12" s="5"/>
      <c r="G12" s="100"/>
      <c r="H12" s="146"/>
    </row>
    <row r="13" spans="1:8" ht="15">
      <c r="A13" s="23"/>
      <c r="B13" s="78"/>
      <c r="C13" s="240"/>
      <c r="D13" s="7"/>
      <c r="E13" s="8"/>
      <c r="F13" s="5"/>
      <c r="G13" s="100"/>
      <c r="H13" s="146"/>
    </row>
    <row r="14" spans="1:8" ht="15.75">
      <c r="A14" s="147" t="s">
        <v>15</v>
      </c>
      <c r="B14" s="148"/>
      <c r="C14" s="148"/>
      <c r="D14" s="149"/>
      <c r="E14" s="149"/>
      <c r="F14" s="149"/>
      <c r="G14" s="150">
        <f>SUM(G10:H13)</f>
        <v>199950</v>
      </c>
      <c r="H14" s="151"/>
    </row>
    <row r="15" spans="1:8" ht="15.75">
      <c r="A15" s="140"/>
      <c r="B15" s="141"/>
      <c r="C15" s="141"/>
      <c r="D15" s="135" t="s">
        <v>16</v>
      </c>
      <c r="E15" s="136"/>
      <c r="F15" s="137"/>
      <c r="G15" s="138">
        <f>G14*10%</f>
        <v>19995</v>
      </c>
      <c r="H15" s="139"/>
    </row>
    <row r="16" spans="1:8" ht="15.75">
      <c r="A16" s="142"/>
      <c r="B16" s="143"/>
      <c r="C16" s="143"/>
      <c r="D16" s="124" t="s">
        <v>17</v>
      </c>
      <c r="E16" s="67"/>
      <c r="F16" s="125"/>
      <c r="G16" s="144">
        <v>0</v>
      </c>
      <c r="H16" s="145"/>
    </row>
    <row r="17" spans="1:8" ht="16.5" customHeight="1">
      <c r="A17" s="255"/>
      <c r="B17" s="240"/>
      <c r="C17" s="240"/>
      <c r="D17" s="124" t="s">
        <v>18</v>
      </c>
      <c r="E17" s="67"/>
      <c r="F17" s="125"/>
      <c r="G17" s="120">
        <f>G14+G15</f>
        <v>219945</v>
      </c>
      <c r="H17" s="121"/>
    </row>
    <row r="18" spans="1:8" ht="15.75">
      <c r="A18" s="256"/>
      <c r="B18" s="257"/>
      <c r="C18" s="258"/>
      <c r="D18" s="118" t="s">
        <v>26</v>
      </c>
      <c r="E18" s="118"/>
      <c r="F18" s="119"/>
      <c r="G18" s="120">
        <v>219945</v>
      </c>
      <c r="H18" s="121"/>
    </row>
    <row r="19" spans="1:8" ht="15.75">
      <c r="A19" s="122"/>
      <c r="B19" s="93"/>
      <c r="C19" s="93"/>
      <c r="D19" s="93"/>
      <c r="E19" s="93"/>
      <c r="F19" s="93"/>
      <c r="G19" s="93"/>
      <c r="H19" s="123"/>
    </row>
    <row r="20" spans="1:8" ht="15.6">
      <c r="A20" s="112" t="s">
        <v>27</v>
      </c>
      <c r="B20" s="113"/>
      <c r="C20" s="113"/>
      <c r="D20" s="113"/>
      <c r="E20" s="113"/>
      <c r="F20" s="113"/>
      <c r="G20" s="113"/>
      <c r="H20" s="114"/>
    </row>
    <row r="21" spans="1:8" ht="15.6">
      <c r="A21" s="132"/>
      <c r="B21" s="133"/>
      <c r="C21" s="133"/>
      <c r="D21" s="133"/>
      <c r="E21" s="133"/>
      <c r="F21" s="133"/>
      <c r="G21" s="133"/>
      <c r="H21" s="134"/>
    </row>
    <row r="22" spans="1:8" ht="15.6">
      <c r="A22" s="115" t="s">
        <v>21</v>
      </c>
      <c r="B22" s="116"/>
      <c r="C22" s="117"/>
      <c r="D22" s="249"/>
      <c r="E22" s="250"/>
      <c r="F22" s="250"/>
      <c r="G22" s="250"/>
      <c r="H22" s="259"/>
    </row>
    <row r="23" spans="1:8" ht="15.6">
      <c r="A23" s="27"/>
      <c r="B23" s="20"/>
      <c r="C23" s="21"/>
      <c r="D23" s="19"/>
      <c r="E23" s="2"/>
      <c r="F23" s="2"/>
      <c r="G23" s="2"/>
      <c r="H23" s="24"/>
    </row>
    <row r="24" spans="1:8" ht="15.6">
      <c r="A24" s="126"/>
      <c r="B24" s="127"/>
      <c r="C24" s="128"/>
      <c r="D24" s="129" t="s">
        <v>22</v>
      </c>
      <c r="E24" s="130"/>
      <c r="F24" s="130"/>
      <c r="G24" s="130"/>
      <c r="H24" s="131"/>
    </row>
    <row r="25" spans="1:8" ht="13.9" thickBot="1">
      <c r="A25" s="109"/>
      <c r="B25" s="110"/>
      <c r="C25" s="110"/>
      <c r="D25" s="110"/>
      <c r="E25" s="110"/>
      <c r="F25" s="110"/>
      <c r="G25" s="110"/>
      <c r="H25" s="111"/>
    </row>
  </sheetData>
  <mergeCells count="39">
    <mergeCell ref="G9:H9"/>
    <mergeCell ref="A5:D5"/>
    <mergeCell ref="E5:H5"/>
    <mergeCell ref="A6:D6"/>
    <mergeCell ref="E6:H6"/>
    <mergeCell ref="A7:D7"/>
    <mergeCell ref="E7:H7"/>
    <mergeCell ref="A8:D8"/>
    <mergeCell ref="E8:H8"/>
    <mergeCell ref="B9:D9"/>
    <mergeCell ref="B10:D10"/>
    <mergeCell ref="B13:C13"/>
    <mergeCell ref="G13:H13"/>
    <mergeCell ref="A14:F14"/>
    <mergeCell ref="G14:H14"/>
    <mergeCell ref="G10:H10"/>
    <mergeCell ref="B11:C11"/>
    <mergeCell ref="G11:H11"/>
    <mergeCell ref="B12:C12"/>
    <mergeCell ref="G12:H12"/>
    <mergeCell ref="D15:F15"/>
    <mergeCell ref="G15:H15"/>
    <mergeCell ref="A15:C16"/>
    <mergeCell ref="D16:F16"/>
    <mergeCell ref="G16:H16"/>
    <mergeCell ref="A17:C17"/>
    <mergeCell ref="D17:F17"/>
    <mergeCell ref="G17:H17"/>
    <mergeCell ref="A24:C24"/>
    <mergeCell ref="D24:H24"/>
    <mergeCell ref="A21:H21"/>
    <mergeCell ref="A25:H25"/>
    <mergeCell ref="A18:C18"/>
    <mergeCell ref="A20:H20"/>
    <mergeCell ref="A22:C22"/>
    <mergeCell ref="D22:H22"/>
    <mergeCell ref="D18:F18"/>
    <mergeCell ref="G18:H18"/>
    <mergeCell ref="A19:H19"/>
  </mergeCells>
  <pageMargins left="0.7" right="0.7" top="0.75" bottom="0.75" header="0.3" footer="0.3"/>
  <pageSetup paperSize="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AC50-CC5E-41D5-A7AC-AFB93778E105}">
  <sheetPr>
    <pageSetUpPr fitToPage="1"/>
  </sheetPr>
  <dimension ref="A1:H25"/>
  <sheetViews>
    <sheetView workbookViewId="0">
      <selection activeCell="E5" sqref="E5:H5"/>
    </sheetView>
  </sheetViews>
  <sheetFormatPr defaultColWidth="9.140625" defaultRowHeight="15"/>
  <cols>
    <col min="1" max="1" width="9.140625" style="2"/>
    <col min="2" max="2" width="19.85546875" style="2" customWidth="1"/>
    <col min="3" max="3" width="9.140625" style="2"/>
    <col min="4" max="4" width="12" style="2" customWidth="1"/>
    <col min="5" max="5" width="15.28515625" style="2" customWidth="1"/>
    <col min="6" max="6" width="10.28515625" style="2" customWidth="1"/>
    <col min="7" max="7" width="9.140625" style="2"/>
    <col min="8" max="8" width="10.5703125" style="2" customWidth="1"/>
    <col min="9" max="16384" width="9.140625" style="2"/>
  </cols>
  <sheetData>
    <row r="1" spans="1:8">
      <c r="A1" s="10" t="s">
        <v>0</v>
      </c>
      <c r="B1" s="11"/>
      <c r="C1" s="11"/>
      <c r="D1" s="11"/>
      <c r="E1" s="12"/>
      <c r="F1" s="12"/>
      <c r="G1" s="12"/>
      <c r="H1" s="13"/>
    </row>
    <row r="2" spans="1:8">
      <c r="A2" s="14" t="s">
        <v>1</v>
      </c>
      <c r="B2" s="15"/>
      <c r="C2" s="15"/>
      <c r="D2" s="15"/>
      <c r="E2" s="16"/>
      <c r="F2" s="16"/>
      <c r="G2" s="16"/>
      <c r="H2" s="17"/>
    </row>
    <row r="3" spans="1:8">
      <c r="A3" s="14" t="s">
        <v>2</v>
      </c>
      <c r="B3" s="15"/>
      <c r="C3" s="15"/>
      <c r="D3" s="15"/>
      <c r="E3" s="16"/>
      <c r="F3" s="16"/>
      <c r="G3" s="16"/>
      <c r="H3" s="17"/>
    </row>
    <row r="4" spans="1:8" ht="21">
      <c r="A4" s="14"/>
      <c r="B4" s="15"/>
      <c r="C4" s="15"/>
      <c r="D4" s="18" t="s">
        <v>3</v>
      </c>
      <c r="E4" s="16"/>
      <c r="F4" s="16"/>
      <c r="G4" s="16"/>
      <c r="H4" s="17"/>
    </row>
    <row r="5" spans="1:8" ht="15.75">
      <c r="A5" s="155"/>
      <c r="B5" s="76"/>
      <c r="C5" s="76"/>
      <c r="D5" s="76"/>
      <c r="E5" s="77" t="s">
        <v>28</v>
      </c>
      <c r="F5" s="78"/>
      <c r="G5" s="78"/>
      <c r="H5" s="156"/>
    </row>
    <row r="6" spans="1:8" ht="15.6">
      <c r="A6" s="157" t="s">
        <v>5</v>
      </c>
      <c r="B6" s="239"/>
      <c r="C6" s="239"/>
      <c r="D6" s="239"/>
      <c r="E6" s="78" t="s">
        <v>29</v>
      </c>
      <c r="F6" s="78"/>
      <c r="G6" s="78"/>
      <c r="H6" s="156"/>
    </row>
    <row r="7" spans="1:8" ht="15.6">
      <c r="A7" s="157" t="s">
        <v>7</v>
      </c>
      <c r="B7" s="239"/>
      <c r="C7" s="239"/>
      <c r="D7" s="239"/>
      <c r="E7" s="78" t="s">
        <v>8</v>
      </c>
      <c r="F7" s="78"/>
      <c r="G7" s="78"/>
      <c r="H7" s="156"/>
    </row>
    <row r="8" spans="1:8">
      <c r="A8" s="157"/>
      <c r="B8" s="239"/>
      <c r="C8" s="239"/>
      <c r="D8" s="239"/>
      <c r="E8" s="83"/>
      <c r="F8" s="83"/>
      <c r="G8" s="83"/>
      <c r="H8" s="158"/>
    </row>
    <row r="9" spans="1:8" ht="15.6">
      <c r="A9" s="45" t="s">
        <v>9</v>
      </c>
      <c r="B9" s="153" t="s">
        <v>10</v>
      </c>
      <c r="C9" s="153"/>
      <c r="D9" s="153"/>
      <c r="E9" s="46" t="s">
        <v>11</v>
      </c>
      <c r="F9" s="46" t="s">
        <v>12</v>
      </c>
      <c r="G9" s="153" t="s">
        <v>13</v>
      </c>
      <c r="H9" s="154"/>
    </row>
    <row r="10" spans="1:8">
      <c r="A10" s="22">
        <v>1</v>
      </c>
      <c r="B10" s="170" t="s">
        <v>30</v>
      </c>
      <c r="C10" s="170"/>
      <c r="D10" s="170"/>
      <c r="E10" s="4">
        <v>5205</v>
      </c>
      <c r="F10" s="5">
        <v>0.05</v>
      </c>
      <c r="G10" s="173">
        <v>5725</v>
      </c>
      <c r="H10" s="174"/>
    </row>
    <row r="11" spans="1:8">
      <c r="A11" s="23"/>
      <c r="B11" s="78"/>
      <c r="C11" s="240"/>
      <c r="D11" s="7"/>
      <c r="E11" s="8"/>
      <c r="F11" s="5"/>
      <c r="G11" s="100"/>
      <c r="H11" s="146"/>
    </row>
    <row r="12" spans="1:8">
      <c r="A12" s="23"/>
      <c r="B12" s="78"/>
      <c r="C12" s="240"/>
      <c r="D12" s="7"/>
      <c r="E12" s="8"/>
      <c r="F12" s="5"/>
      <c r="G12" s="100"/>
      <c r="H12" s="146"/>
    </row>
    <row r="13" spans="1:8">
      <c r="A13" s="23"/>
      <c r="B13" s="78"/>
      <c r="C13" s="240"/>
      <c r="D13" s="7"/>
      <c r="E13" s="8"/>
      <c r="F13" s="5"/>
      <c r="G13" s="100"/>
      <c r="H13" s="146"/>
    </row>
    <row r="14" spans="1:8" ht="15.75">
      <c r="A14" s="171" t="s">
        <v>15</v>
      </c>
      <c r="B14" s="103"/>
      <c r="C14" s="103"/>
      <c r="D14" s="103"/>
      <c r="E14" s="103"/>
      <c r="F14" s="103"/>
      <c r="G14" s="104">
        <f>SUM(G10:H13)</f>
        <v>5725</v>
      </c>
      <c r="H14" s="172"/>
    </row>
    <row r="15" spans="1:8" ht="15.6" customHeight="1">
      <c r="A15" s="168"/>
      <c r="B15" s="78"/>
      <c r="C15" s="169"/>
      <c r="D15" s="73" t="s">
        <v>16</v>
      </c>
      <c r="E15" s="74"/>
      <c r="F15" s="74"/>
      <c r="G15" s="68">
        <v>260</v>
      </c>
      <c r="H15" s="145"/>
    </row>
    <row r="16" spans="1:8" ht="15.75">
      <c r="A16" s="260"/>
      <c r="B16" s="242"/>
      <c r="C16" s="243"/>
      <c r="D16" s="66" t="s">
        <v>17</v>
      </c>
      <c r="E16" s="67"/>
      <c r="F16" s="67"/>
      <c r="G16" s="68">
        <f>SUM(G14:H15)</f>
        <v>5985</v>
      </c>
      <c r="H16" s="145"/>
    </row>
    <row r="17" spans="1:8" ht="15.6">
      <c r="A17" s="255"/>
      <c r="B17" s="240"/>
      <c r="C17" s="245"/>
      <c r="D17" s="66" t="s">
        <v>18</v>
      </c>
      <c r="E17" s="67"/>
      <c r="F17" s="67"/>
      <c r="G17" s="165">
        <v>0</v>
      </c>
      <c r="H17" s="121"/>
    </row>
    <row r="18" spans="1:8" ht="15.6">
      <c r="A18" s="256"/>
      <c r="B18" s="257"/>
      <c r="C18" s="257"/>
      <c r="D18" s="162" t="s">
        <v>26</v>
      </c>
      <c r="E18" s="118"/>
      <c r="F18" s="118"/>
      <c r="G18" s="163">
        <v>5985</v>
      </c>
      <c r="H18" s="164"/>
    </row>
    <row r="19" spans="1:8" ht="15.6">
      <c r="A19" s="122"/>
      <c r="B19" s="93"/>
      <c r="C19" s="93"/>
      <c r="D19" s="93"/>
      <c r="E19" s="93"/>
      <c r="F19" s="93"/>
      <c r="G19" s="93"/>
      <c r="H19" s="123"/>
    </row>
    <row r="20" spans="1:8" ht="15.6">
      <c r="A20" s="166" t="s">
        <v>31</v>
      </c>
      <c r="B20" s="96"/>
      <c r="C20" s="96"/>
      <c r="D20" s="96"/>
      <c r="E20" s="96"/>
      <c r="F20" s="96"/>
      <c r="G20" s="96"/>
      <c r="H20" s="167"/>
    </row>
    <row r="21" spans="1:8">
      <c r="A21" s="255"/>
      <c r="B21" s="240"/>
      <c r="C21" s="240"/>
      <c r="D21" s="240"/>
      <c r="E21" s="240"/>
      <c r="F21" s="240"/>
      <c r="G21" s="240"/>
      <c r="H21" s="261"/>
    </row>
    <row r="22" spans="1:8" ht="15.6">
      <c r="A22" s="115" t="s">
        <v>21</v>
      </c>
      <c r="B22" s="116"/>
      <c r="C22" s="117"/>
      <c r="D22" s="249"/>
      <c r="E22" s="250"/>
      <c r="F22" s="250"/>
      <c r="G22" s="250"/>
      <c r="H22" s="259"/>
    </row>
    <row r="23" spans="1:8" ht="15.6">
      <c r="A23" s="27"/>
      <c r="B23" s="20"/>
      <c r="C23" s="21"/>
      <c r="D23" s="19"/>
      <c r="H23" s="24"/>
    </row>
    <row r="24" spans="1:8" ht="15.6">
      <c r="A24" s="126"/>
      <c r="B24" s="127"/>
      <c r="C24" s="128"/>
      <c r="D24" s="129" t="s">
        <v>22</v>
      </c>
      <c r="E24" s="130"/>
      <c r="F24" s="130"/>
      <c r="G24" s="130"/>
      <c r="H24" s="131"/>
    </row>
    <row r="25" spans="1:8" ht="15.6" thickBot="1">
      <c r="A25" s="159"/>
      <c r="B25" s="160"/>
      <c r="C25" s="160"/>
      <c r="D25" s="160"/>
      <c r="E25" s="160"/>
      <c r="F25" s="160"/>
      <c r="G25" s="160"/>
      <c r="H25" s="161"/>
    </row>
  </sheetData>
  <mergeCells count="40">
    <mergeCell ref="G9:H9"/>
    <mergeCell ref="A5:D5"/>
    <mergeCell ref="E5:H5"/>
    <mergeCell ref="A6:D6"/>
    <mergeCell ref="E6:H6"/>
    <mergeCell ref="A7:D7"/>
    <mergeCell ref="E7:H7"/>
    <mergeCell ref="A8:D8"/>
    <mergeCell ref="E8:H8"/>
    <mergeCell ref="B9:D9"/>
    <mergeCell ref="B10:D10"/>
    <mergeCell ref="B13:C13"/>
    <mergeCell ref="G13:H13"/>
    <mergeCell ref="A14:F14"/>
    <mergeCell ref="G14:H14"/>
    <mergeCell ref="G10:H10"/>
    <mergeCell ref="B11:C11"/>
    <mergeCell ref="G11:H11"/>
    <mergeCell ref="B12:C12"/>
    <mergeCell ref="G12:H12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24:C24"/>
    <mergeCell ref="D24:H24"/>
    <mergeCell ref="A20:H20"/>
    <mergeCell ref="A25:H25"/>
    <mergeCell ref="A18:C18"/>
    <mergeCell ref="A21:H21"/>
    <mergeCell ref="A22:C22"/>
    <mergeCell ref="D22:H22"/>
    <mergeCell ref="D18:F18"/>
    <mergeCell ref="G18:H18"/>
    <mergeCell ref="A19:H19"/>
  </mergeCells>
  <pageMargins left="0.7" right="0.7" top="0.75" bottom="0.75" header="0.3" footer="0.3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4B0E-5264-4B0E-A4C2-9F8C386EB9C4}">
  <sheetPr>
    <pageSetUpPr fitToPage="1"/>
  </sheetPr>
  <dimension ref="A1:H25"/>
  <sheetViews>
    <sheetView workbookViewId="0">
      <selection activeCell="E5" sqref="E5:H5"/>
    </sheetView>
  </sheetViews>
  <sheetFormatPr defaultColWidth="9.140625" defaultRowHeight="15"/>
  <cols>
    <col min="1" max="1" width="9.140625" style="2"/>
    <col min="2" max="2" width="24.140625" style="2" customWidth="1"/>
    <col min="3" max="3" width="9.140625" style="2"/>
    <col min="4" max="4" width="12" style="2" customWidth="1"/>
    <col min="5" max="5" width="15.28515625" style="2" customWidth="1"/>
    <col min="6" max="6" width="10.28515625" style="2" customWidth="1"/>
    <col min="7" max="7" width="9.140625" style="2"/>
    <col min="8" max="8" width="10.5703125" style="2" customWidth="1"/>
    <col min="9" max="16384" width="9.140625" style="2"/>
  </cols>
  <sheetData>
    <row r="1" spans="1:8">
      <c r="A1" s="10" t="s">
        <v>0</v>
      </c>
      <c r="B1" s="11"/>
      <c r="C1" s="11"/>
      <c r="D1" s="11"/>
      <c r="E1" s="12"/>
      <c r="F1" s="12"/>
      <c r="G1" s="12"/>
      <c r="H1" s="13"/>
    </row>
    <row r="2" spans="1:8">
      <c r="A2" s="14" t="s">
        <v>1</v>
      </c>
      <c r="B2" s="15"/>
      <c r="C2" s="15"/>
      <c r="D2" s="15"/>
      <c r="E2" s="16"/>
      <c r="F2" s="16"/>
      <c r="G2" s="16"/>
      <c r="H2" s="17"/>
    </row>
    <row r="3" spans="1:8">
      <c r="A3" s="14" t="s">
        <v>2</v>
      </c>
      <c r="B3" s="15"/>
      <c r="C3" s="15"/>
      <c r="D3" s="15"/>
      <c r="E3" s="16"/>
      <c r="F3" s="16"/>
      <c r="G3" s="16"/>
      <c r="H3" s="17"/>
    </row>
    <row r="4" spans="1:8" ht="21">
      <c r="A4" s="14"/>
      <c r="B4" s="15"/>
      <c r="C4" s="15"/>
      <c r="D4" s="18" t="s">
        <v>3</v>
      </c>
      <c r="E4" s="16"/>
      <c r="F4" s="16"/>
      <c r="G4" s="16"/>
      <c r="H4" s="17"/>
    </row>
    <row r="5" spans="1:8" ht="15.75">
      <c r="A5" s="155"/>
      <c r="B5" s="76"/>
      <c r="C5" s="76"/>
      <c r="D5" s="76"/>
      <c r="E5" s="77" t="s">
        <v>32</v>
      </c>
      <c r="F5" s="78"/>
      <c r="G5" s="78"/>
      <c r="H5" s="156"/>
    </row>
    <row r="6" spans="1:8" ht="15.6">
      <c r="A6" s="157" t="s">
        <v>5</v>
      </c>
      <c r="B6" s="239"/>
      <c r="C6" s="239"/>
      <c r="D6" s="239"/>
      <c r="E6" s="107" t="s">
        <v>33</v>
      </c>
      <c r="F6" s="78"/>
      <c r="G6" s="78"/>
      <c r="H6" s="156"/>
    </row>
    <row r="7" spans="1:8" ht="15.6">
      <c r="A7" s="157" t="s">
        <v>7</v>
      </c>
      <c r="B7" s="239"/>
      <c r="C7" s="239"/>
      <c r="D7" s="239"/>
      <c r="E7" s="78" t="s">
        <v>8</v>
      </c>
      <c r="F7" s="78"/>
      <c r="G7" s="78"/>
      <c r="H7" s="156"/>
    </row>
    <row r="8" spans="1:8">
      <c r="A8" s="157"/>
      <c r="B8" s="239"/>
      <c r="C8" s="239"/>
      <c r="D8" s="239"/>
      <c r="E8" s="83"/>
      <c r="F8" s="83"/>
      <c r="G8" s="83"/>
      <c r="H8" s="158"/>
    </row>
    <row r="9" spans="1:8" ht="15.6">
      <c r="A9" s="45" t="s">
        <v>9</v>
      </c>
      <c r="B9" s="153" t="s">
        <v>10</v>
      </c>
      <c r="C9" s="153"/>
      <c r="D9" s="153"/>
      <c r="E9" s="46" t="s">
        <v>11</v>
      </c>
      <c r="F9" s="46" t="s">
        <v>12</v>
      </c>
      <c r="G9" s="153" t="s">
        <v>13</v>
      </c>
      <c r="H9" s="154"/>
    </row>
    <row r="10" spans="1:8">
      <c r="A10" s="22">
        <v>1</v>
      </c>
      <c r="B10" s="177" t="s">
        <v>34</v>
      </c>
      <c r="C10" s="177"/>
      <c r="D10" s="177"/>
      <c r="E10" s="4">
        <v>5602</v>
      </c>
      <c r="F10" s="5">
        <v>0.05</v>
      </c>
      <c r="G10" s="98">
        <v>5602</v>
      </c>
      <c r="H10" s="152"/>
    </row>
    <row r="11" spans="1:8">
      <c r="A11" s="23"/>
      <c r="B11" s="78"/>
      <c r="C11" s="240"/>
      <c r="D11" s="7"/>
      <c r="E11" s="8"/>
      <c r="F11" s="5"/>
      <c r="G11" s="100"/>
      <c r="H11" s="146"/>
    </row>
    <row r="12" spans="1:8">
      <c r="A12" s="23"/>
      <c r="B12" s="78"/>
      <c r="C12" s="240"/>
      <c r="D12" s="7"/>
      <c r="E12" s="8"/>
      <c r="F12" s="5"/>
      <c r="G12" s="100"/>
      <c r="H12" s="146"/>
    </row>
    <row r="13" spans="1:8">
      <c r="A13" s="23"/>
      <c r="B13" s="78"/>
      <c r="C13" s="240"/>
      <c r="D13" s="7"/>
      <c r="E13" s="8"/>
      <c r="F13" s="5"/>
      <c r="G13" s="100"/>
      <c r="H13" s="146"/>
    </row>
    <row r="14" spans="1:8" ht="15.75">
      <c r="A14" s="171" t="s">
        <v>15</v>
      </c>
      <c r="B14" s="103"/>
      <c r="C14" s="103"/>
      <c r="D14" s="103"/>
      <c r="E14" s="103"/>
      <c r="F14" s="103"/>
      <c r="G14" s="104">
        <f>SUM(G10:H13)</f>
        <v>5602</v>
      </c>
      <c r="H14" s="172"/>
    </row>
    <row r="15" spans="1:8" ht="15.6" customHeight="1">
      <c r="A15" s="168"/>
      <c r="B15" s="78"/>
      <c r="C15" s="169"/>
      <c r="D15" s="73" t="s">
        <v>16</v>
      </c>
      <c r="E15" s="74"/>
      <c r="F15" s="74"/>
      <c r="G15" s="68">
        <v>280</v>
      </c>
      <c r="H15" s="145"/>
    </row>
    <row r="16" spans="1:8" ht="15.75">
      <c r="A16" s="260"/>
      <c r="B16" s="242"/>
      <c r="C16" s="243"/>
      <c r="D16" s="66" t="s">
        <v>17</v>
      </c>
      <c r="E16" s="67"/>
      <c r="F16" s="67"/>
      <c r="G16" s="68">
        <v>0</v>
      </c>
      <c r="H16" s="145"/>
    </row>
    <row r="17" spans="1:8" ht="15.6">
      <c r="A17" s="255"/>
      <c r="B17" s="240"/>
      <c r="C17" s="245"/>
      <c r="D17" s="66" t="s">
        <v>18</v>
      </c>
      <c r="E17" s="67"/>
      <c r="F17" s="67"/>
      <c r="G17" s="68">
        <v>5882</v>
      </c>
      <c r="H17" s="145"/>
    </row>
    <row r="18" spans="1:8" ht="15.6">
      <c r="A18" s="256"/>
      <c r="B18" s="257"/>
      <c r="C18" s="257"/>
      <c r="D18" s="162" t="s">
        <v>26</v>
      </c>
      <c r="E18" s="118"/>
      <c r="F18" s="118"/>
      <c r="G18" s="175">
        <v>5882</v>
      </c>
      <c r="H18" s="176"/>
    </row>
    <row r="19" spans="1:8" ht="15.6">
      <c r="A19" s="122"/>
      <c r="B19" s="93"/>
      <c r="C19" s="93"/>
      <c r="D19" s="93"/>
      <c r="E19" s="93"/>
      <c r="F19" s="93"/>
      <c r="G19" s="93"/>
      <c r="H19" s="123"/>
    </row>
    <row r="20" spans="1:8" ht="15.6">
      <c r="A20" s="166" t="s">
        <v>35</v>
      </c>
      <c r="B20" s="96"/>
      <c r="C20" s="96"/>
      <c r="D20" s="96"/>
      <c r="E20" s="96"/>
      <c r="F20" s="96"/>
      <c r="G20" s="96"/>
      <c r="H20" s="167"/>
    </row>
    <row r="21" spans="1:8">
      <c r="A21" s="255"/>
      <c r="B21" s="240"/>
      <c r="C21" s="240"/>
      <c r="D21" s="240"/>
      <c r="E21" s="240"/>
      <c r="F21" s="240"/>
      <c r="G21" s="240"/>
      <c r="H21" s="261"/>
    </row>
    <row r="22" spans="1:8" ht="15.6">
      <c r="A22" s="115" t="s">
        <v>21</v>
      </c>
      <c r="B22" s="116"/>
      <c r="C22" s="117"/>
      <c r="D22" s="249"/>
      <c r="E22" s="250"/>
      <c r="F22" s="250"/>
      <c r="G22" s="250"/>
      <c r="H22" s="259"/>
    </row>
    <row r="23" spans="1:8" ht="15.6">
      <c r="A23" s="27"/>
      <c r="B23" s="20"/>
      <c r="C23" s="21"/>
      <c r="D23" s="19"/>
      <c r="H23" s="24"/>
    </row>
    <row r="24" spans="1:8" ht="15.6">
      <c r="A24" s="126"/>
      <c r="B24" s="127"/>
      <c r="C24" s="128"/>
      <c r="D24" s="129" t="s">
        <v>22</v>
      </c>
      <c r="E24" s="130"/>
      <c r="F24" s="130"/>
      <c r="G24" s="130"/>
      <c r="H24" s="131"/>
    </row>
    <row r="25" spans="1:8" ht="15.6" thickBot="1">
      <c r="A25" s="159"/>
      <c r="B25" s="160"/>
      <c r="C25" s="160"/>
      <c r="D25" s="160"/>
      <c r="E25" s="160"/>
      <c r="F25" s="160"/>
      <c r="G25" s="160"/>
      <c r="H25" s="161"/>
    </row>
  </sheetData>
  <mergeCells count="40">
    <mergeCell ref="G9:H9"/>
    <mergeCell ref="A5:D5"/>
    <mergeCell ref="E5:H5"/>
    <mergeCell ref="A6:D6"/>
    <mergeCell ref="E6:H6"/>
    <mergeCell ref="A7:D7"/>
    <mergeCell ref="E7:H7"/>
    <mergeCell ref="A8:D8"/>
    <mergeCell ref="E8:H8"/>
    <mergeCell ref="B9:D9"/>
    <mergeCell ref="B10:D10"/>
    <mergeCell ref="B13:C13"/>
    <mergeCell ref="G13:H13"/>
    <mergeCell ref="A14:F14"/>
    <mergeCell ref="G14:H14"/>
    <mergeCell ref="G10:H10"/>
    <mergeCell ref="B11:C11"/>
    <mergeCell ref="G11:H11"/>
    <mergeCell ref="B12:C12"/>
    <mergeCell ref="G12:H12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24:C24"/>
    <mergeCell ref="D24:H24"/>
    <mergeCell ref="A20:H20"/>
    <mergeCell ref="A25:H25"/>
    <mergeCell ref="A18:C18"/>
    <mergeCell ref="A21:H21"/>
    <mergeCell ref="A22:C22"/>
    <mergeCell ref="D22:H22"/>
    <mergeCell ref="D18:F18"/>
    <mergeCell ref="G18:H18"/>
    <mergeCell ref="A19:H19"/>
  </mergeCells>
  <pageMargins left="0.7" right="0.7" top="0.75" bottom="0.75" header="0.3" footer="0.3"/>
  <pageSetup paperSize="9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28CD-A090-4FBC-9B77-E708A7DD5F63}">
  <sheetPr>
    <pageSetUpPr fitToPage="1"/>
  </sheetPr>
  <dimension ref="A1:H25"/>
  <sheetViews>
    <sheetView workbookViewId="0">
      <selection activeCell="E5" sqref="E5:H5"/>
    </sheetView>
  </sheetViews>
  <sheetFormatPr defaultColWidth="9.140625" defaultRowHeight="13.15"/>
  <cols>
    <col min="1" max="1" width="9.140625" style="1"/>
    <col min="2" max="2" width="24.140625" style="1" customWidth="1"/>
    <col min="3" max="3" width="9.140625" style="1"/>
    <col min="4" max="4" width="12" style="1" customWidth="1"/>
    <col min="5" max="5" width="15.28515625" style="1" customWidth="1"/>
    <col min="6" max="6" width="10.28515625" style="1" customWidth="1"/>
    <col min="7" max="7" width="9.140625" style="1"/>
    <col min="8" max="8" width="10.5703125" style="1" customWidth="1"/>
    <col min="9" max="16384" width="9.140625" style="1"/>
  </cols>
  <sheetData>
    <row r="1" spans="1:8" ht="15">
      <c r="A1" s="10" t="s">
        <v>0</v>
      </c>
      <c r="B1" s="11"/>
      <c r="C1" s="11"/>
      <c r="D1" s="11"/>
      <c r="E1" s="12"/>
      <c r="F1" s="12"/>
      <c r="G1" s="12"/>
      <c r="H1" s="13"/>
    </row>
    <row r="2" spans="1:8" ht="15">
      <c r="A2" s="14" t="s">
        <v>1</v>
      </c>
      <c r="B2" s="15"/>
      <c r="C2" s="15"/>
      <c r="D2" s="15"/>
      <c r="E2" s="16"/>
      <c r="F2" s="16"/>
      <c r="G2" s="16"/>
      <c r="H2" s="17"/>
    </row>
    <row r="3" spans="1:8" ht="15">
      <c r="A3" s="14" t="s">
        <v>2</v>
      </c>
      <c r="B3" s="15"/>
      <c r="C3" s="15"/>
      <c r="D3" s="15"/>
      <c r="E3" s="16"/>
      <c r="F3" s="16"/>
      <c r="G3" s="16"/>
      <c r="H3" s="17"/>
    </row>
    <row r="4" spans="1:8" ht="21">
      <c r="A4" s="14"/>
      <c r="B4" s="15"/>
      <c r="C4" s="15"/>
      <c r="D4" s="18" t="s">
        <v>3</v>
      </c>
      <c r="E4" s="16"/>
      <c r="F4" s="16"/>
      <c r="G4" s="16"/>
      <c r="H4" s="17"/>
    </row>
    <row r="5" spans="1:8" ht="15.75">
      <c r="A5" s="155"/>
      <c r="B5" s="76"/>
      <c r="C5" s="76"/>
      <c r="D5" s="76"/>
      <c r="E5" s="180" t="s">
        <v>36</v>
      </c>
      <c r="F5" s="77"/>
      <c r="G5" s="77"/>
      <c r="H5" s="181"/>
    </row>
    <row r="6" spans="1:8" ht="15.75">
      <c r="A6" s="157" t="s">
        <v>5</v>
      </c>
      <c r="B6" s="239"/>
      <c r="C6" s="239"/>
      <c r="D6" s="239"/>
      <c r="E6" s="182" t="s">
        <v>37</v>
      </c>
      <c r="F6" s="77"/>
      <c r="G6" s="77"/>
      <c r="H6" s="181"/>
    </row>
    <row r="7" spans="1:8" ht="15.75">
      <c r="A7" s="157" t="s">
        <v>7</v>
      </c>
      <c r="B7" s="239"/>
      <c r="C7" s="239"/>
      <c r="D7" s="239"/>
      <c r="E7" s="77" t="s">
        <v>38</v>
      </c>
      <c r="F7" s="77"/>
      <c r="G7" s="77"/>
      <c r="H7" s="181"/>
    </row>
    <row r="8" spans="1:8" ht="15">
      <c r="A8" s="157"/>
      <c r="B8" s="239"/>
      <c r="C8" s="239"/>
      <c r="D8" s="239"/>
      <c r="E8" s="83"/>
      <c r="F8" s="83"/>
      <c r="G8" s="83"/>
      <c r="H8" s="158"/>
    </row>
    <row r="9" spans="1:8" ht="15.6">
      <c r="A9" s="45" t="s">
        <v>9</v>
      </c>
      <c r="B9" s="153" t="s">
        <v>10</v>
      </c>
      <c r="C9" s="153"/>
      <c r="D9" s="153"/>
      <c r="E9" s="46" t="s">
        <v>11</v>
      </c>
      <c r="F9" s="46" t="s">
        <v>12</v>
      </c>
      <c r="G9" s="153" t="s">
        <v>13</v>
      </c>
      <c r="H9" s="154"/>
    </row>
    <row r="10" spans="1:8" ht="15">
      <c r="A10" s="22">
        <v>1</v>
      </c>
      <c r="B10" s="177" t="s">
        <v>39</v>
      </c>
      <c r="C10" s="177"/>
      <c r="D10" s="177"/>
      <c r="E10" s="4">
        <v>5433</v>
      </c>
      <c r="F10" s="5">
        <v>0.05</v>
      </c>
      <c r="G10" s="98">
        <v>5433</v>
      </c>
      <c r="H10" s="152"/>
    </row>
    <row r="11" spans="1:8" ht="15">
      <c r="A11" s="23"/>
      <c r="B11" s="78"/>
      <c r="C11" s="240"/>
      <c r="D11" s="7"/>
      <c r="E11" s="8"/>
      <c r="F11" s="5"/>
      <c r="G11" s="100"/>
      <c r="H11" s="146"/>
    </row>
    <row r="12" spans="1:8" ht="15">
      <c r="A12" s="23"/>
      <c r="B12" s="78"/>
      <c r="C12" s="240"/>
      <c r="D12" s="7"/>
      <c r="E12" s="8"/>
      <c r="F12" s="5"/>
      <c r="G12" s="100"/>
      <c r="H12" s="146"/>
    </row>
    <row r="13" spans="1:8" ht="15">
      <c r="A13" s="23"/>
      <c r="B13" s="78"/>
      <c r="C13" s="240"/>
      <c r="D13" s="7"/>
      <c r="E13" s="8"/>
      <c r="F13" s="5"/>
      <c r="G13" s="100"/>
      <c r="H13" s="146"/>
    </row>
    <row r="14" spans="1:8" ht="15.75">
      <c r="A14" s="171" t="s">
        <v>15</v>
      </c>
      <c r="B14" s="103"/>
      <c r="C14" s="103"/>
      <c r="D14" s="103"/>
      <c r="E14" s="103"/>
      <c r="F14" s="103"/>
      <c r="G14" s="104">
        <f>SUM(G10:H13)</f>
        <v>5433</v>
      </c>
      <c r="H14" s="172"/>
    </row>
    <row r="15" spans="1:8" ht="15.6" customHeight="1">
      <c r="A15" s="168"/>
      <c r="B15" s="107"/>
      <c r="C15" s="108"/>
      <c r="D15" s="73" t="s">
        <v>16</v>
      </c>
      <c r="E15" s="74"/>
      <c r="F15" s="74"/>
      <c r="G15" s="68">
        <v>272</v>
      </c>
      <c r="H15" s="145"/>
    </row>
    <row r="16" spans="1:8" ht="15.75">
      <c r="A16" s="260"/>
      <c r="B16" s="242"/>
      <c r="C16" s="243"/>
      <c r="D16" s="66" t="s">
        <v>17</v>
      </c>
      <c r="E16" s="67"/>
      <c r="F16" s="67"/>
      <c r="G16" s="68">
        <v>0</v>
      </c>
      <c r="H16" s="145"/>
    </row>
    <row r="17" spans="1:8" ht="15.75">
      <c r="A17" s="255"/>
      <c r="B17" s="240"/>
      <c r="C17" s="245"/>
      <c r="D17" s="66" t="s">
        <v>18</v>
      </c>
      <c r="E17" s="67"/>
      <c r="F17" s="67"/>
      <c r="G17" s="179">
        <v>5705</v>
      </c>
      <c r="H17" s="145"/>
    </row>
    <row r="18" spans="1:8" ht="15.6" customHeight="1">
      <c r="A18" s="256"/>
      <c r="B18" s="257"/>
      <c r="C18" s="257"/>
      <c r="D18" s="162" t="s">
        <v>26</v>
      </c>
      <c r="E18" s="118"/>
      <c r="F18" s="118"/>
      <c r="G18" s="178">
        <v>5705</v>
      </c>
      <c r="H18" s="176"/>
    </row>
    <row r="19" spans="1:8" ht="15.75">
      <c r="A19" s="122"/>
      <c r="B19" s="93"/>
      <c r="C19" s="93"/>
      <c r="D19" s="93"/>
      <c r="E19" s="93"/>
      <c r="F19" s="93"/>
      <c r="G19" s="93"/>
      <c r="H19" s="123"/>
    </row>
    <row r="20" spans="1:8" ht="15.6">
      <c r="A20" s="166" t="s">
        <v>40</v>
      </c>
      <c r="B20" s="96"/>
      <c r="C20" s="96"/>
      <c r="D20" s="96"/>
      <c r="E20" s="96"/>
      <c r="F20" s="96"/>
      <c r="G20" s="96"/>
      <c r="H20" s="167"/>
    </row>
    <row r="21" spans="1:8" ht="15.6">
      <c r="A21" s="132"/>
      <c r="B21" s="133"/>
      <c r="C21" s="133"/>
      <c r="D21" s="133"/>
      <c r="E21" s="133"/>
      <c r="F21" s="133"/>
      <c r="G21" s="133"/>
      <c r="H21" s="134"/>
    </row>
    <row r="22" spans="1:8" ht="15.6">
      <c r="A22" s="115" t="s">
        <v>21</v>
      </c>
      <c r="B22" s="116"/>
      <c r="C22" s="117"/>
      <c r="D22" s="249"/>
      <c r="E22" s="250"/>
      <c r="F22" s="250"/>
      <c r="G22" s="250"/>
      <c r="H22" s="259"/>
    </row>
    <row r="23" spans="1:8" ht="15.6">
      <c r="A23" s="27"/>
      <c r="B23" s="20"/>
      <c r="C23" s="21"/>
      <c r="D23" s="19"/>
      <c r="E23" s="2"/>
      <c r="F23" s="2"/>
      <c r="G23" s="2"/>
      <c r="H23" s="24"/>
    </row>
    <row r="24" spans="1:8" ht="15.6">
      <c r="A24" s="126"/>
      <c r="B24" s="127"/>
      <c r="C24" s="128"/>
      <c r="D24" s="129" t="s">
        <v>22</v>
      </c>
      <c r="E24" s="130"/>
      <c r="F24" s="130"/>
      <c r="G24" s="130"/>
      <c r="H24" s="131"/>
    </row>
    <row r="25" spans="1:8" ht="15.6" thickBot="1">
      <c r="A25" s="159"/>
      <c r="B25" s="160"/>
      <c r="C25" s="160"/>
      <c r="D25" s="160"/>
      <c r="E25" s="160"/>
      <c r="F25" s="160"/>
      <c r="G25" s="160"/>
      <c r="H25" s="161"/>
    </row>
  </sheetData>
  <mergeCells count="40">
    <mergeCell ref="A5:D5"/>
    <mergeCell ref="E5:H5"/>
    <mergeCell ref="A6:D6"/>
    <mergeCell ref="E6:H6"/>
    <mergeCell ref="A7:D7"/>
    <mergeCell ref="E7:H7"/>
    <mergeCell ref="A8:D8"/>
    <mergeCell ref="E8:H8"/>
    <mergeCell ref="B9:D9"/>
    <mergeCell ref="G12:H12"/>
    <mergeCell ref="B13:C13"/>
    <mergeCell ref="G13:H13"/>
    <mergeCell ref="G10:H10"/>
    <mergeCell ref="B11:C11"/>
    <mergeCell ref="G11:H11"/>
    <mergeCell ref="B12:C12"/>
    <mergeCell ref="G9:H9"/>
    <mergeCell ref="B10:D10"/>
    <mergeCell ref="A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24:C24"/>
    <mergeCell ref="D24:H24"/>
    <mergeCell ref="A19:H19"/>
    <mergeCell ref="A21:H21"/>
    <mergeCell ref="A25:H25"/>
    <mergeCell ref="A18:C18"/>
    <mergeCell ref="A22:C22"/>
    <mergeCell ref="D22:H22"/>
    <mergeCell ref="D18:F18"/>
    <mergeCell ref="G18:H18"/>
    <mergeCell ref="A20:H20"/>
  </mergeCells>
  <pageMargins left="0.7" right="0.7" top="0.75" bottom="0.75" header="0.3" footer="0.3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D4707-5B70-4BF1-B50A-53987B39A6CA}">
  <sheetPr>
    <pageSetUpPr fitToPage="1"/>
  </sheetPr>
  <dimension ref="A1:H26"/>
  <sheetViews>
    <sheetView workbookViewId="0">
      <selection activeCell="E5" sqref="E5:H5"/>
    </sheetView>
  </sheetViews>
  <sheetFormatPr defaultColWidth="9.140625" defaultRowHeight="13.15"/>
  <cols>
    <col min="1" max="1" width="9.140625" style="1"/>
    <col min="2" max="2" width="24.140625" style="1" customWidth="1"/>
    <col min="3" max="3" width="9.140625" style="1"/>
    <col min="4" max="4" width="12" style="1" customWidth="1"/>
    <col min="5" max="5" width="15.28515625" style="1" customWidth="1"/>
    <col min="6" max="6" width="10.28515625" style="1" customWidth="1"/>
    <col min="7" max="7" width="9.140625" style="1"/>
    <col min="8" max="8" width="10.5703125" style="1" customWidth="1"/>
    <col min="9" max="16384" width="9.140625" style="1"/>
  </cols>
  <sheetData>
    <row r="1" spans="1:8" ht="15">
      <c r="A1" s="10" t="s">
        <v>41</v>
      </c>
      <c r="B1" s="11"/>
      <c r="C1" s="11"/>
      <c r="D1" s="11"/>
      <c r="E1" s="12"/>
      <c r="F1" s="12"/>
      <c r="G1" s="12"/>
      <c r="H1" s="13"/>
    </row>
    <row r="2" spans="1:8" ht="15">
      <c r="A2" s="14" t="s">
        <v>1</v>
      </c>
      <c r="B2" s="15"/>
      <c r="C2" s="15"/>
      <c r="D2" s="15"/>
      <c r="E2" s="16"/>
      <c r="F2" s="16"/>
      <c r="G2" s="16"/>
      <c r="H2" s="17"/>
    </row>
    <row r="3" spans="1:8" ht="15">
      <c r="A3" s="14" t="s">
        <v>2</v>
      </c>
      <c r="B3" s="15"/>
      <c r="C3" s="15"/>
      <c r="D3" s="15"/>
      <c r="E3" s="16"/>
      <c r="F3" s="16"/>
      <c r="G3" s="16"/>
      <c r="H3" s="17"/>
    </row>
    <row r="4" spans="1:8" ht="21">
      <c r="A4" s="14"/>
      <c r="B4" s="15"/>
      <c r="C4" s="15"/>
      <c r="D4" s="18" t="s">
        <v>3</v>
      </c>
      <c r="E4" s="16"/>
      <c r="F4" s="16"/>
      <c r="G4" s="16"/>
      <c r="H4" s="17"/>
    </row>
    <row r="5" spans="1:8" ht="15.75">
      <c r="A5" s="155"/>
      <c r="B5" s="76"/>
      <c r="C5" s="76"/>
      <c r="D5" s="76"/>
      <c r="E5" s="195" t="s">
        <v>42</v>
      </c>
      <c r="F5" s="78"/>
      <c r="G5" s="78"/>
      <c r="H5" s="169"/>
    </row>
    <row r="6" spans="1:8" ht="15.6">
      <c r="A6" s="157" t="s">
        <v>5</v>
      </c>
      <c r="B6" s="239"/>
      <c r="C6" s="239"/>
      <c r="D6" s="239"/>
      <c r="E6" s="196" t="s">
        <v>43</v>
      </c>
      <c r="F6" s="196"/>
      <c r="G6" s="196"/>
      <c r="H6" s="197"/>
    </row>
    <row r="7" spans="1:8" ht="15.6">
      <c r="A7" s="157" t="s">
        <v>7</v>
      </c>
      <c r="B7" s="239"/>
      <c r="C7" s="239"/>
      <c r="D7" s="239"/>
      <c r="E7" s="78" t="s">
        <v>8</v>
      </c>
      <c r="F7" s="78"/>
      <c r="G7" s="78"/>
      <c r="H7" s="169"/>
    </row>
    <row r="8" spans="1:8" ht="15">
      <c r="A8" s="198"/>
      <c r="B8" s="199"/>
      <c r="C8" s="199"/>
      <c r="D8" s="199"/>
      <c r="E8" s="83"/>
      <c r="F8" s="83"/>
      <c r="G8" s="83"/>
      <c r="H8" s="200"/>
    </row>
    <row r="9" spans="1:8" ht="15.6">
      <c r="A9" s="45" t="s">
        <v>9</v>
      </c>
      <c r="B9" s="153" t="s">
        <v>10</v>
      </c>
      <c r="C9" s="153"/>
      <c r="D9" s="153"/>
      <c r="E9" s="46" t="s">
        <v>11</v>
      </c>
      <c r="F9" s="46" t="s">
        <v>12</v>
      </c>
      <c r="G9" s="153" t="s">
        <v>13</v>
      </c>
      <c r="H9" s="194"/>
    </row>
    <row r="10" spans="1:8" ht="15">
      <c r="A10" s="22">
        <v>1</v>
      </c>
      <c r="B10" s="191" t="s">
        <v>44</v>
      </c>
      <c r="C10" s="191"/>
      <c r="D10" s="191"/>
      <c r="E10" s="4">
        <v>5063</v>
      </c>
      <c r="F10" s="5">
        <v>0.05</v>
      </c>
      <c r="G10" s="98">
        <v>5063</v>
      </c>
      <c r="H10" s="193"/>
    </row>
    <row r="11" spans="1:8" ht="15">
      <c r="A11" s="23"/>
      <c r="B11" s="78"/>
      <c r="C11" s="240"/>
      <c r="D11" s="7"/>
      <c r="E11" s="8"/>
      <c r="F11" s="5"/>
      <c r="G11" s="100"/>
      <c r="H11" s="192"/>
    </row>
    <row r="12" spans="1:8" ht="15">
      <c r="A12" s="23"/>
      <c r="B12" s="78"/>
      <c r="C12" s="240"/>
      <c r="D12" s="7"/>
      <c r="E12" s="8"/>
      <c r="F12" s="5"/>
      <c r="G12" s="100"/>
      <c r="H12" s="192"/>
    </row>
    <row r="13" spans="1:8" ht="15">
      <c r="A13" s="23"/>
      <c r="B13" s="42"/>
      <c r="C13" s="2"/>
      <c r="D13" s="7"/>
      <c r="E13" s="8"/>
      <c r="F13" s="5"/>
      <c r="G13" s="43"/>
      <c r="H13" s="44"/>
    </row>
    <row r="14" spans="1:8" ht="15">
      <c r="A14" s="23"/>
      <c r="B14" s="78"/>
      <c r="C14" s="240"/>
      <c r="D14" s="7"/>
      <c r="E14" s="8"/>
      <c r="F14" s="5"/>
      <c r="G14" s="100"/>
      <c r="H14" s="192"/>
    </row>
    <row r="15" spans="1:8" ht="15.75">
      <c r="A15" s="171" t="s">
        <v>15</v>
      </c>
      <c r="B15" s="103"/>
      <c r="C15" s="103"/>
      <c r="D15" s="103"/>
      <c r="E15" s="103"/>
      <c r="F15" s="103"/>
      <c r="G15" s="104">
        <f>SUM(G10:H14)</f>
        <v>5063</v>
      </c>
      <c r="H15" s="104"/>
    </row>
    <row r="16" spans="1:8" ht="15.6" customHeight="1">
      <c r="A16" s="168"/>
      <c r="B16" s="107"/>
      <c r="C16" s="108"/>
      <c r="D16" s="73" t="s">
        <v>16</v>
      </c>
      <c r="E16" s="74"/>
      <c r="F16" s="74"/>
      <c r="G16" s="68">
        <v>253</v>
      </c>
      <c r="H16" s="190"/>
    </row>
    <row r="17" spans="1:8" ht="15.75">
      <c r="A17" s="260"/>
      <c r="B17" s="242"/>
      <c r="C17" s="243"/>
      <c r="D17" s="66" t="s">
        <v>17</v>
      </c>
      <c r="E17" s="67"/>
      <c r="F17" s="67"/>
      <c r="G17" s="68">
        <v>0</v>
      </c>
      <c r="H17" s="190"/>
    </row>
    <row r="18" spans="1:8" ht="15.6">
      <c r="A18" s="255"/>
      <c r="B18" s="240"/>
      <c r="C18" s="245"/>
      <c r="D18" s="66" t="s">
        <v>18</v>
      </c>
      <c r="E18" s="67"/>
      <c r="F18" s="67"/>
      <c r="G18" s="165">
        <v>5316</v>
      </c>
      <c r="H18" s="184"/>
    </row>
    <row r="19" spans="1:8" ht="15.6">
      <c r="A19" s="256"/>
      <c r="B19" s="257"/>
      <c r="C19" s="257"/>
      <c r="D19" s="162" t="s">
        <v>26</v>
      </c>
      <c r="E19" s="118"/>
      <c r="F19" s="119"/>
      <c r="G19" s="165">
        <v>5316</v>
      </c>
      <c r="H19" s="184"/>
    </row>
    <row r="20" spans="1:8" ht="15">
      <c r="A20" s="255"/>
      <c r="B20" s="240"/>
      <c r="C20" s="240"/>
      <c r="D20" s="240"/>
      <c r="E20" s="240"/>
      <c r="F20" s="240"/>
      <c r="G20" s="240"/>
      <c r="H20" s="245"/>
    </row>
    <row r="21" spans="1:8" ht="15.6">
      <c r="A21" s="166" t="s">
        <v>45</v>
      </c>
      <c r="B21" s="64"/>
      <c r="C21" s="64"/>
      <c r="D21" s="64"/>
      <c r="E21" s="64"/>
      <c r="F21" s="64"/>
      <c r="G21" s="64"/>
      <c r="H21" s="185"/>
    </row>
    <row r="22" spans="1:8" ht="15">
      <c r="A22" s="187"/>
      <c r="B22" s="188"/>
      <c r="C22" s="188"/>
      <c r="D22" s="188"/>
      <c r="E22" s="188"/>
      <c r="F22" s="188"/>
      <c r="G22" s="188"/>
      <c r="H22" s="189"/>
    </row>
    <row r="23" spans="1:8" ht="15.6">
      <c r="A23" s="115" t="s">
        <v>21</v>
      </c>
      <c r="B23" s="116"/>
      <c r="C23" s="117"/>
      <c r="D23" s="249"/>
      <c r="E23" s="250"/>
      <c r="F23" s="250"/>
      <c r="G23" s="250"/>
      <c r="H23" s="262"/>
    </row>
    <row r="24" spans="1:8" ht="15.6">
      <c r="A24" s="126"/>
      <c r="B24" s="127"/>
      <c r="C24" s="128"/>
      <c r="D24" s="129" t="s">
        <v>22</v>
      </c>
      <c r="E24" s="130"/>
      <c r="F24" s="130"/>
      <c r="G24" s="130"/>
      <c r="H24" s="186"/>
    </row>
    <row r="25" spans="1:8" ht="15.6" thickBot="1">
      <c r="A25" s="159"/>
      <c r="B25" s="160"/>
      <c r="C25" s="160"/>
      <c r="D25" s="160"/>
      <c r="E25" s="160"/>
      <c r="F25" s="160"/>
      <c r="G25" s="160"/>
      <c r="H25" s="183"/>
    </row>
    <row r="26" spans="1:8" ht="15">
      <c r="A26" s="2"/>
      <c r="B26" s="2"/>
      <c r="C26" s="2"/>
      <c r="D26" s="2"/>
      <c r="E26" s="2"/>
      <c r="F26" s="2"/>
      <c r="G26" s="2"/>
      <c r="H26" s="2"/>
    </row>
  </sheetData>
  <mergeCells count="40">
    <mergeCell ref="G9:H9"/>
    <mergeCell ref="A5:D5"/>
    <mergeCell ref="E5:H5"/>
    <mergeCell ref="A6:D6"/>
    <mergeCell ref="E6:H6"/>
    <mergeCell ref="A7:D7"/>
    <mergeCell ref="E7:H7"/>
    <mergeCell ref="A8:D8"/>
    <mergeCell ref="E8:H8"/>
    <mergeCell ref="B9:D9"/>
    <mergeCell ref="B10:D10"/>
    <mergeCell ref="B14:C14"/>
    <mergeCell ref="G14:H14"/>
    <mergeCell ref="A15:F15"/>
    <mergeCell ref="G15:H15"/>
    <mergeCell ref="G10:H10"/>
    <mergeCell ref="B11:C11"/>
    <mergeCell ref="G11:H11"/>
    <mergeCell ref="B12:C12"/>
    <mergeCell ref="G12:H12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24:C24"/>
    <mergeCell ref="D24:H24"/>
    <mergeCell ref="A22:H22"/>
    <mergeCell ref="A25:H25"/>
    <mergeCell ref="A19:C19"/>
    <mergeCell ref="A20:H20"/>
    <mergeCell ref="A23:C23"/>
    <mergeCell ref="D23:H23"/>
    <mergeCell ref="D19:F19"/>
    <mergeCell ref="G19:H19"/>
    <mergeCell ref="A21:H21"/>
  </mergeCells>
  <pageMargins left="0.7" right="0.7" top="0.75" bottom="0.75" header="0.3" footer="0.3"/>
  <pageSetup paperSize="9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FF52-26B6-4C23-9C32-2E838BA5B2C8}">
  <sheetPr>
    <pageSetUpPr fitToPage="1"/>
  </sheetPr>
  <dimension ref="A1:H25"/>
  <sheetViews>
    <sheetView workbookViewId="0">
      <selection activeCell="E5" sqref="E5:H5"/>
    </sheetView>
  </sheetViews>
  <sheetFormatPr defaultColWidth="9.140625" defaultRowHeight="13.15"/>
  <cols>
    <col min="1" max="1" width="9.140625" style="1"/>
    <col min="2" max="2" width="24.140625" style="1" customWidth="1"/>
    <col min="3" max="3" width="9.140625" style="1"/>
    <col min="4" max="4" width="12" style="1" customWidth="1"/>
    <col min="5" max="5" width="15.28515625" style="1" customWidth="1"/>
    <col min="6" max="6" width="10.28515625" style="1" customWidth="1"/>
    <col min="7" max="7" width="9.140625" style="1"/>
    <col min="8" max="8" width="10.5703125" style="1" customWidth="1"/>
    <col min="9" max="16384" width="9.140625" style="1"/>
  </cols>
  <sheetData>
    <row r="1" spans="1:8" ht="15">
      <c r="A1" s="10" t="s">
        <v>0</v>
      </c>
      <c r="B1" s="11"/>
      <c r="C1" s="11"/>
      <c r="D1" s="11"/>
      <c r="E1" s="12"/>
      <c r="F1" s="12"/>
      <c r="G1" s="12"/>
      <c r="H1" s="13"/>
    </row>
    <row r="2" spans="1:8" ht="15">
      <c r="A2" s="14" t="s">
        <v>1</v>
      </c>
      <c r="B2" s="15"/>
      <c r="C2" s="15"/>
      <c r="D2" s="15"/>
      <c r="E2" s="16"/>
      <c r="F2" s="16"/>
      <c r="G2" s="16"/>
      <c r="H2" s="17"/>
    </row>
    <row r="3" spans="1:8" ht="15">
      <c r="A3" s="14" t="s">
        <v>2</v>
      </c>
      <c r="B3" s="15"/>
      <c r="C3" s="15"/>
      <c r="D3" s="15"/>
      <c r="E3" s="16"/>
      <c r="F3" s="16"/>
      <c r="G3" s="16"/>
      <c r="H3" s="17"/>
    </row>
    <row r="4" spans="1:8" ht="21">
      <c r="A4" s="14"/>
      <c r="B4" s="15"/>
      <c r="C4" s="15"/>
      <c r="D4" s="18" t="s">
        <v>3</v>
      </c>
      <c r="E4" s="16"/>
      <c r="F4" s="16"/>
      <c r="G4" s="16"/>
      <c r="H4" s="17"/>
    </row>
    <row r="5" spans="1:8" ht="15.75">
      <c r="A5" s="155"/>
      <c r="B5" s="76"/>
      <c r="C5" s="76"/>
      <c r="D5" s="76"/>
      <c r="E5" s="77" t="s">
        <v>46</v>
      </c>
      <c r="F5" s="78"/>
      <c r="G5" s="78"/>
      <c r="H5" s="156"/>
    </row>
    <row r="6" spans="1:8" ht="15.6">
      <c r="A6" s="157" t="s">
        <v>5</v>
      </c>
      <c r="B6" s="239"/>
      <c r="C6" s="239"/>
      <c r="D6" s="239"/>
      <c r="E6" s="78" t="s">
        <v>29</v>
      </c>
      <c r="F6" s="78"/>
      <c r="G6" s="78"/>
      <c r="H6" s="156"/>
    </row>
    <row r="7" spans="1:8" ht="15.6">
      <c r="A7" s="157" t="s">
        <v>7</v>
      </c>
      <c r="B7" s="239"/>
      <c r="C7" s="239"/>
      <c r="D7" s="239"/>
      <c r="E7" s="78" t="s">
        <v>8</v>
      </c>
      <c r="F7" s="78"/>
      <c r="G7" s="78"/>
      <c r="H7" s="156"/>
    </row>
    <row r="8" spans="1:8" ht="15">
      <c r="A8" s="198"/>
      <c r="B8" s="199"/>
      <c r="C8" s="199"/>
      <c r="D8" s="199"/>
      <c r="E8" s="83"/>
      <c r="F8" s="83"/>
      <c r="G8" s="83"/>
      <c r="H8" s="158"/>
    </row>
    <row r="9" spans="1:8" ht="15.6">
      <c r="A9" s="45" t="s">
        <v>9</v>
      </c>
      <c r="B9" s="153" t="s">
        <v>10</v>
      </c>
      <c r="C9" s="153"/>
      <c r="D9" s="153"/>
      <c r="E9" s="46" t="s">
        <v>11</v>
      </c>
      <c r="F9" s="46" t="s">
        <v>12</v>
      </c>
      <c r="G9" s="153" t="s">
        <v>13</v>
      </c>
      <c r="H9" s="154"/>
    </row>
    <row r="10" spans="1:8" ht="47.25" customHeight="1">
      <c r="A10" s="22">
        <v>1</v>
      </c>
      <c r="B10" s="207" t="s">
        <v>47</v>
      </c>
      <c r="C10" s="208"/>
      <c r="D10" s="208"/>
      <c r="E10" s="4">
        <v>5844</v>
      </c>
      <c r="F10" s="5">
        <v>0.05</v>
      </c>
      <c r="G10" s="98">
        <v>5844</v>
      </c>
      <c r="H10" s="152"/>
    </row>
    <row r="11" spans="1:8" ht="15">
      <c r="A11" s="23"/>
      <c r="B11" s="78"/>
      <c r="C11" s="240"/>
      <c r="D11" s="7"/>
      <c r="E11" s="8"/>
      <c r="F11" s="5"/>
      <c r="G11" s="100"/>
      <c r="H11" s="146"/>
    </row>
    <row r="12" spans="1:8" ht="15">
      <c r="A12" s="23"/>
      <c r="B12" s="78"/>
      <c r="C12" s="240"/>
      <c r="D12" s="7"/>
      <c r="E12" s="8"/>
      <c r="F12" s="5"/>
      <c r="G12" s="100"/>
      <c r="H12" s="146"/>
    </row>
    <row r="13" spans="1:8" ht="15">
      <c r="A13" s="23"/>
      <c r="B13" s="78"/>
      <c r="C13" s="240"/>
      <c r="D13" s="7"/>
      <c r="E13" s="8"/>
      <c r="F13" s="5"/>
      <c r="G13" s="100"/>
      <c r="H13" s="146"/>
    </row>
    <row r="14" spans="1:8" ht="15.75">
      <c r="A14" s="171" t="s">
        <v>15</v>
      </c>
      <c r="B14" s="103"/>
      <c r="C14" s="103"/>
      <c r="D14" s="103"/>
      <c r="E14" s="103"/>
      <c r="F14" s="103"/>
      <c r="G14" s="104">
        <f>SUM(G10:H13)</f>
        <v>5844</v>
      </c>
      <c r="H14" s="172"/>
    </row>
    <row r="15" spans="1:8" ht="15.6" customHeight="1">
      <c r="A15" s="168"/>
      <c r="B15" s="107"/>
      <c r="C15" s="108"/>
      <c r="D15" s="73" t="s">
        <v>16</v>
      </c>
      <c r="E15" s="74"/>
      <c r="F15" s="74"/>
      <c r="G15" s="68">
        <v>292</v>
      </c>
      <c r="H15" s="145"/>
    </row>
    <row r="16" spans="1:8" ht="15.75">
      <c r="A16" s="260"/>
      <c r="B16" s="242"/>
      <c r="C16" s="243"/>
      <c r="D16" s="66" t="s">
        <v>17</v>
      </c>
      <c r="E16" s="67"/>
      <c r="F16" s="67"/>
      <c r="G16" s="68">
        <v>0</v>
      </c>
      <c r="H16" s="145"/>
    </row>
    <row r="17" spans="1:8" ht="15.6">
      <c r="A17" s="255"/>
      <c r="B17" s="240"/>
      <c r="C17" s="245"/>
      <c r="D17" s="66" t="s">
        <v>18</v>
      </c>
      <c r="E17" s="67"/>
      <c r="F17" s="67"/>
      <c r="G17" s="68">
        <v>6136</v>
      </c>
      <c r="H17" s="145"/>
    </row>
    <row r="18" spans="1:8" ht="15.6">
      <c r="A18" s="263"/>
      <c r="B18" s="264"/>
      <c r="C18" s="264"/>
      <c r="D18" s="201" t="s">
        <v>26</v>
      </c>
      <c r="E18" s="202"/>
      <c r="F18" s="203"/>
      <c r="G18" s="175">
        <v>6136</v>
      </c>
      <c r="H18" s="176"/>
    </row>
    <row r="19" spans="1:8" ht="15.6">
      <c r="A19" s="29"/>
      <c r="B19" s="30"/>
      <c r="C19" s="30"/>
      <c r="D19" s="28"/>
      <c r="E19" s="28"/>
      <c r="F19" s="28"/>
      <c r="G19" s="25"/>
      <c r="H19" s="26"/>
    </row>
    <row r="20" spans="1:8" ht="15.6">
      <c r="A20" s="265" t="s">
        <v>48</v>
      </c>
      <c r="B20" s="240"/>
      <c r="C20" s="240"/>
      <c r="D20" s="240"/>
      <c r="E20" s="240"/>
      <c r="F20" s="240"/>
      <c r="G20" s="240"/>
      <c r="H20" s="261"/>
    </row>
    <row r="21" spans="1:8" ht="15.6">
      <c r="A21" s="31"/>
      <c r="B21" s="2"/>
      <c r="C21" s="2"/>
      <c r="D21" s="2"/>
      <c r="E21" s="2"/>
      <c r="F21" s="2"/>
      <c r="G21" s="2"/>
      <c r="H21" s="24"/>
    </row>
    <row r="22" spans="1:8" ht="15.6">
      <c r="A22" s="115" t="s">
        <v>21</v>
      </c>
      <c r="B22" s="116"/>
      <c r="C22" s="117"/>
      <c r="D22" s="249"/>
      <c r="E22" s="250"/>
      <c r="F22" s="250"/>
      <c r="G22" s="250"/>
      <c r="H22" s="259"/>
    </row>
    <row r="23" spans="1:8" ht="15.6">
      <c r="A23" s="27"/>
      <c r="B23" s="20"/>
      <c r="C23" s="21"/>
      <c r="D23" s="204"/>
      <c r="E23" s="205"/>
      <c r="F23" s="205"/>
      <c r="G23" s="205"/>
      <c r="H23" s="206"/>
    </row>
    <row r="24" spans="1:8" ht="15.6">
      <c r="A24" s="126"/>
      <c r="B24" s="127"/>
      <c r="C24" s="128"/>
      <c r="D24" s="129" t="s">
        <v>22</v>
      </c>
      <c r="E24" s="130"/>
      <c r="F24" s="130"/>
      <c r="G24" s="130"/>
      <c r="H24" s="131"/>
    </row>
    <row r="25" spans="1:8" ht="15.6" thickBot="1">
      <c r="A25" s="159"/>
      <c r="B25" s="160"/>
      <c r="C25" s="160"/>
      <c r="D25" s="160"/>
      <c r="E25" s="160"/>
      <c r="F25" s="160"/>
      <c r="G25" s="160"/>
      <c r="H25" s="161"/>
    </row>
  </sheetData>
  <mergeCells count="39">
    <mergeCell ref="G9:H9"/>
    <mergeCell ref="A5:D5"/>
    <mergeCell ref="E5:H5"/>
    <mergeCell ref="A6:D6"/>
    <mergeCell ref="E6:H6"/>
    <mergeCell ref="A7:D7"/>
    <mergeCell ref="E7:H7"/>
    <mergeCell ref="A8:D8"/>
    <mergeCell ref="E8:H8"/>
    <mergeCell ref="B9:D9"/>
    <mergeCell ref="G10:H10"/>
    <mergeCell ref="B11:C11"/>
    <mergeCell ref="G11:H11"/>
    <mergeCell ref="B12:C12"/>
    <mergeCell ref="G12:H12"/>
    <mergeCell ref="B10:D10"/>
    <mergeCell ref="B13:C13"/>
    <mergeCell ref="G13:H13"/>
    <mergeCell ref="A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24:C24"/>
    <mergeCell ref="D24:H24"/>
    <mergeCell ref="A25:H25"/>
    <mergeCell ref="A18:C18"/>
    <mergeCell ref="A20:H20"/>
    <mergeCell ref="A22:C22"/>
    <mergeCell ref="D22:H22"/>
    <mergeCell ref="D18:F18"/>
    <mergeCell ref="G18:H18"/>
    <mergeCell ref="D23:H23"/>
  </mergeCells>
  <pageMargins left="0.7" right="0.7" top="0.75" bottom="0.75" header="0.3" footer="0.3"/>
  <pageSetup paperSize="9"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AF0FD-8137-40B7-8A5E-94EB1198ECC2}">
  <sheetPr>
    <pageSetUpPr fitToPage="1"/>
  </sheetPr>
  <dimension ref="A1:H25"/>
  <sheetViews>
    <sheetView workbookViewId="0">
      <selection activeCell="E5" sqref="E5:H5"/>
    </sheetView>
  </sheetViews>
  <sheetFormatPr defaultColWidth="9.140625" defaultRowHeight="13.15"/>
  <cols>
    <col min="1" max="1" width="9.140625" style="1"/>
    <col min="2" max="2" width="24.140625" style="1" customWidth="1"/>
    <col min="3" max="3" width="10" style="1" customWidth="1"/>
    <col min="4" max="4" width="12" style="1" customWidth="1"/>
    <col min="5" max="5" width="15.28515625" style="1" customWidth="1"/>
    <col min="6" max="6" width="10.28515625" style="1" customWidth="1"/>
    <col min="7" max="7" width="9.140625" style="1"/>
    <col min="8" max="8" width="10.5703125" style="1" customWidth="1"/>
    <col min="9" max="16384" width="9.140625" style="1"/>
  </cols>
  <sheetData>
    <row r="1" spans="1:8" ht="15">
      <c r="A1" s="10" t="s">
        <v>0</v>
      </c>
      <c r="B1" s="11"/>
      <c r="C1" s="11"/>
      <c r="D1" s="11"/>
      <c r="E1" s="12"/>
      <c r="F1" s="12"/>
      <c r="G1" s="12"/>
      <c r="H1" s="13"/>
    </row>
    <row r="2" spans="1:8" ht="15">
      <c r="A2" s="14" t="s">
        <v>1</v>
      </c>
      <c r="B2" s="15"/>
      <c r="C2" s="15"/>
      <c r="D2" s="15"/>
      <c r="E2" s="16"/>
      <c r="F2" s="16"/>
      <c r="G2" s="16"/>
      <c r="H2" s="17"/>
    </row>
    <row r="3" spans="1:8" ht="15">
      <c r="A3" s="14" t="s">
        <v>2</v>
      </c>
      <c r="B3" s="15"/>
      <c r="C3" s="15"/>
      <c r="D3" s="15"/>
      <c r="E3" s="16"/>
      <c r="F3" s="16"/>
      <c r="G3" s="16"/>
      <c r="H3" s="17"/>
    </row>
    <row r="4" spans="1:8" ht="21">
      <c r="A4" s="14"/>
      <c r="B4" s="15"/>
      <c r="C4" s="15"/>
      <c r="D4" s="18" t="s">
        <v>3</v>
      </c>
      <c r="E4" s="16"/>
      <c r="F4" s="16"/>
      <c r="G4" s="16"/>
      <c r="H4" s="17"/>
    </row>
    <row r="5" spans="1:8" ht="15.75">
      <c r="A5" s="155"/>
      <c r="B5" s="76"/>
      <c r="C5" s="76"/>
      <c r="D5" s="76"/>
      <c r="E5" s="77" t="s">
        <v>49</v>
      </c>
      <c r="F5" s="78"/>
      <c r="G5" s="78"/>
      <c r="H5" s="156"/>
    </row>
    <row r="6" spans="1:8" ht="15.6">
      <c r="A6" s="157" t="s">
        <v>5</v>
      </c>
      <c r="B6" s="239"/>
      <c r="C6" s="239"/>
      <c r="D6" s="239"/>
      <c r="E6" s="78" t="s">
        <v>50</v>
      </c>
      <c r="F6" s="78"/>
      <c r="G6" s="78"/>
      <c r="H6" s="156"/>
    </row>
    <row r="7" spans="1:8" ht="15.6">
      <c r="A7" s="157" t="s">
        <v>7</v>
      </c>
      <c r="B7" s="239"/>
      <c r="C7" s="239"/>
      <c r="D7" s="239"/>
      <c r="E7" s="78" t="s">
        <v>8</v>
      </c>
      <c r="F7" s="78"/>
      <c r="G7" s="78"/>
      <c r="H7" s="156"/>
    </row>
    <row r="8" spans="1:8" ht="15">
      <c r="A8" s="198"/>
      <c r="B8" s="240"/>
      <c r="C8" s="240"/>
      <c r="D8" s="240"/>
      <c r="E8" s="83"/>
      <c r="F8" s="83"/>
      <c r="G8" s="83"/>
      <c r="H8" s="158"/>
    </row>
    <row r="9" spans="1:8" ht="15.6">
      <c r="A9" s="45" t="s">
        <v>9</v>
      </c>
      <c r="B9" s="153" t="s">
        <v>10</v>
      </c>
      <c r="C9" s="153"/>
      <c r="D9" s="153"/>
      <c r="E9" s="46" t="s">
        <v>11</v>
      </c>
      <c r="F9" s="46" t="s">
        <v>12</v>
      </c>
      <c r="G9" s="153" t="s">
        <v>13</v>
      </c>
      <c r="H9" s="154"/>
    </row>
    <row r="10" spans="1:8" ht="51.75" customHeight="1">
      <c r="A10" s="22">
        <v>1</v>
      </c>
      <c r="B10" s="221" t="s">
        <v>51</v>
      </c>
      <c r="C10" s="91"/>
      <c r="D10" s="91"/>
      <c r="E10" s="4">
        <v>5700</v>
      </c>
      <c r="F10" s="5">
        <v>0.05</v>
      </c>
      <c r="G10" s="138">
        <v>5700</v>
      </c>
      <c r="H10" s="139"/>
    </row>
    <row r="11" spans="1:8" ht="15">
      <c r="A11" s="23"/>
      <c r="B11" s="78"/>
      <c r="C11" s="240"/>
      <c r="D11" s="7"/>
      <c r="E11" s="8"/>
      <c r="F11" s="5"/>
      <c r="G11" s="100"/>
      <c r="H11" s="146"/>
    </row>
    <row r="12" spans="1:8" ht="15">
      <c r="A12" s="23"/>
      <c r="B12" s="78"/>
      <c r="C12" s="240"/>
      <c r="D12" s="7"/>
      <c r="E12" s="8"/>
      <c r="F12" s="5"/>
      <c r="G12" s="100"/>
      <c r="H12" s="146"/>
    </row>
    <row r="13" spans="1:8" ht="15">
      <c r="A13" s="23"/>
      <c r="B13" s="78"/>
      <c r="C13" s="240"/>
      <c r="D13" s="7"/>
      <c r="E13" s="8"/>
      <c r="F13" s="5"/>
      <c r="G13" s="100"/>
      <c r="H13" s="146"/>
    </row>
    <row r="14" spans="1:8" ht="15.75">
      <c r="A14" s="171" t="s">
        <v>15</v>
      </c>
      <c r="B14" s="103"/>
      <c r="C14" s="103"/>
      <c r="D14" s="103"/>
      <c r="E14" s="103"/>
      <c r="F14" s="103"/>
      <c r="G14" s="104">
        <f>SUM(G10:H13)</f>
        <v>5700</v>
      </c>
      <c r="H14" s="172"/>
    </row>
    <row r="15" spans="1:8" ht="15.6" customHeight="1">
      <c r="A15" s="168"/>
      <c r="B15" s="78"/>
      <c r="C15" s="169"/>
      <c r="D15" s="73" t="s">
        <v>16</v>
      </c>
      <c r="E15" s="74"/>
      <c r="F15" s="74"/>
      <c r="G15" s="68">
        <v>285</v>
      </c>
      <c r="H15" s="145"/>
    </row>
    <row r="16" spans="1:8" ht="15.75">
      <c r="A16" s="260"/>
      <c r="B16" s="242"/>
      <c r="C16" s="243"/>
      <c r="D16" s="66" t="s">
        <v>17</v>
      </c>
      <c r="E16" s="67"/>
      <c r="F16" s="67"/>
      <c r="G16" s="68">
        <v>0</v>
      </c>
      <c r="H16" s="145"/>
    </row>
    <row r="17" spans="1:8" ht="15.6">
      <c r="A17" s="255"/>
      <c r="B17" s="240"/>
      <c r="C17" s="245"/>
      <c r="D17" s="66" t="s">
        <v>18</v>
      </c>
      <c r="E17" s="67"/>
      <c r="F17" s="67"/>
      <c r="G17" s="165">
        <v>5985</v>
      </c>
      <c r="H17" s="121"/>
    </row>
    <row r="18" spans="1:8" ht="15.6">
      <c r="A18" s="266"/>
      <c r="B18" s="267"/>
      <c r="C18" s="267"/>
      <c r="D18" s="47" t="s">
        <v>26</v>
      </c>
      <c r="E18" s="48"/>
      <c r="F18" s="48"/>
      <c r="G18" s="165">
        <v>5985</v>
      </c>
      <c r="H18" s="121"/>
    </row>
    <row r="19" spans="1:8" ht="15.6">
      <c r="A19" s="218"/>
      <c r="B19" s="219"/>
      <c r="C19" s="219"/>
      <c r="D19" s="219"/>
      <c r="E19" s="219"/>
      <c r="F19" s="219"/>
      <c r="G19" s="219"/>
      <c r="H19" s="220"/>
    </row>
    <row r="20" spans="1:8" ht="15.6">
      <c r="A20" s="215" t="s">
        <v>52</v>
      </c>
      <c r="B20" s="216"/>
      <c r="C20" s="216"/>
      <c r="D20" s="216"/>
      <c r="E20" s="216"/>
      <c r="F20" s="216"/>
      <c r="G20" s="216"/>
      <c r="H20" s="217"/>
    </row>
    <row r="21" spans="1:8" ht="15">
      <c r="A21" s="209"/>
      <c r="B21" s="210"/>
      <c r="C21" s="210"/>
      <c r="D21" s="210"/>
      <c r="E21" s="210"/>
      <c r="F21" s="210"/>
      <c r="G21" s="210"/>
      <c r="H21" s="211"/>
    </row>
    <row r="22" spans="1:8" ht="15.6">
      <c r="A22" s="212" t="s">
        <v>21</v>
      </c>
      <c r="B22" s="91"/>
      <c r="C22" s="213"/>
      <c r="D22" s="268"/>
      <c r="E22" s="240"/>
      <c r="F22" s="240"/>
      <c r="G22" s="240"/>
      <c r="H22" s="261"/>
    </row>
    <row r="23" spans="1:8" ht="15">
      <c r="A23" s="214"/>
      <c r="B23" s="64"/>
      <c r="C23" s="65"/>
      <c r="D23" s="268"/>
      <c r="E23" s="240"/>
      <c r="F23" s="240"/>
      <c r="G23" s="240"/>
      <c r="H23" s="261"/>
    </row>
    <row r="24" spans="1:8" ht="15.6">
      <c r="A24" s="126"/>
      <c r="B24" s="127"/>
      <c r="C24" s="128"/>
      <c r="D24" s="129" t="s">
        <v>22</v>
      </c>
      <c r="E24" s="130"/>
      <c r="F24" s="130"/>
      <c r="G24" s="130"/>
      <c r="H24" s="131"/>
    </row>
    <row r="25" spans="1:8" ht="15.6" thickBot="1">
      <c r="A25" s="159"/>
      <c r="B25" s="160"/>
      <c r="C25" s="160"/>
      <c r="D25" s="160"/>
      <c r="E25" s="160"/>
      <c r="F25" s="160"/>
      <c r="G25" s="160"/>
      <c r="H25" s="161"/>
    </row>
  </sheetData>
  <mergeCells count="40">
    <mergeCell ref="G9:H9"/>
    <mergeCell ref="A5:D5"/>
    <mergeCell ref="E5:H5"/>
    <mergeCell ref="A6:D6"/>
    <mergeCell ref="E6:H6"/>
    <mergeCell ref="A7:D7"/>
    <mergeCell ref="E7:H7"/>
    <mergeCell ref="A8:D8"/>
    <mergeCell ref="E8:H8"/>
    <mergeCell ref="B9:D9"/>
    <mergeCell ref="G10:H10"/>
    <mergeCell ref="B11:C11"/>
    <mergeCell ref="G11:H11"/>
    <mergeCell ref="B12:C12"/>
    <mergeCell ref="G12:H12"/>
    <mergeCell ref="B10:D10"/>
    <mergeCell ref="B13:C13"/>
    <mergeCell ref="G13:H13"/>
    <mergeCell ref="A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24:C24"/>
    <mergeCell ref="D24:H24"/>
    <mergeCell ref="A25:H25"/>
    <mergeCell ref="A18:C18"/>
    <mergeCell ref="A21:H21"/>
    <mergeCell ref="A22:C22"/>
    <mergeCell ref="D22:H23"/>
    <mergeCell ref="A23:C23"/>
    <mergeCell ref="G18:H18"/>
    <mergeCell ref="A20:H20"/>
    <mergeCell ref="A19:H19"/>
  </mergeCells>
  <pageMargins left="0.7" right="0.7" top="0.75" bottom="0.75" header="0.3" footer="0.3"/>
  <pageSetup paperSize="9"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8311-AD5D-44BF-BAF2-58AFECB96741}">
  <sheetPr>
    <pageSetUpPr fitToPage="1"/>
  </sheetPr>
  <dimension ref="A1:K33"/>
  <sheetViews>
    <sheetView tabSelected="1" workbookViewId="0">
      <selection activeCell="B11" sqref="B11:C11"/>
    </sheetView>
  </sheetViews>
  <sheetFormatPr defaultColWidth="9.140625" defaultRowHeight="13.15"/>
  <cols>
    <col min="1" max="1" width="9.140625" style="1"/>
    <col min="2" max="2" width="24.140625" style="1" customWidth="1"/>
    <col min="3" max="3" width="9.140625" style="1"/>
    <col min="4" max="4" width="12" style="1" customWidth="1"/>
    <col min="5" max="5" width="15.28515625" style="1" customWidth="1"/>
    <col min="6" max="6" width="10.28515625" style="1" customWidth="1"/>
    <col min="7" max="7" width="9.140625" style="1"/>
    <col min="8" max="8" width="10.5703125" style="1" customWidth="1"/>
    <col min="9" max="16384" width="9.140625" style="1"/>
  </cols>
  <sheetData>
    <row r="1" spans="1:11" ht="15">
      <c r="A1" s="10" t="s">
        <v>0</v>
      </c>
      <c r="B1" s="11"/>
      <c r="C1" s="11"/>
      <c r="D1" s="11"/>
      <c r="E1" s="12"/>
      <c r="F1" s="12"/>
      <c r="G1" s="12"/>
      <c r="H1" s="13"/>
      <c r="I1" s="2"/>
    </row>
    <row r="2" spans="1:11" ht="15">
      <c r="A2" s="14" t="s">
        <v>1</v>
      </c>
      <c r="B2" s="15"/>
      <c r="C2" s="15"/>
      <c r="D2" s="15"/>
      <c r="E2" s="16"/>
      <c r="F2" s="16"/>
      <c r="G2" s="16"/>
      <c r="H2" s="17"/>
      <c r="I2" s="2"/>
    </row>
    <row r="3" spans="1:11" ht="15">
      <c r="A3" s="14" t="s">
        <v>2</v>
      </c>
      <c r="B3" s="15"/>
      <c r="C3" s="15"/>
      <c r="D3" s="15"/>
      <c r="E3" s="16"/>
      <c r="F3" s="16"/>
      <c r="G3" s="16"/>
      <c r="H3" s="17"/>
      <c r="I3" s="2"/>
    </row>
    <row r="4" spans="1:11" ht="21">
      <c r="A4" s="14"/>
      <c r="B4" s="15"/>
      <c r="C4" s="15"/>
      <c r="D4" s="18" t="s">
        <v>3</v>
      </c>
      <c r="E4" s="16"/>
      <c r="F4" s="16"/>
      <c r="G4" s="16"/>
      <c r="H4" s="17"/>
      <c r="I4" s="2"/>
    </row>
    <row r="5" spans="1:11" ht="15.75">
      <c r="A5" s="236"/>
      <c r="B5" s="76"/>
      <c r="C5" s="76"/>
      <c r="D5" s="76"/>
      <c r="E5" s="77" t="s">
        <v>53</v>
      </c>
      <c r="F5" s="78"/>
      <c r="G5" s="78"/>
      <c r="H5" s="169"/>
      <c r="I5" s="2"/>
    </row>
    <row r="6" spans="1:11" ht="15.6">
      <c r="A6" s="237" t="s">
        <v>5</v>
      </c>
      <c r="B6" s="239"/>
      <c r="C6" s="239"/>
      <c r="D6" s="239"/>
      <c r="E6" s="78" t="s">
        <v>50</v>
      </c>
      <c r="F6" s="78"/>
      <c r="G6" s="78"/>
      <c r="H6" s="169"/>
      <c r="I6" s="2"/>
    </row>
    <row r="7" spans="1:11" ht="15.6">
      <c r="A7" s="237" t="s">
        <v>7</v>
      </c>
      <c r="B7" s="239"/>
      <c r="C7" s="239"/>
      <c r="D7" s="239"/>
      <c r="E7" s="78" t="s">
        <v>8</v>
      </c>
      <c r="F7" s="78"/>
      <c r="G7" s="78"/>
      <c r="H7" s="169"/>
      <c r="I7" s="2"/>
    </row>
    <row r="8" spans="1:11" ht="15">
      <c r="A8" s="238"/>
      <c r="B8" s="240"/>
      <c r="C8" s="240"/>
      <c r="D8" s="240"/>
      <c r="E8" s="83"/>
      <c r="F8" s="83"/>
      <c r="G8" s="83"/>
      <c r="H8" s="200"/>
      <c r="I8" s="2"/>
    </row>
    <row r="9" spans="1:11" ht="15.6">
      <c r="A9" s="49" t="s">
        <v>9</v>
      </c>
      <c r="B9" s="153" t="s">
        <v>10</v>
      </c>
      <c r="C9" s="153"/>
      <c r="D9" s="153"/>
      <c r="E9" s="46" t="s">
        <v>11</v>
      </c>
      <c r="F9" s="46" t="s">
        <v>54</v>
      </c>
      <c r="G9" s="153" t="s">
        <v>13</v>
      </c>
      <c r="H9" s="194"/>
      <c r="I9" s="2"/>
    </row>
    <row r="10" spans="1:11" ht="48" customHeight="1">
      <c r="A10" s="3">
        <v>1</v>
      </c>
      <c r="B10" s="221" t="s">
        <v>55</v>
      </c>
      <c r="C10" s="235"/>
      <c r="D10" s="235"/>
      <c r="E10" s="4">
        <v>6521</v>
      </c>
      <c r="F10" s="5">
        <v>0.05</v>
      </c>
      <c r="G10" s="98">
        <v>6521</v>
      </c>
      <c r="H10" s="193"/>
      <c r="I10" s="2"/>
    </row>
    <row r="11" spans="1:11" ht="15">
      <c r="A11" s="6"/>
      <c r="B11" s="78"/>
      <c r="C11" s="240"/>
      <c r="D11" s="7"/>
      <c r="E11" s="8"/>
      <c r="F11" s="5"/>
      <c r="G11" s="100"/>
      <c r="H11" s="192"/>
      <c r="I11" s="2"/>
    </row>
    <row r="12" spans="1:11" ht="15">
      <c r="A12" s="6"/>
      <c r="B12" s="78"/>
      <c r="C12" s="240"/>
      <c r="D12" s="7"/>
      <c r="E12" s="8"/>
      <c r="F12" s="5"/>
      <c r="G12" s="100"/>
      <c r="H12" s="192"/>
      <c r="I12" s="2"/>
    </row>
    <row r="13" spans="1:11" ht="15.6" thickBot="1">
      <c r="A13" s="6"/>
      <c r="B13" s="78"/>
      <c r="C13" s="240"/>
      <c r="D13" s="7"/>
      <c r="E13" s="8"/>
      <c r="F13" s="5"/>
      <c r="G13" s="100"/>
      <c r="H13" s="192"/>
      <c r="I13" s="2"/>
      <c r="K13" s="9"/>
    </row>
    <row r="14" spans="1:11" ht="15.75">
      <c r="A14" s="103" t="s">
        <v>15</v>
      </c>
      <c r="B14" s="103"/>
      <c r="C14" s="103"/>
      <c r="D14" s="103"/>
      <c r="E14" s="103"/>
      <c r="F14" s="103"/>
      <c r="G14" s="104">
        <f>SUM(G10:H13)</f>
        <v>6521</v>
      </c>
      <c r="H14" s="232"/>
      <c r="I14" s="2"/>
    </row>
    <row r="15" spans="1:11" ht="15.6" customHeight="1">
      <c r="A15" s="233"/>
      <c r="B15" s="107"/>
      <c r="C15" s="108"/>
      <c r="D15" s="73" t="s">
        <v>16</v>
      </c>
      <c r="E15" s="74"/>
      <c r="F15" s="74"/>
      <c r="G15" s="68">
        <v>326</v>
      </c>
      <c r="H15" s="234"/>
      <c r="I15" s="2"/>
    </row>
    <row r="16" spans="1:11" ht="15.75">
      <c r="A16" s="269"/>
      <c r="B16" s="242"/>
      <c r="C16" s="243"/>
      <c r="D16" s="66" t="s">
        <v>17</v>
      </c>
      <c r="E16" s="67"/>
      <c r="F16" s="67"/>
      <c r="G16" s="165">
        <v>0</v>
      </c>
      <c r="H16" s="226"/>
      <c r="I16" s="2"/>
    </row>
    <row r="17" spans="1:9" ht="15.6">
      <c r="A17" s="270"/>
      <c r="B17" s="240"/>
      <c r="C17" s="245"/>
      <c r="D17" s="66" t="s">
        <v>18</v>
      </c>
      <c r="E17" s="67"/>
      <c r="F17" s="67"/>
      <c r="G17" s="165">
        <v>6847</v>
      </c>
      <c r="H17" s="226"/>
      <c r="I17" s="2"/>
    </row>
    <row r="18" spans="1:9" ht="15.6">
      <c r="A18" s="271"/>
      <c r="B18" s="257"/>
      <c r="C18" s="257"/>
      <c r="D18" s="47" t="s">
        <v>26</v>
      </c>
      <c r="E18" s="48"/>
      <c r="F18" s="48"/>
      <c r="G18" s="165">
        <v>6847</v>
      </c>
      <c r="H18" s="226"/>
      <c r="I18" s="2"/>
    </row>
    <row r="19" spans="1:9" ht="15.6">
      <c r="A19" s="227"/>
      <c r="B19" s="93"/>
      <c r="C19" s="93"/>
      <c r="D19" s="93"/>
      <c r="E19" s="93"/>
      <c r="F19" s="93"/>
      <c r="G19" s="93"/>
      <c r="H19" s="228"/>
      <c r="I19" s="2"/>
    </row>
    <row r="20" spans="1:9" ht="15.6">
      <c r="A20" s="229" t="s">
        <v>56</v>
      </c>
      <c r="B20" s="96"/>
      <c r="C20" s="96"/>
      <c r="D20" s="96"/>
      <c r="E20" s="96"/>
      <c r="F20" s="96"/>
      <c r="G20" s="96"/>
      <c r="H20" s="230"/>
      <c r="I20" s="2"/>
    </row>
    <row r="21" spans="1:9" ht="15">
      <c r="A21" s="231"/>
      <c r="B21" s="188"/>
      <c r="C21" s="188"/>
      <c r="D21" s="188"/>
      <c r="E21" s="188"/>
      <c r="F21" s="188"/>
      <c r="G21" s="188"/>
      <c r="H21" s="189"/>
      <c r="I21" s="2"/>
    </row>
    <row r="22" spans="1:9" ht="15.6">
      <c r="A22" s="224" t="s">
        <v>21</v>
      </c>
      <c r="B22" s="116"/>
      <c r="C22" s="117"/>
      <c r="D22" s="249"/>
      <c r="E22" s="250"/>
      <c r="F22" s="250"/>
      <c r="G22" s="250"/>
      <c r="H22" s="262"/>
      <c r="I22" s="2"/>
    </row>
    <row r="23" spans="1:9" ht="15">
      <c r="A23" s="225"/>
      <c r="B23" s="64"/>
      <c r="C23" s="65"/>
      <c r="D23" s="268"/>
      <c r="E23" s="240"/>
      <c r="F23" s="240"/>
      <c r="G23" s="240"/>
      <c r="H23" s="245"/>
      <c r="I23" s="2"/>
    </row>
    <row r="24" spans="1:9" ht="15.6">
      <c r="A24" s="222"/>
      <c r="B24" s="127"/>
      <c r="C24" s="128"/>
      <c r="D24" s="129" t="s">
        <v>22</v>
      </c>
      <c r="E24" s="130"/>
      <c r="F24" s="130"/>
      <c r="G24" s="130"/>
      <c r="H24" s="186"/>
      <c r="I24" s="2"/>
    </row>
    <row r="25" spans="1:9" ht="15.6" thickBot="1">
      <c r="A25" s="223"/>
      <c r="B25" s="160"/>
      <c r="C25" s="160"/>
      <c r="D25" s="160"/>
      <c r="E25" s="160"/>
      <c r="F25" s="160"/>
      <c r="G25" s="160"/>
      <c r="H25" s="183"/>
      <c r="I25" s="2"/>
    </row>
    <row r="26" spans="1:9" ht="15">
      <c r="A26" s="2"/>
      <c r="B26" s="2"/>
      <c r="C26" s="2"/>
      <c r="D26" s="2"/>
      <c r="E26" s="2"/>
      <c r="F26" s="2"/>
      <c r="G26" s="2"/>
      <c r="H26" s="2"/>
      <c r="I26" s="2"/>
    </row>
    <row r="27" spans="1:9" ht="15">
      <c r="A27" s="2"/>
      <c r="B27" s="2"/>
      <c r="C27" s="2"/>
      <c r="D27" s="2"/>
      <c r="E27" s="2"/>
      <c r="F27" s="2"/>
      <c r="G27" s="2"/>
      <c r="H27" s="2"/>
      <c r="I27" s="2"/>
    </row>
    <row r="28" spans="1:9" ht="15">
      <c r="A28" s="2"/>
      <c r="B28" s="2"/>
      <c r="C28" s="2"/>
      <c r="D28" s="2"/>
      <c r="E28" s="2"/>
      <c r="F28" s="2"/>
      <c r="G28" s="2"/>
      <c r="H28" s="2"/>
      <c r="I28" s="2"/>
    </row>
    <row r="29" spans="1:9" ht="15">
      <c r="A29" s="2"/>
      <c r="B29" s="2"/>
      <c r="C29" s="2"/>
      <c r="D29" s="2"/>
      <c r="E29" s="2"/>
      <c r="F29" s="2"/>
      <c r="G29" s="2"/>
      <c r="H29" s="2"/>
      <c r="I29" s="2"/>
    </row>
    <row r="30" spans="1:9" ht="15">
      <c r="A30" s="2"/>
      <c r="B30" s="2"/>
      <c r="C30" s="2"/>
      <c r="D30" s="2"/>
      <c r="E30" s="2"/>
      <c r="F30" s="2"/>
      <c r="G30" s="2"/>
      <c r="H30" s="2"/>
      <c r="I30" s="2"/>
    </row>
    <row r="31" spans="1:9" ht="15">
      <c r="A31" s="2"/>
      <c r="B31" s="2"/>
      <c r="C31" s="2"/>
      <c r="D31" s="2"/>
      <c r="E31" s="2"/>
      <c r="F31" s="2"/>
      <c r="G31" s="2"/>
      <c r="H31" s="2"/>
      <c r="I31" s="2"/>
    </row>
    <row r="32" spans="1:9" ht="15">
      <c r="A32" s="2"/>
      <c r="B32" s="2"/>
      <c r="C32" s="2"/>
      <c r="D32" s="2"/>
      <c r="E32" s="2"/>
      <c r="F32" s="2"/>
      <c r="G32" s="2"/>
      <c r="H32" s="2"/>
      <c r="I32" s="2"/>
    </row>
    <row r="33" spans="1:9" ht="15">
      <c r="A33" s="2"/>
      <c r="B33" s="2"/>
      <c r="C33" s="2"/>
      <c r="D33" s="2"/>
      <c r="E33" s="2"/>
      <c r="F33" s="2"/>
      <c r="G33" s="2"/>
      <c r="H33" s="2"/>
      <c r="I33" s="2"/>
    </row>
  </sheetData>
  <mergeCells count="40">
    <mergeCell ref="G9:H9"/>
    <mergeCell ref="A5:D5"/>
    <mergeCell ref="E5:H5"/>
    <mergeCell ref="A6:D6"/>
    <mergeCell ref="E6:H6"/>
    <mergeCell ref="A7:D7"/>
    <mergeCell ref="E7:H7"/>
    <mergeCell ref="A8:D8"/>
    <mergeCell ref="E8:H8"/>
    <mergeCell ref="B9:D9"/>
    <mergeCell ref="G10:H10"/>
    <mergeCell ref="B11:C11"/>
    <mergeCell ref="G11:H11"/>
    <mergeCell ref="B12:C12"/>
    <mergeCell ref="G12:H12"/>
    <mergeCell ref="B10:D10"/>
    <mergeCell ref="B13:C13"/>
    <mergeCell ref="G13:H13"/>
    <mergeCell ref="A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24:C24"/>
    <mergeCell ref="D24:H24"/>
    <mergeCell ref="A25:H25"/>
    <mergeCell ref="A18:C18"/>
    <mergeCell ref="A22:C22"/>
    <mergeCell ref="D22:H23"/>
    <mergeCell ref="A23:C23"/>
    <mergeCell ref="G18:H18"/>
    <mergeCell ref="A19:H19"/>
    <mergeCell ref="A20:H20"/>
    <mergeCell ref="A21:H21"/>
  </mergeCells>
  <pageMargins left="0.7" right="0.7" top="0.75" bottom="0.75" header="0.3" footer="0.3"/>
  <pageSetup paperSize="9"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Props1.xml><?xml version="1.0" encoding="utf-8"?>
<ds:datastoreItem xmlns:ds="http://schemas.openxmlformats.org/officeDocument/2006/customXml" ds:itemID="{F54653BF-A66B-48AF-93A4-15AC752F8C76}"/>
</file>

<file path=customXml/itemProps2.xml><?xml version="1.0" encoding="utf-8"?>
<ds:datastoreItem xmlns:ds="http://schemas.openxmlformats.org/officeDocument/2006/customXml" ds:itemID="{35C0720C-72CC-4C8B-9E9C-9BCF78F10076}"/>
</file>

<file path=customXml/itemProps3.xml><?xml version="1.0" encoding="utf-8"?>
<ds:datastoreItem xmlns:ds="http://schemas.openxmlformats.org/officeDocument/2006/customXml" ds:itemID="{9DEA9882-5C3B-414D-8FB0-00940502C8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Meena K</dc:creator>
  <cp:keywords/>
  <dc:description/>
  <cp:lastModifiedBy>Usha Sri  Pagadala</cp:lastModifiedBy>
  <cp:revision/>
  <dcterms:created xsi:type="dcterms:W3CDTF">2015-06-05T18:17:20Z</dcterms:created>
  <dcterms:modified xsi:type="dcterms:W3CDTF">2024-10-08T13:32:20Z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</Properties>
</file>