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Usha Folder/"/>
    </mc:Choice>
  </mc:AlternateContent>
  <xr:revisionPtr revIDLastSave="509" documentId="8_{3EE54646-F832-44B8-9CC6-EFDCF472B873}" xr6:coauthVersionLast="47" xr6:coauthVersionMax="47" xr10:uidLastSave="{73D5D337-8AF9-4E3F-80DA-37163F3D2420}"/>
  <bookViews>
    <workbookView xWindow="-108" yWindow="-108" windowWidth="23256" windowHeight="12456" firstSheet="3" activeTab="7" xr2:uid="{00000000-000D-0000-FFFF-FFFF00000000}"/>
  </bookViews>
  <sheets>
    <sheet name="Axel Pérez-1" sheetId="2" r:id="rId1"/>
    <sheet name="Axel Pérez-1 (2)" sheetId="22" r:id="rId2"/>
    <sheet name="Axel Pérez-1 (3)" sheetId="23" r:id="rId3"/>
    <sheet name="BrandPluse-1" sheetId="5" r:id="rId4"/>
    <sheet name="BrandPluse-2" sheetId="24" r:id="rId5"/>
    <sheet name="BrandPluse-3" sheetId="25" r:id="rId6"/>
    <sheet name="Brand America-1" sheetId="26" r:id="rId7"/>
    <sheet name="Brand America-2" sheetId="27" r:id="rId8"/>
    <sheet name="Brand America-3" sheetId="28" r:id="rId9"/>
    <sheet name="Brand Anathapur-1" sheetId="29" r:id="rId10"/>
    <sheet name="Brand Anathapur-2" sheetId="30" r:id="rId11"/>
    <sheet name="Brand Anathapur-3" sheetId="31" r:id="rId12"/>
    <sheet name="Brand chennai-1" sheetId="32" r:id="rId13"/>
    <sheet name="Brand chennai-2" sheetId="33" r:id="rId14"/>
    <sheet name="Brand chennai-3" sheetId="34" r:id="rId15"/>
    <sheet name="Brand Dallas-1" sheetId="35" r:id="rId16"/>
    <sheet name="Brand Dallas-2" sheetId="37" r:id="rId17"/>
    <sheet name="Brand Dallas-3" sheetId="36" r:id="rId18"/>
  </sheets>
  <definedNames>
    <definedName name="_xlnm.Print_Area" localSheetId="0">'Axel Pérez-1'!$A$1:$H$34</definedName>
    <definedName name="_xlnm.Print_Area" localSheetId="1">'Axel Pérez-1 (2)'!$A$1:$H$34</definedName>
    <definedName name="_xlnm.Print_Area" localSheetId="2">'Axel Pérez-1 (3)'!$A$1:$H$34</definedName>
    <definedName name="_xlnm.Print_Area" localSheetId="3">'BrandPluse-1'!$A$1:$G$47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36" l="1"/>
  <c r="G43" i="37"/>
  <c r="G43" i="28"/>
  <c r="G43" i="27"/>
  <c r="G43" i="25"/>
  <c r="G43" i="24"/>
  <c r="G43" i="34"/>
  <c r="G43" i="33"/>
  <c r="G43" i="32"/>
  <c r="G43" i="31"/>
  <c r="G43" i="30"/>
  <c r="G43" i="29"/>
  <c r="H14" i="23"/>
  <c r="H23" i="23" s="1"/>
  <c r="H14" i="22"/>
  <c r="H23" i="22" s="1"/>
  <c r="H14" i="2"/>
  <c r="H23" i="2"/>
  <c r="G44" i="36" l="1"/>
  <c r="G45" i="36" s="1"/>
  <c r="G44" i="37"/>
  <c r="G45" i="37" s="1"/>
  <c r="G44" i="28"/>
  <c r="G45" i="28" s="1"/>
  <c r="G44" i="27"/>
  <c r="G45" i="27" s="1"/>
  <c r="G44" i="25"/>
  <c r="G45" i="25" s="1"/>
  <c r="G44" i="24"/>
  <c r="G45" i="24" s="1"/>
  <c r="G44" i="29"/>
  <c r="G45" i="29" s="1"/>
  <c r="H25" i="2"/>
  <c r="H26" i="2" s="1"/>
  <c r="G44" i="34"/>
  <c r="G45" i="34" s="1"/>
  <c r="G44" i="33"/>
  <c r="G45" i="33" s="1"/>
  <c r="G44" i="32"/>
  <c r="G45" i="32" s="1"/>
  <c r="G44" i="31"/>
  <c r="G45" i="31" s="1"/>
  <c r="G44" i="30"/>
  <c r="G45" i="30" s="1"/>
  <c r="H25" i="23"/>
  <c r="H26" i="23" s="1"/>
  <c r="H25" i="22"/>
  <c r="H26" i="22" s="1"/>
</calcChain>
</file>

<file path=xl/sharedStrings.xml><?xml version="1.0" encoding="utf-8"?>
<sst xmlns="http://schemas.openxmlformats.org/spreadsheetml/2006/main" count="399" uniqueCount="98">
  <si>
    <t>INVOICE</t>
  </si>
  <si>
    <t xml:space="preserve">Aroma Group of Restaurants </t>
  </si>
  <si>
    <t xml:space="preserve"> 6844 Elm Street,</t>
  </si>
  <si>
    <t>Los Angeles,CA -46033</t>
  </si>
  <si>
    <t>Bill to :</t>
  </si>
  <si>
    <t>Axel Pérez</t>
  </si>
  <si>
    <t>C/o Steel Horse Motors LA Inc.</t>
  </si>
  <si>
    <t>Date:            1/15/2024</t>
  </si>
  <si>
    <t xml:space="preserve">250 South Broadway, </t>
  </si>
  <si>
    <t>Invoice No.: 820 AXPÉ 11-24</t>
  </si>
  <si>
    <t>Los Angeles, USA, 90012</t>
  </si>
  <si>
    <t>Due Date:    2/14/2024</t>
  </si>
  <si>
    <t>23 555 6789</t>
  </si>
  <si>
    <t>S.No.</t>
  </si>
  <si>
    <t>Description</t>
  </si>
  <si>
    <t>Qty</t>
  </si>
  <si>
    <t>Rate</t>
  </si>
  <si>
    <t>Amount</t>
  </si>
  <si>
    <t>Meal Vouchers</t>
  </si>
  <si>
    <t>(For 1000 employees)</t>
  </si>
  <si>
    <t>SubTotal</t>
  </si>
  <si>
    <t>Tax Rate</t>
  </si>
  <si>
    <t>Tax value</t>
  </si>
  <si>
    <t>Total</t>
  </si>
  <si>
    <t xml:space="preserve">
Payment is required within 15 days from the
 date of this invoice to avoid any late fees.</t>
  </si>
  <si>
    <t>Date:            4/15/2024</t>
  </si>
  <si>
    <t>Invoice No.: 820 AXPÉ 37-24</t>
  </si>
  <si>
    <t>Due Date:    5/14/2024</t>
  </si>
  <si>
    <t>Date:            7/15/2024</t>
  </si>
  <si>
    <t>Invoice No.: 824 AXPÉ 80-24</t>
  </si>
  <si>
    <t>Due Date:    8/14/2024</t>
  </si>
  <si>
    <t>BrandPulse Marketing Australia Inc.</t>
  </si>
  <si>
    <t>BrandPulse Marketing Australia Inc.
200 George Street, The Rocks, 
Sydney, NSW 2000, Australia</t>
  </si>
  <si>
    <t>Steel Horse Motors Australia Inc.</t>
  </si>
  <si>
    <t>Invoice Date:</t>
  </si>
  <si>
    <t>23 Collins Street, Melbourne</t>
  </si>
  <si>
    <t>Invoice Due Date:</t>
  </si>
  <si>
    <t>7/11/2022</t>
  </si>
  <si>
    <t>Australia, VIC 3000</t>
  </si>
  <si>
    <t>Invoice No:</t>
  </si>
  <si>
    <t>82 702 BRAU22</t>
  </si>
  <si>
    <t>Contact : +61 639 654 620</t>
  </si>
  <si>
    <t>DESCRIPTION</t>
  </si>
  <si>
    <t>TOTAL(AUD)</t>
  </si>
  <si>
    <t>Digital Campaign Annual Fee</t>
  </si>
  <si>
    <t>(Includes Email &amp; Social Media marketing)</t>
  </si>
  <si>
    <t>PPC Advertising</t>
  </si>
  <si>
    <t>(Includes google, facebook &amp; linkedIn adds)</t>
  </si>
  <si>
    <t>SUBTOTAL</t>
  </si>
  <si>
    <t>TAX @10%</t>
  </si>
  <si>
    <t>Balance Due</t>
  </si>
  <si>
    <t>“Please note that payment is due within 30 days of the invoice date.”</t>
  </si>
  <si>
    <t>7/11/2023</t>
  </si>
  <si>
    <t>82 812 BRAU23</t>
  </si>
  <si>
    <t>7/11/2024</t>
  </si>
  <si>
    <t>82 702 BRAU24</t>
  </si>
  <si>
    <t>BrandPulse Marketing America Inc.</t>
  </si>
  <si>
    <t>BrandPulse Marketing America Inc.
 441 2nd St SW, 
Washington, DC 205 152</t>
  </si>
  <si>
    <t>Steel Horse Motors America Inc.</t>
  </si>
  <si>
    <t>100 Park Avenue</t>
  </si>
  <si>
    <t>5/09/2022</t>
  </si>
  <si>
    <t>New York, 10166</t>
  </si>
  <si>
    <t>82 119 BRMA22</t>
  </si>
  <si>
    <t>Contact : (22) 555 7890</t>
  </si>
  <si>
    <t>TOTAL($)</t>
  </si>
  <si>
    <t>TAX @5%</t>
  </si>
  <si>
    <t>5/09/2023</t>
  </si>
  <si>
    <t>82 406 BRMA23</t>
  </si>
  <si>
    <t>5/09/2024</t>
  </si>
  <si>
    <t>82 686 BRMA24</t>
  </si>
  <si>
    <t>BrandPulse Marketing Anantapur Pvt Ltd.</t>
  </si>
  <si>
    <t>Steel Horse Motors Anantapur Pvt Ltd.
 15 Bellary Road, Anantapur
Andhra Pradesh  515 004.</t>
  </si>
  <si>
    <t>Steel Horse Auto Assembly Anantpur Ltd</t>
  </si>
  <si>
    <t xml:space="preserve">78 Industrial Estate, Anantapur, </t>
  </si>
  <si>
    <t>Andhra Pradesh- 515 001</t>
  </si>
  <si>
    <t>82 357 BRMA22</t>
  </si>
  <si>
    <t>Contact : +91 85542 34567</t>
  </si>
  <si>
    <t xml:space="preserve">TOTAL(₹) </t>
  </si>
  <si>
    <t>82 490 BRMA23</t>
  </si>
  <si>
    <t>82 583 BRMA24</t>
  </si>
  <si>
    <t>BrandPulse Marketing Chennai Pvt Ltd.</t>
  </si>
  <si>
    <t>Steel Horse Auto Assembly Chennai Ltd
11Cathedral Road, Chennai
Tamil Nadu 600 086.</t>
  </si>
  <si>
    <t>Steel Horse Motors Chennai Pvt Ltd.</t>
  </si>
  <si>
    <t>55 Mount Road, Chennai</t>
  </si>
  <si>
    <t>Tamil Nadu - 600 002</t>
  </si>
  <si>
    <t>81 548 BRMA22</t>
  </si>
  <si>
    <t>Contact : +91 91206 30359</t>
  </si>
  <si>
    <t>81 673 BRMA23</t>
  </si>
  <si>
    <t>81 866 BRMA24</t>
  </si>
  <si>
    <t>BrandPulse Marketing Dallas Inc.</t>
  </si>
  <si>
    <t>BrandPulse Marketing Dallas Inc.
901 Main Street, Dallas
TX 75202.</t>
  </si>
  <si>
    <t>Steel Horse Motors Dallas Inc.</t>
  </si>
  <si>
    <t>2200 Ross Avenue</t>
  </si>
  <si>
    <t>Dallas 75201</t>
  </si>
  <si>
    <t>82 491 BRMA22</t>
  </si>
  <si>
    <t>Contact : (24) 555 2345</t>
  </si>
  <si>
    <t>82 556 BRMA23</t>
  </si>
  <si>
    <t>82 679 BRMA24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</si>
</sst>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&quot;$&quot;#,##0.0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7" tint="-0.499984740745262"/>
      <name val="Arial"/>
      <family val="2"/>
    </font>
    <font>
      <b/>
      <sz val="11"/>
      <color theme="7" tint="-0.499984740745262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name val="Arial"/>
      <family val="2"/>
    </font>
    <font>
      <b/>
      <sz val="24"/>
      <color theme="1"/>
      <name val="Roboto"/>
    </font>
    <font>
      <sz val="20"/>
      <color theme="5"/>
      <name val="Roboto"/>
    </font>
    <font>
      <i/>
      <sz val="11"/>
      <color rgb="FF434343"/>
      <name val="Roboto"/>
    </font>
    <font>
      <sz val="12"/>
      <color rgb="FF000000"/>
      <name val="Roboto"/>
    </font>
    <font>
      <sz val="10"/>
      <color rgb="FF000000"/>
      <name val="Roboto"/>
    </font>
    <font>
      <sz val="9"/>
      <color rgb="FF000000"/>
      <name val="Roboto"/>
    </font>
    <font>
      <b/>
      <sz val="10"/>
      <color rgb="FF000000"/>
      <name val="Roboto"/>
    </font>
    <font>
      <sz val="10"/>
      <name val="Arial"/>
      <family val="2"/>
    </font>
    <font>
      <b/>
      <sz val="12"/>
      <color rgb="FF333F4F"/>
      <name val="Roboto"/>
    </font>
    <font>
      <b/>
      <sz val="8"/>
      <color rgb="FF333F4F"/>
      <name val="Roboto"/>
    </font>
    <font>
      <sz val="18"/>
      <color rgb="FF333F4F"/>
      <name val="Roboto"/>
    </font>
    <font>
      <b/>
      <sz val="12"/>
      <color theme="1"/>
      <name val="Roboto"/>
    </font>
    <font>
      <b/>
      <sz val="10"/>
      <name val="Arial"/>
      <family val="2"/>
    </font>
    <font>
      <b/>
      <sz val="22"/>
      <color rgb="FF000000"/>
      <name val="Arial"/>
      <family val="2"/>
    </font>
    <font>
      <b/>
      <sz val="22"/>
      <color theme="7" tint="-0.499984740745262"/>
      <name val="Arial"/>
      <family val="2"/>
    </font>
    <font>
      <i/>
      <sz val="11"/>
      <color rgb="FF000000"/>
      <name val="Arial"/>
    </font>
    <font>
      <b/>
      <sz val="12"/>
      <color theme="1"/>
      <name val="Arial"/>
      <family val="2"/>
    </font>
    <font>
      <b/>
      <sz val="11"/>
      <color rgb="FF111111"/>
      <name val="-Apple-System"/>
      <charset val="1"/>
    </font>
    <font>
      <sz val="11"/>
      <name val="Arial"/>
      <family val="2"/>
    </font>
    <font>
      <i/>
      <sz val="9"/>
      <color rgb="FF000000"/>
      <name val="Roboto"/>
    </font>
    <font>
      <i/>
      <sz val="10"/>
      <name val="Arial"/>
      <family val="2"/>
    </font>
    <font>
      <b/>
      <sz val="20"/>
      <color rgb="FF000000"/>
      <name val="Roboto"/>
    </font>
    <font>
      <b/>
      <sz val="12"/>
      <color rgb="FF000000"/>
      <name val="Roboto"/>
    </font>
    <font>
      <sz val="12"/>
      <color rgb="FF333F4F"/>
      <name val="Roboto"/>
    </font>
    <font>
      <b/>
      <u/>
      <sz val="10"/>
      <color rgb="FF000000"/>
      <name val="Roboto"/>
    </font>
    <font>
      <b/>
      <u/>
      <sz val="24"/>
      <color theme="1"/>
      <name val="Roboto"/>
    </font>
    <font>
      <b/>
      <i/>
      <sz val="9"/>
      <color rgb="FF000000"/>
      <name val="Roboto"/>
    </font>
    <font>
      <b/>
      <u/>
      <sz val="9"/>
      <color rgb="FF000000"/>
      <name val="Roboto"/>
    </font>
    <font>
      <b/>
      <u/>
      <sz val="11"/>
      <color rgb="FF000000"/>
      <name val="Roboto"/>
    </font>
    <font>
      <b/>
      <sz val="10"/>
      <color rgb="FF111111"/>
      <name val="-Apple-System"/>
      <charset val="1"/>
    </font>
    <font>
      <b/>
      <sz val="18"/>
      <color rgb="FF000000"/>
      <name val="Roboto"/>
    </font>
    <font>
      <sz val="11"/>
      <color theme="1"/>
      <name val="Arial"/>
    </font>
    <font>
      <sz val="11"/>
      <color rgb="FF242424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b/>
      <sz val="14"/>
      <color theme="7" tint="-0.499984740745262"/>
      <name val="Arial"/>
    </font>
    <font>
      <b/>
      <sz val="10"/>
      <color theme="7" tint="-0.499984740745262"/>
      <name val="Arial"/>
      <family val="2"/>
    </font>
    <font>
      <b/>
      <sz val="14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AE5A5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8" fillId="3" borderId="0" xfId="0" applyFont="1" applyFill="1" applyAlignment="1">
      <alignment horizontal="center" vertical="center"/>
    </xf>
    <xf numFmtId="0" fontId="10" fillId="3" borderId="7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/>
    </xf>
    <xf numFmtId="0" fontId="0" fillId="3" borderId="10" xfId="0" applyFill="1" applyBorder="1"/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2" fontId="13" fillId="3" borderId="8" xfId="0" applyNumberFormat="1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right"/>
    </xf>
    <xf numFmtId="0" fontId="17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horizontal="center" vertical="center" wrapText="1"/>
    </xf>
    <xf numFmtId="3" fontId="13" fillId="3" borderId="8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3" fontId="19" fillId="3" borderId="8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30" fillId="3" borderId="0" xfId="0" applyFont="1" applyFill="1" applyAlignment="1">
      <alignment horizontal="right" vertical="center"/>
    </xf>
    <xf numFmtId="0" fontId="31" fillId="3" borderId="0" xfId="0" applyFont="1" applyFill="1" applyAlignment="1">
      <alignment horizontal="right"/>
    </xf>
    <xf numFmtId="0" fontId="32" fillId="3" borderId="8" xfId="0" applyFont="1" applyFill="1" applyBorder="1" applyAlignment="1">
      <alignment horizontal="center" vertical="center"/>
    </xf>
    <xf numFmtId="0" fontId="34" fillId="3" borderId="11" xfId="0" applyFont="1" applyFill="1" applyBorder="1" applyAlignment="1">
      <alignment horizontal="left" vertical="center"/>
    </xf>
    <xf numFmtId="0" fontId="35" fillId="3" borderId="0" xfId="0" applyFont="1" applyFill="1" applyAlignment="1">
      <alignment horizontal="left" vertical="center"/>
    </xf>
    <xf numFmtId="0" fontId="36" fillId="3" borderId="8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5" fillId="3" borderId="0" xfId="0" applyFont="1" applyFill="1"/>
    <xf numFmtId="0" fontId="21" fillId="2" borderId="16" xfId="0" applyFont="1" applyFill="1" applyBorder="1" applyAlignment="1">
      <alignment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9" fontId="2" fillId="2" borderId="16" xfId="1" applyFont="1" applyFill="1" applyBorder="1" applyAlignment="1">
      <alignment horizontal="center" vertical="center"/>
    </xf>
    <xf numFmtId="164" fontId="2" fillId="2" borderId="16" xfId="1" applyNumberFormat="1" applyFont="1" applyFill="1" applyBorder="1" applyAlignment="1">
      <alignment horizontal="center" vertical="center"/>
    </xf>
    <xf numFmtId="165" fontId="24" fillId="2" borderId="16" xfId="0" applyNumberFormat="1" applyFont="1" applyFill="1" applyBorder="1" applyAlignment="1">
      <alignment horizontal="center" vertical="center"/>
    </xf>
    <xf numFmtId="14" fontId="40" fillId="3" borderId="8" xfId="0" applyNumberFormat="1" applyFont="1" applyFill="1" applyBorder="1" applyAlignment="1">
      <alignment horizontal="left"/>
    </xf>
    <xf numFmtId="49" fontId="42" fillId="3" borderId="3" xfId="0" applyNumberFormat="1" applyFont="1" applyFill="1" applyBorder="1" applyAlignment="1">
      <alignment horizontal="left" vertical="top"/>
    </xf>
    <xf numFmtId="0" fontId="43" fillId="3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27" fillId="3" borderId="10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/>
    </xf>
    <xf numFmtId="0" fontId="25" fillId="3" borderId="10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/>
    </xf>
    <xf numFmtId="0" fontId="36" fillId="3" borderId="0" xfId="0" applyFont="1" applyFill="1" applyAlignment="1">
      <alignment horizontal="center" vertical="center"/>
    </xf>
    <xf numFmtId="0" fontId="43" fillId="3" borderId="3" xfId="0" applyFont="1" applyFill="1" applyBorder="1" applyAlignment="1">
      <alignment horizontal="left" vertical="center"/>
    </xf>
    <xf numFmtId="0" fontId="0" fillId="3" borderId="0" xfId="0" applyFill="1"/>
    <xf numFmtId="0" fontId="37" fillId="3" borderId="10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/>
    </xf>
    <xf numFmtId="0" fontId="13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/>
    </xf>
    <xf numFmtId="0" fontId="18" fillId="3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6" fillId="2" borderId="19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6" fillId="2" borderId="20" xfId="0" applyFont="1" applyFill="1" applyBorder="1" applyAlignment="1">
      <alignment horizontal="center" vertical="center" wrapText="1"/>
    </xf>
    <xf numFmtId="0" fontId="46" fillId="2" borderId="15" xfId="0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46" fillId="2" borderId="16" xfId="0" applyFont="1" applyFill="1" applyBorder="1" applyAlignment="1">
      <alignment horizontal="center" vertical="center" wrapText="1"/>
    </xf>
    <xf numFmtId="0" fontId="46" fillId="2" borderId="21" xfId="0" applyFont="1" applyFill="1" applyBorder="1" applyAlignment="1">
      <alignment horizontal="center" vertical="center" wrapText="1"/>
    </xf>
    <xf numFmtId="0" fontId="46" fillId="2" borderId="22" xfId="0" applyFont="1" applyFill="1" applyBorder="1" applyAlignment="1">
      <alignment horizontal="center" vertical="center" wrapText="1"/>
    </xf>
    <xf numFmtId="0" fontId="46" fillId="2" borderId="23" xfId="0" applyFont="1" applyFill="1" applyBorder="1" applyAlignment="1">
      <alignment horizontal="center" vertical="center" wrapText="1"/>
    </xf>
    <xf numFmtId="0" fontId="39" fillId="2" borderId="15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39" fillId="2" borderId="0" xfId="0" applyFont="1" applyFill="1" applyAlignment="1">
      <alignment horizontal="left" vertical="center"/>
    </xf>
    <xf numFmtId="0" fontId="39" fillId="2" borderId="16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16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45" fillId="2" borderId="15" xfId="0" applyFont="1" applyFill="1" applyBorder="1" applyAlignment="1">
      <alignment vertical="center" wrapText="1"/>
    </xf>
    <xf numFmtId="0" fontId="45" fillId="2" borderId="0" xfId="0" applyFont="1" applyFill="1" applyAlignment="1">
      <alignment vertical="center" wrapText="1"/>
    </xf>
    <xf numFmtId="0" fontId="22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16" xfId="0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4" fillId="2" borderId="15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4" fillId="2" borderId="0" xfId="0" applyFont="1" applyFill="1" applyAlignment="1">
      <alignment horizontal="right" vertical="center"/>
    </xf>
    <xf numFmtId="0" fontId="44" fillId="2" borderId="16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3" fillId="3" borderId="6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37" fillId="3" borderId="10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/>
    </xf>
    <xf numFmtId="0" fontId="29" fillId="3" borderId="7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10" fillId="3" borderId="7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left" vertical="center"/>
    </xf>
    <xf numFmtId="0" fontId="41" fillId="3" borderId="0" xfId="0" applyFont="1" applyFill="1" applyAlignment="1">
      <alignment horizontal="left" vertical="top"/>
    </xf>
    <xf numFmtId="0" fontId="13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/>
    </xf>
    <xf numFmtId="0" fontId="13" fillId="3" borderId="10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center" vertical="center"/>
    </xf>
    <xf numFmtId="0" fontId="36" fillId="3" borderId="10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25" fillId="3" borderId="10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/>
    </xf>
    <xf numFmtId="0" fontId="38" fillId="3" borderId="7" xfId="0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 wrapText="1"/>
    </xf>
    <xf numFmtId="0" fontId="15" fillId="3" borderId="0" xfId="0" applyFont="1" applyFill="1" applyAlignment="1"/>
    <xf numFmtId="0" fontId="0" fillId="3" borderId="0" xfId="0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AE5A5"/>
      <color rgb="FFF7DC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1</xdr:col>
      <xdr:colOff>514350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EA9D0D-6C16-0752-5905-69EC7FD3E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76200"/>
          <a:ext cx="1076325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1</xdr:col>
      <xdr:colOff>514350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BAF97-CC04-4B36-8ACF-E859371BA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76200"/>
          <a:ext cx="1076325" cy="1009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1</xdr:col>
      <xdr:colOff>514350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C8DB1-4726-40B5-A83A-E0A371F6D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76200"/>
          <a:ext cx="1076325" cy="1009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3D74C-8EC7-08E7-3069-6A2285C3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8AADE0-056C-425F-A545-6B4A6904C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DA15A2-957D-4DD7-A9C1-F3F89A303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B8B7E-8C9C-4DEC-82FB-71A1DF7CE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C18F8-B92B-45AD-873D-997853379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690FF6-5A03-4CF6-8B34-2697630ED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DD717D-0777-4E35-AEED-AF465605B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326C9-FC98-4731-8103-F32DBB3A5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C9DD1D-A7C7-4F41-B9D7-10BFEC478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FDDE6-660D-4C2F-9512-511E67D26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2D3A6D-5D4D-40C3-83B8-49F8722F7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F8022-5EA4-4C15-9126-642AA72B5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A3B68-3481-4430-8184-5C81451F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DB966-2BE6-47F5-8714-4CECF4906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76200</xdr:rowOff>
    </xdr:from>
    <xdr:to>
      <xdr:col>6</xdr:col>
      <xdr:colOff>981075</xdr:colOff>
      <xdr:row>3</xdr:row>
      <xdr:rowOff>466725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D8714F-018D-43A2-A3FF-A30AC9679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76200"/>
          <a:ext cx="1285875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E296-FDD6-4101-856A-1DE94BC298E5}">
  <sheetPr>
    <pageSetUpPr fitToPage="1"/>
  </sheetPr>
  <dimension ref="A1:H34"/>
  <sheetViews>
    <sheetView workbookViewId="0">
      <selection activeCell="F9" sqref="F9:H9"/>
    </sheetView>
  </sheetViews>
  <sheetFormatPr defaultRowHeight="14.45"/>
  <cols>
    <col min="5" max="5" width="11.5703125" customWidth="1"/>
    <col min="8" max="8" width="13.85546875" customWidth="1"/>
  </cols>
  <sheetData>
    <row r="1" spans="1:8" ht="28.15">
      <c r="A1" s="101"/>
      <c r="B1" s="97"/>
      <c r="C1" s="97" t="s">
        <v>0</v>
      </c>
      <c r="D1" s="97"/>
      <c r="E1" s="97"/>
      <c r="F1" s="97"/>
      <c r="G1" s="97"/>
      <c r="H1" s="98"/>
    </row>
    <row r="2" spans="1:8" ht="17.45">
      <c r="A2" s="102"/>
      <c r="B2" s="103"/>
      <c r="C2" s="107"/>
      <c r="D2" s="107"/>
      <c r="E2" s="107" t="s">
        <v>1</v>
      </c>
      <c r="F2" s="107"/>
      <c r="G2" s="107"/>
      <c r="H2" s="108"/>
    </row>
    <row r="3" spans="1:8" ht="15" customHeight="1">
      <c r="A3" s="102"/>
      <c r="B3" s="103"/>
      <c r="C3" s="99" t="s">
        <v>2</v>
      </c>
      <c r="D3" s="99"/>
      <c r="E3" s="99"/>
      <c r="F3" s="99"/>
      <c r="G3" s="99"/>
      <c r="H3" s="100"/>
    </row>
    <row r="4" spans="1:8" ht="15" customHeight="1">
      <c r="A4" s="102"/>
      <c r="B4" s="103"/>
      <c r="C4" s="99" t="s">
        <v>3</v>
      </c>
      <c r="D4" s="99"/>
      <c r="E4" s="99"/>
      <c r="F4" s="99"/>
      <c r="G4" s="99"/>
      <c r="H4" s="100"/>
    </row>
    <row r="5" spans="1:8" ht="15" customHeight="1">
      <c r="A5" s="102"/>
      <c r="B5" s="103"/>
      <c r="C5" s="45"/>
      <c r="D5" s="45"/>
      <c r="E5" s="45"/>
      <c r="F5" s="45"/>
      <c r="G5" s="46"/>
      <c r="H5" s="33"/>
    </row>
    <row r="6" spans="1:8" ht="15" customHeight="1">
      <c r="A6" s="104" t="s">
        <v>4</v>
      </c>
      <c r="B6" s="86"/>
      <c r="C6" s="45"/>
      <c r="D6" s="45"/>
      <c r="E6" s="45"/>
      <c r="F6" s="45"/>
      <c r="G6" s="46"/>
      <c r="H6" s="33"/>
    </row>
    <row r="7" spans="1:8" ht="15" customHeight="1">
      <c r="A7" s="105" t="s">
        <v>5</v>
      </c>
      <c r="B7" s="106"/>
      <c r="C7" s="47"/>
      <c r="D7" s="47"/>
      <c r="E7" s="47"/>
      <c r="F7" s="47"/>
      <c r="G7" s="46"/>
      <c r="H7" s="33"/>
    </row>
    <row r="8" spans="1:8">
      <c r="A8" s="95" t="s">
        <v>6</v>
      </c>
      <c r="B8" s="96"/>
      <c r="C8" s="96"/>
      <c r="D8" s="96"/>
      <c r="E8" s="96"/>
      <c r="F8" s="82" t="s">
        <v>7</v>
      </c>
      <c r="G8" s="82"/>
      <c r="H8" s="83"/>
    </row>
    <row r="9" spans="1:8">
      <c r="A9" s="84" t="s">
        <v>8</v>
      </c>
      <c r="B9" s="85"/>
      <c r="C9" s="85"/>
      <c r="D9" s="85"/>
      <c r="E9" s="85"/>
      <c r="F9" s="82" t="s">
        <v>9</v>
      </c>
      <c r="G9" s="82"/>
      <c r="H9" s="83"/>
    </row>
    <row r="10" spans="1:8">
      <c r="A10" s="80" t="s">
        <v>10</v>
      </c>
      <c r="B10" s="81"/>
      <c r="C10" s="81"/>
      <c r="D10" s="81"/>
      <c r="E10" s="81"/>
      <c r="F10" s="82" t="s">
        <v>11</v>
      </c>
      <c r="G10" s="82"/>
      <c r="H10" s="83"/>
    </row>
    <row r="11" spans="1:8">
      <c r="A11" s="84" t="s">
        <v>12</v>
      </c>
      <c r="B11" s="85"/>
      <c r="C11" s="85"/>
      <c r="D11" s="85"/>
      <c r="E11" s="85"/>
      <c r="F11" s="86"/>
      <c r="G11" s="86"/>
      <c r="H11" s="87"/>
    </row>
    <row r="12" spans="1:8">
      <c r="A12" s="84"/>
      <c r="B12" s="85"/>
      <c r="C12" s="85"/>
      <c r="D12" s="85"/>
      <c r="E12" s="85"/>
      <c r="F12" s="85"/>
      <c r="G12" s="85"/>
      <c r="H12" s="93"/>
    </row>
    <row r="13" spans="1:8" ht="15.6">
      <c r="A13" s="34" t="s">
        <v>13</v>
      </c>
      <c r="B13" s="94" t="s">
        <v>14</v>
      </c>
      <c r="C13" s="94"/>
      <c r="D13" s="94"/>
      <c r="E13" s="94"/>
      <c r="F13" s="48" t="s">
        <v>15</v>
      </c>
      <c r="G13" s="48" t="s">
        <v>16</v>
      </c>
      <c r="H13" s="35" t="s">
        <v>17</v>
      </c>
    </row>
    <row r="14" spans="1:8">
      <c r="A14" s="36">
        <v>1</v>
      </c>
      <c r="B14" s="64" t="s">
        <v>18</v>
      </c>
      <c r="C14" s="64"/>
      <c r="D14" s="64"/>
      <c r="E14" s="64"/>
      <c r="F14" s="49">
        <v>1000</v>
      </c>
      <c r="G14" s="50">
        <v>15</v>
      </c>
      <c r="H14" s="37">
        <f>F14*G14</f>
        <v>15000</v>
      </c>
    </row>
    <row r="15" spans="1:8">
      <c r="A15" s="36"/>
      <c r="B15" s="67" t="s">
        <v>19</v>
      </c>
      <c r="C15" s="64"/>
      <c r="D15" s="64"/>
      <c r="E15" s="64"/>
      <c r="F15" s="51"/>
      <c r="G15" s="49"/>
      <c r="H15" s="38"/>
    </row>
    <row r="16" spans="1:8">
      <c r="A16" s="36"/>
      <c r="B16" s="64"/>
      <c r="C16" s="64"/>
      <c r="D16" s="64"/>
      <c r="E16" s="64"/>
      <c r="F16" s="49"/>
      <c r="G16" s="49"/>
      <c r="H16" s="38"/>
    </row>
    <row r="17" spans="1:8">
      <c r="A17" s="36"/>
      <c r="B17" s="64"/>
      <c r="C17" s="64"/>
      <c r="D17" s="64"/>
      <c r="E17" s="64"/>
      <c r="F17" s="49"/>
      <c r="G17" s="49"/>
      <c r="H17" s="38"/>
    </row>
    <row r="18" spans="1:8">
      <c r="A18" s="36"/>
      <c r="B18" s="64"/>
      <c r="C18" s="64"/>
      <c r="D18" s="64"/>
      <c r="E18" s="64"/>
      <c r="F18" s="49"/>
      <c r="G18" s="49"/>
      <c r="H18" s="38"/>
    </row>
    <row r="19" spans="1:8">
      <c r="A19" s="36"/>
      <c r="B19" s="64"/>
      <c r="C19" s="64"/>
      <c r="D19" s="64"/>
      <c r="E19" s="64"/>
      <c r="F19" s="49"/>
      <c r="G19" s="49"/>
      <c r="H19" s="38"/>
    </row>
    <row r="20" spans="1:8">
      <c r="A20" s="36"/>
      <c r="B20" s="64"/>
      <c r="C20" s="64"/>
      <c r="D20" s="64"/>
      <c r="E20" s="64"/>
      <c r="F20" s="49"/>
      <c r="G20" s="49"/>
      <c r="H20" s="38"/>
    </row>
    <row r="21" spans="1:8">
      <c r="A21" s="36"/>
      <c r="B21" s="64"/>
      <c r="C21" s="64"/>
      <c r="D21" s="64"/>
      <c r="E21" s="64"/>
      <c r="F21" s="49"/>
      <c r="G21" s="49"/>
      <c r="H21" s="38"/>
    </row>
    <row r="22" spans="1:8">
      <c r="A22" s="65"/>
      <c r="B22" s="64"/>
      <c r="C22" s="64"/>
      <c r="D22" s="64"/>
      <c r="E22" s="64"/>
      <c r="F22" s="64"/>
      <c r="G22" s="64"/>
      <c r="H22" s="66"/>
    </row>
    <row r="23" spans="1:8" ht="17.45">
      <c r="A23" s="91"/>
      <c r="B23" s="92"/>
      <c r="C23" s="92"/>
      <c r="D23" s="92"/>
      <c r="E23" s="92"/>
      <c r="F23" s="85" t="s">
        <v>20</v>
      </c>
      <c r="G23" s="85"/>
      <c r="H23" s="37">
        <f>SUM(H14:H21)</f>
        <v>15000</v>
      </c>
    </row>
    <row r="24" spans="1:8">
      <c r="A24" s="88"/>
      <c r="B24" s="89"/>
      <c r="C24" s="89"/>
      <c r="D24" s="89"/>
      <c r="E24" s="89"/>
      <c r="F24" s="85" t="s">
        <v>21</v>
      </c>
      <c r="G24" s="85"/>
      <c r="H24" s="39">
        <v>0.04</v>
      </c>
    </row>
    <row r="25" spans="1:8">
      <c r="A25" s="88"/>
      <c r="B25" s="89"/>
      <c r="C25" s="89"/>
      <c r="D25" s="89"/>
      <c r="E25" s="89"/>
      <c r="F25" s="85" t="s">
        <v>22</v>
      </c>
      <c r="G25" s="85"/>
      <c r="H25" s="40">
        <f>H23*H24</f>
        <v>600</v>
      </c>
    </row>
    <row r="26" spans="1:8" ht="21">
      <c r="A26" s="88"/>
      <c r="B26" s="89"/>
      <c r="C26" s="89"/>
      <c r="D26" s="89"/>
      <c r="E26" s="89"/>
      <c r="F26" s="90" t="s">
        <v>23</v>
      </c>
      <c r="G26" s="90"/>
      <c r="H26" s="41">
        <f>H23+H25</f>
        <v>15600</v>
      </c>
    </row>
    <row r="27" spans="1:8">
      <c r="A27" s="68"/>
      <c r="B27" s="69"/>
      <c r="C27" s="69"/>
      <c r="D27" s="69"/>
      <c r="E27" s="69"/>
      <c r="F27" s="69"/>
      <c r="G27" s="69"/>
      <c r="H27" s="70"/>
    </row>
    <row r="28" spans="1:8" ht="13.5" customHeight="1">
      <c r="A28" s="71" t="s">
        <v>24</v>
      </c>
      <c r="B28" s="72"/>
      <c r="C28" s="72"/>
      <c r="D28" s="72"/>
      <c r="E28" s="72"/>
      <c r="F28" s="72"/>
      <c r="G28" s="72"/>
      <c r="H28" s="73"/>
    </row>
    <row r="29" spans="1:8">
      <c r="A29" s="74"/>
      <c r="B29" s="75"/>
      <c r="C29" s="75"/>
      <c r="D29" s="75"/>
      <c r="E29" s="75"/>
      <c r="F29" s="75"/>
      <c r="G29" s="75"/>
      <c r="H29" s="76"/>
    </row>
    <row r="30" spans="1:8">
      <c r="A30" s="74"/>
      <c r="B30" s="75"/>
      <c r="C30" s="75"/>
      <c r="D30" s="75"/>
      <c r="E30" s="75"/>
      <c r="F30" s="75"/>
      <c r="G30" s="75"/>
      <c r="H30" s="76"/>
    </row>
    <row r="31" spans="1:8">
      <c r="A31" s="74"/>
      <c r="B31" s="75"/>
      <c r="C31" s="75"/>
      <c r="D31" s="75"/>
      <c r="E31" s="75"/>
      <c r="F31" s="75"/>
      <c r="G31" s="75"/>
      <c r="H31" s="76"/>
    </row>
    <row r="32" spans="1:8">
      <c r="A32" s="74"/>
      <c r="B32" s="75"/>
      <c r="C32" s="75"/>
      <c r="D32" s="75"/>
      <c r="E32" s="75"/>
      <c r="F32" s="75"/>
      <c r="G32" s="75"/>
      <c r="H32" s="76"/>
    </row>
    <row r="33" spans="1:8">
      <c r="A33" s="74"/>
      <c r="B33" s="75"/>
      <c r="C33" s="75"/>
      <c r="D33" s="75"/>
      <c r="E33" s="75"/>
      <c r="F33" s="75"/>
      <c r="G33" s="75"/>
      <c r="H33" s="76"/>
    </row>
    <row r="34" spans="1:8">
      <c r="A34" s="77"/>
      <c r="B34" s="78"/>
      <c r="C34" s="78"/>
      <c r="D34" s="78"/>
      <c r="E34" s="78"/>
      <c r="F34" s="78"/>
      <c r="G34" s="78"/>
      <c r="H34" s="79"/>
    </row>
  </sheetData>
  <mergeCells count="37">
    <mergeCell ref="A9:E9"/>
    <mergeCell ref="F9:H9"/>
    <mergeCell ref="A8:E8"/>
    <mergeCell ref="F8:H8"/>
    <mergeCell ref="C1:H1"/>
    <mergeCell ref="C3:H3"/>
    <mergeCell ref="C4:H4"/>
    <mergeCell ref="A1:B5"/>
    <mergeCell ref="A6:B6"/>
    <mergeCell ref="A7:B7"/>
    <mergeCell ref="C2:D2"/>
    <mergeCell ref="E2:H2"/>
    <mergeCell ref="A27:H27"/>
    <mergeCell ref="A28:H34"/>
    <mergeCell ref="A10:E10"/>
    <mergeCell ref="F10:H10"/>
    <mergeCell ref="A11:E11"/>
    <mergeCell ref="F11:H11"/>
    <mergeCell ref="A24:E24"/>
    <mergeCell ref="F24:G24"/>
    <mergeCell ref="A25:E25"/>
    <mergeCell ref="F25:G25"/>
    <mergeCell ref="A26:E26"/>
    <mergeCell ref="F26:G26"/>
    <mergeCell ref="A23:E23"/>
    <mergeCell ref="F23:G23"/>
    <mergeCell ref="A12:H12"/>
    <mergeCell ref="B13:E13"/>
    <mergeCell ref="B19:E19"/>
    <mergeCell ref="B20:E20"/>
    <mergeCell ref="B21:E21"/>
    <mergeCell ref="A22:H22"/>
    <mergeCell ref="B14:E14"/>
    <mergeCell ref="B15:E15"/>
    <mergeCell ref="B16:E16"/>
    <mergeCell ref="B17:E17"/>
    <mergeCell ref="B18:E18"/>
  </mergeCells>
  <pageMargins left="0.7" right="0.7" top="0.75" bottom="0.75" header="0.3" footer="0.3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D51D-554B-40E0-8C7C-54DAD226A783}">
  <sheetPr>
    <pageSetUpPr fitToPage="1"/>
  </sheetPr>
  <dimension ref="A1:H34"/>
  <sheetViews>
    <sheetView workbookViewId="0">
      <selection activeCell="G20" sqref="G20"/>
    </sheetView>
  </sheetViews>
  <sheetFormatPr defaultRowHeight="14.45"/>
  <cols>
    <col min="5" max="5" width="11.5703125" customWidth="1"/>
    <col min="8" max="8" width="13.85546875" customWidth="1"/>
  </cols>
  <sheetData>
    <row r="1" spans="1:8" ht="28.15">
      <c r="A1" s="101"/>
      <c r="B1" s="97"/>
      <c r="C1" s="97" t="s">
        <v>0</v>
      </c>
      <c r="D1" s="97"/>
      <c r="E1" s="97"/>
      <c r="F1" s="97"/>
      <c r="G1" s="97"/>
      <c r="H1" s="98"/>
    </row>
    <row r="2" spans="1:8" ht="18" customHeight="1">
      <c r="A2" s="102"/>
      <c r="B2" s="103"/>
      <c r="C2" s="110" t="s">
        <v>1</v>
      </c>
      <c r="D2" s="110"/>
      <c r="E2" s="110"/>
      <c r="F2" s="110"/>
      <c r="G2" s="110"/>
      <c r="H2" s="111"/>
    </row>
    <row r="3" spans="1:8" ht="15" customHeight="1">
      <c r="A3" s="102"/>
      <c r="B3" s="103"/>
      <c r="C3" s="99" t="s">
        <v>2</v>
      </c>
      <c r="D3" s="99"/>
      <c r="E3" s="99"/>
      <c r="F3" s="99"/>
      <c r="G3" s="99"/>
      <c r="H3" s="100"/>
    </row>
    <row r="4" spans="1:8" ht="15" customHeight="1">
      <c r="A4" s="102"/>
      <c r="B4" s="103"/>
      <c r="C4" s="99" t="s">
        <v>3</v>
      </c>
      <c r="D4" s="99"/>
      <c r="E4" s="99"/>
      <c r="F4" s="99"/>
      <c r="G4" s="99"/>
      <c r="H4" s="100"/>
    </row>
    <row r="5" spans="1:8" ht="15" customHeight="1">
      <c r="A5" s="102"/>
      <c r="B5" s="103"/>
      <c r="C5" s="45"/>
      <c r="D5" s="45"/>
      <c r="E5" s="45"/>
      <c r="F5" s="45"/>
      <c r="G5" s="46"/>
      <c r="H5" s="33"/>
    </row>
    <row r="6" spans="1:8" ht="15" customHeight="1">
      <c r="A6" s="104" t="s">
        <v>4</v>
      </c>
      <c r="B6" s="86"/>
      <c r="C6" s="45"/>
      <c r="D6" s="45"/>
      <c r="E6" s="45"/>
      <c r="F6" s="45"/>
      <c r="G6" s="46"/>
      <c r="H6" s="33"/>
    </row>
    <row r="7" spans="1:8" ht="15" customHeight="1">
      <c r="A7" s="105" t="s">
        <v>5</v>
      </c>
      <c r="B7" s="106"/>
      <c r="C7" s="47"/>
      <c r="D7" s="47"/>
      <c r="E7" s="47"/>
      <c r="F7" s="45"/>
      <c r="G7" s="46"/>
      <c r="H7" s="33"/>
    </row>
    <row r="8" spans="1:8">
      <c r="A8" s="104" t="s">
        <v>6</v>
      </c>
      <c r="B8" s="86"/>
      <c r="C8" s="86"/>
      <c r="D8" s="86"/>
      <c r="E8" s="86"/>
      <c r="F8" s="89" t="s">
        <v>25</v>
      </c>
      <c r="G8" s="89"/>
      <c r="H8" s="109"/>
    </row>
    <row r="9" spans="1:8">
      <c r="A9" s="84" t="s">
        <v>8</v>
      </c>
      <c r="B9" s="85"/>
      <c r="C9" s="85"/>
      <c r="D9" s="85"/>
      <c r="E9" s="85"/>
      <c r="F9" s="89" t="s">
        <v>26</v>
      </c>
      <c r="G9" s="89"/>
      <c r="H9" s="109"/>
    </row>
    <row r="10" spans="1:8">
      <c r="A10" s="80" t="s">
        <v>10</v>
      </c>
      <c r="B10" s="81"/>
      <c r="C10" s="81"/>
      <c r="D10" s="81"/>
      <c r="E10" s="81"/>
      <c r="F10" s="89" t="s">
        <v>27</v>
      </c>
      <c r="G10" s="89"/>
      <c r="H10" s="109"/>
    </row>
    <row r="11" spans="1:8">
      <c r="A11" s="84" t="s">
        <v>12</v>
      </c>
      <c r="B11" s="85"/>
      <c r="C11" s="85"/>
      <c r="D11" s="85"/>
      <c r="E11" s="85"/>
      <c r="F11" s="86"/>
      <c r="G11" s="86"/>
      <c r="H11" s="87"/>
    </row>
    <row r="12" spans="1:8">
      <c r="A12" s="84"/>
      <c r="B12" s="85"/>
      <c r="C12" s="85"/>
      <c r="D12" s="85"/>
      <c r="E12" s="85"/>
      <c r="F12" s="85"/>
      <c r="G12" s="85"/>
      <c r="H12" s="93"/>
    </row>
    <row r="13" spans="1:8" ht="15.6">
      <c r="A13" s="34" t="s">
        <v>13</v>
      </c>
      <c r="B13" s="94" t="s">
        <v>14</v>
      </c>
      <c r="C13" s="94"/>
      <c r="D13" s="94"/>
      <c r="E13" s="94"/>
      <c r="F13" s="48" t="s">
        <v>15</v>
      </c>
      <c r="G13" s="48" t="s">
        <v>16</v>
      </c>
      <c r="H13" s="35" t="s">
        <v>17</v>
      </c>
    </row>
    <row r="14" spans="1:8">
      <c r="A14" s="36">
        <v>1</v>
      </c>
      <c r="B14" s="64" t="s">
        <v>18</v>
      </c>
      <c r="C14" s="64"/>
      <c r="D14" s="64"/>
      <c r="E14" s="64"/>
      <c r="F14" s="49">
        <v>1000</v>
      </c>
      <c r="G14" s="50">
        <v>15</v>
      </c>
      <c r="H14" s="37">
        <f>F14*G14</f>
        <v>15000</v>
      </c>
    </row>
    <row r="15" spans="1:8">
      <c r="A15" s="36"/>
      <c r="B15" s="67" t="s">
        <v>19</v>
      </c>
      <c r="C15" s="64"/>
      <c r="D15" s="64"/>
      <c r="E15" s="64"/>
      <c r="F15" s="51"/>
      <c r="G15" s="49"/>
      <c r="H15" s="38"/>
    </row>
    <row r="16" spans="1:8">
      <c r="A16" s="36"/>
      <c r="B16" s="64"/>
      <c r="C16" s="64"/>
      <c r="D16" s="64"/>
      <c r="E16" s="64"/>
      <c r="F16" s="49"/>
      <c r="G16" s="49"/>
      <c r="H16" s="38"/>
    </row>
    <row r="17" spans="1:8">
      <c r="A17" s="36"/>
      <c r="B17" s="64"/>
      <c r="C17" s="64"/>
      <c r="D17" s="64"/>
      <c r="E17" s="64"/>
      <c r="F17" s="49"/>
      <c r="G17" s="49"/>
      <c r="H17" s="38"/>
    </row>
    <row r="18" spans="1:8">
      <c r="A18" s="36"/>
      <c r="B18" s="64"/>
      <c r="C18" s="64"/>
      <c r="D18" s="64"/>
      <c r="E18" s="64"/>
      <c r="F18" s="49"/>
      <c r="G18" s="49"/>
      <c r="H18" s="38"/>
    </row>
    <row r="19" spans="1:8">
      <c r="A19" s="36"/>
      <c r="B19" s="64"/>
      <c r="C19" s="64"/>
      <c r="D19" s="64"/>
      <c r="E19" s="64"/>
      <c r="F19" s="49"/>
      <c r="G19" s="49"/>
      <c r="H19" s="38"/>
    </row>
    <row r="20" spans="1:8">
      <c r="A20" s="36"/>
      <c r="B20" s="64"/>
      <c r="C20" s="64"/>
      <c r="D20" s="64"/>
      <c r="E20" s="64"/>
      <c r="F20" s="49"/>
      <c r="G20" s="49"/>
      <c r="H20" s="38"/>
    </row>
    <row r="21" spans="1:8">
      <c r="A21" s="36"/>
      <c r="B21" s="64"/>
      <c r="C21" s="64"/>
      <c r="D21" s="64"/>
      <c r="E21" s="64"/>
      <c r="F21" s="49"/>
      <c r="G21" s="49"/>
      <c r="H21" s="38"/>
    </row>
    <row r="22" spans="1:8">
      <c r="A22" s="65"/>
      <c r="B22" s="64"/>
      <c r="C22" s="64"/>
      <c r="D22" s="64"/>
      <c r="E22" s="64"/>
      <c r="F22" s="64"/>
      <c r="G22" s="64"/>
      <c r="H22" s="66"/>
    </row>
    <row r="23" spans="1:8" ht="17.45">
      <c r="A23" s="91"/>
      <c r="B23" s="92"/>
      <c r="C23" s="92"/>
      <c r="D23" s="92"/>
      <c r="E23" s="92"/>
      <c r="F23" s="85" t="s">
        <v>20</v>
      </c>
      <c r="G23" s="85"/>
      <c r="H23" s="37">
        <f>SUM(H14:H21)</f>
        <v>15000</v>
      </c>
    </row>
    <row r="24" spans="1:8">
      <c r="A24" s="88"/>
      <c r="B24" s="89"/>
      <c r="C24" s="89"/>
      <c r="D24" s="89"/>
      <c r="E24" s="89"/>
      <c r="F24" s="85" t="s">
        <v>21</v>
      </c>
      <c r="G24" s="85"/>
      <c r="H24" s="39">
        <v>0.04</v>
      </c>
    </row>
    <row r="25" spans="1:8">
      <c r="A25" s="88"/>
      <c r="B25" s="89"/>
      <c r="C25" s="89"/>
      <c r="D25" s="89"/>
      <c r="E25" s="89"/>
      <c r="F25" s="85" t="s">
        <v>22</v>
      </c>
      <c r="G25" s="85"/>
      <c r="H25" s="40">
        <f>H23*H24</f>
        <v>600</v>
      </c>
    </row>
    <row r="26" spans="1:8" ht="21">
      <c r="A26" s="88"/>
      <c r="B26" s="89"/>
      <c r="C26" s="89"/>
      <c r="D26" s="89"/>
      <c r="E26" s="89"/>
      <c r="F26" s="90" t="s">
        <v>23</v>
      </c>
      <c r="G26" s="90"/>
      <c r="H26" s="41">
        <f>H23+H25</f>
        <v>15600</v>
      </c>
    </row>
    <row r="27" spans="1:8">
      <c r="A27" s="68"/>
      <c r="B27" s="69"/>
      <c r="C27" s="69"/>
      <c r="D27" s="69"/>
      <c r="E27" s="69"/>
      <c r="F27" s="69"/>
      <c r="G27" s="69"/>
      <c r="H27" s="70"/>
    </row>
    <row r="28" spans="1:8">
      <c r="A28" s="71" t="s">
        <v>24</v>
      </c>
      <c r="B28" s="72"/>
      <c r="C28" s="72"/>
      <c r="D28" s="72"/>
      <c r="E28" s="72"/>
      <c r="F28" s="72"/>
      <c r="G28" s="72"/>
      <c r="H28" s="73"/>
    </row>
    <row r="29" spans="1:8">
      <c r="A29" s="74"/>
      <c r="B29" s="75"/>
      <c r="C29" s="75"/>
      <c r="D29" s="75"/>
      <c r="E29" s="75"/>
      <c r="F29" s="75"/>
      <c r="G29" s="75"/>
      <c r="H29" s="76"/>
    </row>
    <row r="30" spans="1:8">
      <c r="A30" s="74"/>
      <c r="B30" s="75"/>
      <c r="C30" s="75"/>
      <c r="D30" s="75"/>
      <c r="E30" s="75"/>
      <c r="F30" s="75"/>
      <c r="G30" s="75"/>
      <c r="H30" s="76"/>
    </row>
    <row r="31" spans="1:8">
      <c r="A31" s="74"/>
      <c r="B31" s="75"/>
      <c r="C31" s="75"/>
      <c r="D31" s="75"/>
      <c r="E31" s="75"/>
      <c r="F31" s="75"/>
      <c r="G31" s="75"/>
      <c r="H31" s="76"/>
    </row>
    <row r="32" spans="1:8">
      <c r="A32" s="74"/>
      <c r="B32" s="75"/>
      <c r="C32" s="75"/>
      <c r="D32" s="75"/>
      <c r="E32" s="75"/>
      <c r="F32" s="75"/>
      <c r="G32" s="75"/>
      <c r="H32" s="76"/>
    </row>
    <row r="33" spans="1:8" ht="15" customHeight="1">
      <c r="A33" s="74"/>
      <c r="B33" s="75"/>
      <c r="C33" s="75"/>
      <c r="D33" s="75"/>
      <c r="E33" s="75"/>
      <c r="F33" s="75"/>
      <c r="G33" s="75"/>
      <c r="H33" s="76"/>
    </row>
    <row r="34" spans="1:8" ht="15" customHeight="1" thickBot="1">
      <c r="A34" s="77"/>
      <c r="B34" s="78"/>
      <c r="C34" s="78"/>
      <c r="D34" s="78"/>
      <c r="E34" s="78"/>
      <c r="F34" s="78"/>
      <c r="G34" s="78"/>
      <c r="H34" s="79"/>
    </row>
  </sheetData>
  <mergeCells count="36">
    <mergeCell ref="A8:E8"/>
    <mergeCell ref="F8:H8"/>
    <mergeCell ref="A1:B5"/>
    <mergeCell ref="C1:H1"/>
    <mergeCell ref="C2:H2"/>
    <mergeCell ref="C3:H3"/>
    <mergeCell ref="C4:H4"/>
    <mergeCell ref="A6:B6"/>
    <mergeCell ref="A7:B7"/>
    <mergeCell ref="A9:E9"/>
    <mergeCell ref="F9:H9"/>
    <mergeCell ref="A10:E10"/>
    <mergeCell ref="F10:H10"/>
    <mergeCell ref="A11:E11"/>
    <mergeCell ref="F11:H11"/>
    <mergeCell ref="A28:H34"/>
    <mergeCell ref="A23:E23"/>
    <mergeCell ref="F23:G23"/>
    <mergeCell ref="A12:H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A22:H22"/>
    <mergeCell ref="A27:H27"/>
    <mergeCell ref="A24:E24"/>
    <mergeCell ref="F24:G24"/>
    <mergeCell ref="A25:E25"/>
    <mergeCell ref="F25:G25"/>
    <mergeCell ref="A26:E26"/>
    <mergeCell ref="F26:G26"/>
  </mergeCells>
  <pageMargins left="0.7" right="0.7" top="0.75" bottom="0.75" header="0.3" footer="0.3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B630-47D1-4447-8A32-E8A32DA00E21}">
  <sheetPr>
    <pageSetUpPr fitToPage="1"/>
  </sheetPr>
  <dimension ref="A1:H34"/>
  <sheetViews>
    <sheetView topLeftCell="A2" workbookViewId="0">
      <selection activeCell="J28" sqref="J28"/>
    </sheetView>
  </sheetViews>
  <sheetFormatPr defaultRowHeight="14.45"/>
  <cols>
    <col min="5" max="5" width="11.5703125" customWidth="1"/>
    <col min="8" max="8" width="13.85546875" customWidth="1"/>
  </cols>
  <sheetData>
    <row r="1" spans="1:8" ht="28.15">
      <c r="A1" s="101"/>
      <c r="B1" s="97"/>
      <c r="C1" s="97" t="s">
        <v>0</v>
      </c>
      <c r="D1" s="97"/>
      <c r="E1" s="97"/>
      <c r="F1" s="97"/>
      <c r="G1" s="97"/>
      <c r="H1" s="98"/>
    </row>
    <row r="2" spans="1:8" ht="18" customHeight="1">
      <c r="A2" s="102"/>
      <c r="B2" s="103"/>
      <c r="C2" s="110" t="s">
        <v>1</v>
      </c>
      <c r="D2" s="110"/>
      <c r="E2" s="110"/>
      <c r="F2" s="110"/>
      <c r="G2" s="110"/>
      <c r="H2" s="111"/>
    </row>
    <row r="3" spans="1:8" ht="15" customHeight="1">
      <c r="A3" s="102"/>
      <c r="B3" s="103"/>
      <c r="C3" s="99" t="s">
        <v>2</v>
      </c>
      <c r="D3" s="99"/>
      <c r="E3" s="99"/>
      <c r="F3" s="99"/>
      <c r="G3" s="99"/>
      <c r="H3" s="100"/>
    </row>
    <row r="4" spans="1:8" ht="15" customHeight="1">
      <c r="A4" s="102"/>
      <c r="B4" s="103"/>
      <c r="C4" s="99" t="s">
        <v>3</v>
      </c>
      <c r="D4" s="99"/>
      <c r="E4" s="99"/>
      <c r="F4" s="99"/>
      <c r="G4" s="99"/>
      <c r="H4" s="100"/>
    </row>
    <row r="5" spans="1:8" ht="15" customHeight="1">
      <c r="A5" s="102"/>
      <c r="B5" s="103"/>
      <c r="C5" s="45"/>
      <c r="D5" s="45"/>
      <c r="E5" s="45"/>
      <c r="F5" s="45"/>
      <c r="G5" s="46"/>
      <c r="H5" s="33"/>
    </row>
    <row r="6" spans="1:8" ht="15" customHeight="1">
      <c r="A6" s="104" t="s">
        <v>4</v>
      </c>
      <c r="B6" s="86"/>
      <c r="C6" s="45"/>
      <c r="D6" s="45"/>
      <c r="E6" s="45"/>
      <c r="F6" s="45"/>
      <c r="G6" s="46"/>
      <c r="H6" s="33"/>
    </row>
    <row r="7" spans="1:8" ht="15" customHeight="1">
      <c r="A7" s="105" t="s">
        <v>5</v>
      </c>
      <c r="B7" s="106"/>
      <c r="C7" s="47"/>
      <c r="D7" s="47"/>
      <c r="E7" s="47"/>
      <c r="F7" s="45"/>
      <c r="G7" s="46"/>
      <c r="H7" s="33"/>
    </row>
    <row r="8" spans="1:8">
      <c r="A8" s="104" t="s">
        <v>6</v>
      </c>
      <c r="B8" s="86"/>
      <c r="C8" s="86"/>
      <c r="D8" s="86"/>
      <c r="E8" s="86"/>
      <c r="F8" s="89" t="s">
        <v>28</v>
      </c>
      <c r="G8" s="89"/>
      <c r="H8" s="109"/>
    </row>
    <row r="9" spans="1:8">
      <c r="A9" s="84" t="s">
        <v>8</v>
      </c>
      <c r="B9" s="85"/>
      <c r="C9" s="85"/>
      <c r="D9" s="85"/>
      <c r="E9" s="85"/>
      <c r="F9" s="89" t="s">
        <v>29</v>
      </c>
      <c r="G9" s="89"/>
      <c r="H9" s="109"/>
    </row>
    <row r="10" spans="1:8">
      <c r="A10" s="80" t="s">
        <v>10</v>
      </c>
      <c r="B10" s="81"/>
      <c r="C10" s="81"/>
      <c r="D10" s="81"/>
      <c r="E10" s="81"/>
      <c r="F10" s="89" t="s">
        <v>30</v>
      </c>
      <c r="G10" s="89"/>
      <c r="H10" s="109"/>
    </row>
    <row r="11" spans="1:8">
      <c r="A11" s="84" t="s">
        <v>12</v>
      </c>
      <c r="B11" s="85"/>
      <c r="C11" s="85"/>
      <c r="D11" s="85"/>
      <c r="E11" s="85"/>
      <c r="F11" s="86"/>
      <c r="G11" s="86"/>
      <c r="H11" s="87"/>
    </row>
    <row r="12" spans="1:8">
      <c r="A12" s="84"/>
      <c r="B12" s="85"/>
      <c r="C12" s="85"/>
      <c r="D12" s="85"/>
      <c r="E12" s="85"/>
      <c r="F12" s="85"/>
      <c r="G12" s="85"/>
      <c r="H12" s="93"/>
    </row>
    <row r="13" spans="1:8" ht="15.6">
      <c r="A13" s="34" t="s">
        <v>13</v>
      </c>
      <c r="B13" s="94" t="s">
        <v>14</v>
      </c>
      <c r="C13" s="94"/>
      <c r="D13" s="94"/>
      <c r="E13" s="94"/>
      <c r="F13" s="48" t="s">
        <v>15</v>
      </c>
      <c r="G13" s="48" t="s">
        <v>16</v>
      </c>
      <c r="H13" s="35" t="s">
        <v>17</v>
      </c>
    </row>
    <row r="14" spans="1:8">
      <c r="A14" s="36">
        <v>1</v>
      </c>
      <c r="B14" s="64" t="s">
        <v>18</v>
      </c>
      <c r="C14" s="64"/>
      <c r="D14" s="64"/>
      <c r="E14" s="64"/>
      <c r="F14" s="49">
        <v>1000</v>
      </c>
      <c r="G14" s="50">
        <v>15</v>
      </c>
      <c r="H14" s="37">
        <f>F14*G14</f>
        <v>15000</v>
      </c>
    </row>
    <row r="15" spans="1:8">
      <c r="A15" s="36"/>
      <c r="B15" s="67" t="s">
        <v>19</v>
      </c>
      <c r="C15" s="64"/>
      <c r="D15" s="64"/>
      <c r="E15" s="64"/>
      <c r="F15" s="51"/>
      <c r="G15" s="49"/>
      <c r="H15" s="38"/>
    </row>
    <row r="16" spans="1:8">
      <c r="A16" s="36"/>
      <c r="B16" s="64"/>
      <c r="C16" s="64"/>
      <c r="D16" s="64"/>
      <c r="E16" s="64"/>
      <c r="F16" s="49"/>
      <c r="G16" s="49"/>
      <c r="H16" s="38"/>
    </row>
    <row r="17" spans="1:8">
      <c r="A17" s="36"/>
      <c r="B17" s="64"/>
      <c r="C17" s="64"/>
      <c r="D17" s="64"/>
      <c r="E17" s="64"/>
      <c r="F17" s="49"/>
      <c r="G17" s="49"/>
      <c r="H17" s="38"/>
    </row>
    <row r="18" spans="1:8">
      <c r="A18" s="36"/>
      <c r="B18" s="64"/>
      <c r="C18" s="64"/>
      <c r="D18" s="64"/>
      <c r="E18" s="64"/>
      <c r="F18" s="49"/>
      <c r="G18" s="49"/>
      <c r="H18" s="38"/>
    </row>
    <row r="19" spans="1:8">
      <c r="A19" s="36"/>
      <c r="B19" s="64"/>
      <c r="C19" s="64"/>
      <c r="D19" s="64"/>
      <c r="E19" s="64"/>
      <c r="F19" s="49"/>
      <c r="G19" s="49"/>
      <c r="H19" s="38"/>
    </row>
    <row r="20" spans="1:8">
      <c r="A20" s="36"/>
      <c r="B20" s="64"/>
      <c r="C20" s="64"/>
      <c r="D20" s="64"/>
      <c r="E20" s="64"/>
      <c r="F20" s="49"/>
      <c r="G20" s="49"/>
      <c r="H20" s="38"/>
    </row>
    <row r="21" spans="1:8">
      <c r="A21" s="36"/>
      <c r="B21" s="64"/>
      <c r="C21" s="64"/>
      <c r="D21" s="64"/>
      <c r="E21" s="64"/>
      <c r="F21" s="49"/>
      <c r="G21" s="49"/>
      <c r="H21" s="38"/>
    </row>
    <row r="22" spans="1:8">
      <c r="A22" s="65"/>
      <c r="B22" s="64"/>
      <c r="C22" s="64"/>
      <c r="D22" s="64"/>
      <c r="E22" s="64"/>
      <c r="F22" s="64"/>
      <c r="G22" s="64"/>
      <c r="H22" s="66"/>
    </row>
    <row r="23" spans="1:8" ht="17.45">
      <c r="A23" s="91"/>
      <c r="B23" s="92"/>
      <c r="C23" s="92"/>
      <c r="D23" s="92"/>
      <c r="E23" s="92"/>
      <c r="F23" s="85" t="s">
        <v>20</v>
      </c>
      <c r="G23" s="85"/>
      <c r="H23" s="37">
        <f>SUM(H14:H21)</f>
        <v>15000</v>
      </c>
    </row>
    <row r="24" spans="1:8">
      <c r="A24" s="88"/>
      <c r="B24" s="89"/>
      <c r="C24" s="89"/>
      <c r="D24" s="89"/>
      <c r="E24" s="89"/>
      <c r="F24" s="85" t="s">
        <v>21</v>
      </c>
      <c r="G24" s="85"/>
      <c r="H24" s="39">
        <v>0.04</v>
      </c>
    </row>
    <row r="25" spans="1:8">
      <c r="A25" s="88"/>
      <c r="B25" s="89"/>
      <c r="C25" s="89"/>
      <c r="D25" s="89"/>
      <c r="E25" s="89"/>
      <c r="F25" s="85" t="s">
        <v>22</v>
      </c>
      <c r="G25" s="85"/>
      <c r="H25" s="40">
        <f>H23*H24</f>
        <v>600</v>
      </c>
    </row>
    <row r="26" spans="1:8" ht="21">
      <c r="A26" s="88"/>
      <c r="B26" s="89"/>
      <c r="C26" s="89"/>
      <c r="D26" s="89"/>
      <c r="E26" s="89"/>
      <c r="F26" s="90" t="s">
        <v>23</v>
      </c>
      <c r="G26" s="90"/>
      <c r="H26" s="41">
        <f>H23+H25</f>
        <v>15600</v>
      </c>
    </row>
    <row r="27" spans="1:8">
      <c r="A27" s="68"/>
      <c r="B27" s="69"/>
      <c r="C27" s="69"/>
      <c r="D27" s="69"/>
      <c r="E27" s="69"/>
      <c r="F27" s="69"/>
      <c r="G27" s="69"/>
      <c r="H27" s="70"/>
    </row>
    <row r="28" spans="1:8">
      <c r="A28" s="71" t="s">
        <v>24</v>
      </c>
      <c r="B28" s="72"/>
      <c r="C28" s="72"/>
      <c r="D28" s="72"/>
      <c r="E28" s="72"/>
      <c r="F28" s="72"/>
      <c r="G28" s="72"/>
      <c r="H28" s="73"/>
    </row>
    <row r="29" spans="1:8">
      <c r="A29" s="74"/>
      <c r="B29" s="75"/>
      <c r="C29" s="75"/>
      <c r="D29" s="75"/>
      <c r="E29" s="75"/>
      <c r="F29" s="75"/>
      <c r="G29" s="75"/>
      <c r="H29" s="76"/>
    </row>
    <row r="30" spans="1:8">
      <c r="A30" s="74"/>
      <c r="B30" s="75"/>
      <c r="C30" s="75"/>
      <c r="D30" s="75"/>
      <c r="E30" s="75"/>
      <c r="F30" s="75"/>
      <c r="G30" s="75"/>
      <c r="H30" s="76"/>
    </row>
    <row r="31" spans="1:8">
      <c r="A31" s="74"/>
      <c r="B31" s="75"/>
      <c r="C31" s="75"/>
      <c r="D31" s="75"/>
      <c r="E31" s="75"/>
      <c r="F31" s="75"/>
      <c r="G31" s="75"/>
      <c r="H31" s="76"/>
    </row>
    <row r="32" spans="1:8">
      <c r="A32" s="74"/>
      <c r="B32" s="75"/>
      <c r="C32" s="75"/>
      <c r="D32" s="75"/>
      <c r="E32" s="75"/>
      <c r="F32" s="75"/>
      <c r="G32" s="75"/>
      <c r="H32" s="76"/>
    </row>
    <row r="33" spans="1:8" ht="15" customHeight="1">
      <c r="A33" s="74"/>
      <c r="B33" s="75"/>
      <c r="C33" s="75"/>
      <c r="D33" s="75"/>
      <c r="E33" s="75"/>
      <c r="F33" s="75"/>
      <c r="G33" s="75"/>
      <c r="H33" s="76"/>
    </row>
    <row r="34" spans="1:8" ht="15" customHeight="1" thickBot="1">
      <c r="A34" s="77"/>
      <c r="B34" s="78"/>
      <c r="C34" s="78"/>
      <c r="D34" s="78"/>
      <c r="E34" s="78"/>
      <c r="F34" s="78"/>
      <c r="G34" s="78"/>
      <c r="H34" s="79"/>
    </row>
  </sheetData>
  <mergeCells count="36">
    <mergeCell ref="A8:E8"/>
    <mergeCell ref="F8:H8"/>
    <mergeCell ref="A1:B5"/>
    <mergeCell ref="C1:H1"/>
    <mergeCell ref="C2:H2"/>
    <mergeCell ref="C3:H3"/>
    <mergeCell ref="C4:H4"/>
    <mergeCell ref="A6:B6"/>
    <mergeCell ref="A7:B7"/>
    <mergeCell ref="A9:E9"/>
    <mergeCell ref="F9:H9"/>
    <mergeCell ref="A10:E10"/>
    <mergeCell ref="F10:H10"/>
    <mergeCell ref="A11:E11"/>
    <mergeCell ref="F11:H11"/>
    <mergeCell ref="A28:H34"/>
    <mergeCell ref="A23:E23"/>
    <mergeCell ref="F23:G23"/>
    <mergeCell ref="A12:H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A22:H22"/>
    <mergeCell ref="A27:H27"/>
    <mergeCell ref="A24:E24"/>
    <mergeCell ref="F24:G24"/>
    <mergeCell ref="A25:E25"/>
    <mergeCell ref="F25:G25"/>
    <mergeCell ref="A26:E26"/>
    <mergeCell ref="F26:G26"/>
  </mergeCells>
  <pageMargins left="0.7" right="0.7" top="0.75" bottom="0.75" header="0.3" footer="0.3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F698-08AB-40A7-B415-033F395E0657}">
  <dimension ref="A1:G47"/>
  <sheetViews>
    <sheetView topLeftCell="A2" zoomScaleNormal="100" workbookViewId="0">
      <selection activeCell="B37" sqref="B37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24" t="s">
        <v>31</v>
      </c>
      <c r="B2" s="125"/>
      <c r="C2" s="125"/>
      <c r="D2" s="125"/>
      <c r="E2" s="125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32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33</v>
      </c>
      <c r="B6" s="6"/>
      <c r="C6" s="7"/>
      <c r="D6" s="7"/>
      <c r="E6" s="132" t="s">
        <v>34</v>
      </c>
      <c r="F6" s="132"/>
      <c r="G6" s="42">
        <v>44722</v>
      </c>
    </row>
    <row r="7" spans="1:7" ht="15.75">
      <c r="A7" s="5" t="s">
        <v>35</v>
      </c>
      <c r="B7" s="6"/>
      <c r="C7" s="7"/>
      <c r="D7" s="7"/>
      <c r="E7" s="133" t="s">
        <v>36</v>
      </c>
      <c r="F7" s="133"/>
      <c r="G7" s="43" t="s">
        <v>37</v>
      </c>
    </row>
    <row r="8" spans="1:7" ht="15.75">
      <c r="A8" s="5" t="s">
        <v>38</v>
      </c>
      <c r="B8" s="6"/>
      <c r="C8" s="7"/>
      <c r="D8" s="7"/>
      <c r="E8" s="132" t="s">
        <v>39</v>
      </c>
      <c r="F8" s="132"/>
      <c r="G8" s="57" t="s">
        <v>40</v>
      </c>
    </row>
    <row r="9" spans="1:7">
      <c r="A9" s="9" t="s">
        <v>41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19" t="s">
        <v>42</v>
      </c>
      <c r="B12" s="120"/>
      <c r="C12" s="24"/>
      <c r="D12" s="24"/>
      <c r="E12" s="121"/>
      <c r="F12" s="121"/>
      <c r="G12" s="27" t="s">
        <v>43</v>
      </c>
    </row>
    <row r="13" spans="1:7">
      <c r="A13" s="122" t="s">
        <v>44</v>
      </c>
      <c r="B13" s="123"/>
      <c r="C13" s="13"/>
      <c r="D13" s="13"/>
      <c r="E13" s="118"/>
      <c r="F13" s="147"/>
      <c r="G13" s="20">
        <v>300000</v>
      </c>
    </row>
    <row r="14" spans="1:7">
      <c r="A14" s="59"/>
      <c r="B14" s="60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22" t="s">
        <v>46</v>
      </c>
      <c r="B17" s="123"/>
      <c r="C17" s="13"/>
      <c r="D17" s="13"/>
      <c r="E17" s="134"/>
      <c r="F17" s="135"/>
      <c r="G17" s="20">
        <v>180000</v>
      </c>
    </row>
    <row r="18" spans="1:7">
      <c r="A18" s="59"/>
      <c r="B18" s="60"/>
      <c r="C18" s="13"/>
      <c r="D18" s="13"/>
      <c r="E18" s="61"/>
      <c r="F18" s="6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31"/>
      <c r="B21" s="32"/>
      <c r="C21" s="13"/>
      <c r="D21" s="13"/>
      <c r="E21" s="13"/>
      <c r="F21" s="32"/>
      <c r="G21" s="14"/>
    </row>
    <row r="22" spans="1:7">
      <c r="A22" s="136"/>
      <c r="B22" s="147"/>
      <c r="C22" s="13"/>
      <c r="D22" s="13"/>
      <c r="E22" s="118"/>
      <c r="F22" s="147"/>
      <c r="G22" s="14"/>
    </row>
    <row r="23" spans="1:7">
      <c r="A23" s="31"/>
      <c r="B23" s="32"/>
      <c r="C23" s="13"/>
      <c r="D23" s="13"/>
      <c r="E23" s="13"/>
      <c r="F23" s="32"/>
      <c r="G23" s="14"/>
    </row>
    <row r="24" spans="1:7">
      <c r="A24" s="136"/>
      <c r="B24" s="147"/>
      <c r="C24" s="13"/>
      <c r="D24" s="13"/>
      <c r="E24" s="118"/>
      <c r="F24" s="147"/>
      <c r="G24" s="14"/>
    </row>
    <row r="25" spans="1:7">
      <c r="A25" s="31"/>
      <c r="B25" s="32"/>
      <c r="C25" s="13"/>
      <c r="D25" s="13"/>
      <c r="E25" s="13"/>
      <c r="F25" s="32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31"/>
      <c r="B32" s="32"/>
      <c r="C32" s="13"/>
      <c r="D32" s="13"/>
      <c r="E32" s="13"/>
      <c r="F32" s="32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31"/>
      <c r="B40" s="32"/>
      <c r="C40" s="13"/>
      <c r="D40" s="13"/>
      <c r="E40" s="13"/>
      <c r="F40" s="32"/>
      <c r="G40" s="14"/>
    </row>
    <row r="41" spans="1:7">
      <c r="A41" s="136"/>
      <c r="B41" s="147"/>
      <c r="C41" s="13"/>
      <c r="D41" s="13"/>
      <c r="E41" s="118"/>
      <c r="F41" s="147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26"/>
      <c r="D43" s="26"/>
      <c r="E43" s="17"/>
      <c r="F43" s="18" t="s">
        <v>48</v>
      </c>
      <c r="G43" s="20">
        <v>480000</v>
      </c>
    </row>
    <row r="44" spans="1:7" ht="15.75">
      <c r="A44" s="5"/>
      <c r="B44" s="19"/>
      <c r="C44" s="17"/>
      <c r="D44" s="17"/>
      <c r="E44" s="17"/>
      <c r="F44" s="18" t="s">
        <v>49</v>
      </c>
      <c r="G44" s="20">
        <v>48000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v>528000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22:B22"/>
    <mergeCell ref="E22:F22"/>
    <mergeCell ref="A45:B45"/>
    <mergeCell ref="A24:B24"/>
    <mergeCell ref="E24:F24"/>
    <mergeCell ref="A41:B41"/>
    <mergeCell ref="E41:F41"/>
    <mergeCell ref="A42:B42"/>
    <mergeCell ref="E42:F42"/>
    <mergeCell ref="A17:B17"/>
    <mergeCell ref="E17:F17"/>
    <mergeCell ref="A19:B19"/>
    <mergeCell ref="E19:F19"/>
    <mergeCell ref="A20:B20"/>
    <mergeCell ref="E20:F20"/>
    <mergeCell ref="A1:E1"/>
    <mergeCell ref="A3:E3"/>
    <mergeCell ref="A15:B15"/>
    <mergeCell ref="E15:F15"/>
    <mergeCell ref="A12:B12"/>
    <mergeCell ref="E12:F12"/>
    <mergeCell ref="A13:B13"/>
    <mergeCell ref="E13:F13"/>
    <mergeCell ref="A2:E2"/>
    <mergeCell ref="A4:E4"/>
    <mergeCell ref="F1:G4"/>
    <mergeCell ref="E6:F6"/>
    <mergeCell ref="E7:F7"/>
    <mergeCell ref="E8:F8"/>
  </mergeCells>
  <pageMargins left="0.7" right="0.7" top="0.75" bottom="0.75" header="0.3" footer="0.3"/>
  <pageSetup paperSize="9" scale="88" fitToWidth="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248C-DB2E-45DA-89BF-EB4294EA4F9C}">
  <dimension ref="A1:G48"/>
  <sheetViews>
    <sheetView zoomScaleNormal="100" workbookViewId="0">
      <selection activeCell="A28" sqref="A28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24" t="s">
        <v>31</v>
      </c>
      <c r="B2" s="125"/>
      <c r="C2" s="125"/>
      <c r="D2" s="125"/>
      <c r="E2" s="125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32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33</v>
      </c>
      <c r="B6" s="6"/>
      <c r="C6" s="7"/>
      <c r="D6" s="7"/>
      <c r="E6" s="132" t="s">
        <v>34</v>
      </c>
      <c r="F6" s="132"/>
      <c r="G6" s="42">
        <v>45087</v>
      </c>
    </row>
    <row r="7" spans="1:7" ht="15.75">
      <c r="A7" s="5" t="s">
        <v>35</v>
      </c>
      <c r="B7" s="6"/>
      <c r="C7" s="7"/>
      <c r="D7" s="7"/>
      <c r="E7" s="133" t="s">
        <v>36</v>
      </c>
      <c r="F7" s="133"/>
      <c r="G7" s="43" t="s">
        <v>52</v>
      </c>
    </row>
    <row r="8" spans="1:7" ht="15.75">
      <c r="A8" s="5" t="s">
        <v>38</v>
      </c>
      <c r="B8" s="6"/>
      <c r="C8" s="7"/>
      <c r="D8" s="7"/>
      <c r="E8" s="132" t="s">
        <v>39</v>
      </c>
      <c r="F8" s="132"/>
      <c r="G8" s="44" t="s">
        <v>53</v>
      </c>
    </row>
    <row r="9" spans="1:7">
      <c r="A9" s="9" t="s">
        <v>41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43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350000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200000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31"/>
      <c r="B21" s="32"/>
      <c r="C21" s="13"/>
      <c r="D21" s="13"/>
      <c r="E21" s="13"/>
      <c r="F21" s="32"/>
      <c r="G21" s="14"/>
    </row>
    <row r="22" spans="1:7">
      <c r="A22" s="136"/>
      <c r="B22" s="147"/>
      <c r="C22" s="13"/>
      <c r="D22" s="13"/>
      <c r="E22" s="118"/>
      <c r="F22" s="147"/>
      <c r="G22" s="14"/>
    </row>
    <row r="23" spans="1:7">
      <c r="A23" s="31"/>
      <c r="B23" s="32"/>
      <c r="C23" s="13"/>
      <c r="D23" s="13"/>
      <c r="E23" s="13"/>
      <c r="F23" s="32"/>
      <c r="G23" s="14"/>
    </row>
    <row r="24" spans="1:7">
      <c r="A24" s="136"/>
      <c r="B24" s="147"/>
      <c r="C24" s="13"/>
      <c r="D24" s="13"/>
      <c r="E24" s="118"/>
      <c r="F24" s="147"/>
      <c r="G24" s="14"/>
    </row>
    <row r="25" spans="1:7">
      <c r="A25" s="31"/>
      <c r="B25" s="32"/>
      <c r="C25" s="13"/>
      <c r="D25" s="13"/>
      <c r="E25" s="13"/>
      <c r="F25" s="32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31"/>
      <c r="B32" s="32"/>
      <c r="C32" s="13"/>
      <c r="D32" s="13"/>
      <c r="E32" s="13"/>
      <c r="F32" s="32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31"/>
      <c r="B40" s="32"/>
      <c r="C40" s="13"/>
      <c r="D40" s="13"/>
      <c r="E40" s="13"/>
      <c r="F40" s="32"/>
      <c r="G40" s="14"/>
    </row>
    <row r="41" spans="1:7">
      <c r="A41" s="136"/>
      <c r="B41" s="147"/>
      <c r="C41" s="13"/>
      <c r="D41" s="13"/>
      <c r="E41" s="118"/>
      <c r="F41" s="147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f>G13+G17</f>
        <v>550000</v>
      </c>
    </row>
    <row r="44" spans="1:7" ht="15.75">
      <c r="A44" s="5"/>
      <c r="B44" s="19"/>
      <c r="C44" s="17"/>
      <c r="D44" s="17"/>
      <c r="E44" s="17"/>
      <c r="F44" s="18" t="s">
        <v>49</v>
      </c>
      <c r="G44" s="20">
        <f>G43*10%</f>
        <v>55000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f>G43+G44</f>
        <v>605000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  <row r="48" spans="1:7"/>
  </sheetData>
  <mergeCells count="29">
    <mergeCell ref="A45:B45"/>
    <mergeCell ref="A24:B24"/>
    <mergeCell ref="E24:F24"/>
    <mergeCell ref="A41:B41"/>
    <mergeCell ref="E41:F41"/>
    <mergeCell ref="A42:B42"/>
    <mergeCell ref="E42:F42"/>
    <mergeCell ref="A19:B19"/>
    <mergeCell ref="E19:F19"/>
    <mergeCell ref="A20:B20"/>
    <mergeCell ref="E20:F20"/>
    <mergeCell ref="A22:B22"/>
    <mergeCell ref="E22:F22"/>
    <mergeCell ref="A13:B13"/>
    <mergeCell ref="E13:F13"/>
    <mergeCell ref="A15:B15"/>
    <mergeCell ref="E15:F15"/>
    <mergeCell ref="A17:B17"/>
    <mergeCell ref="E17:F17"/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</mergeCells>
  <pageMargins left="0.7" right="0.7" top="0.75" bottom="0.75" header="0.3" footer="0.3"/>
  <pageSetup paperSize="9" scale="88" fitToWidth="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6F95-8B26-40F8-95FC-8AD27738393C}">
  <dimension ref="A1:G47"/>
  <sheetViews>
    <sheetView topLeftCell="A37" zoomScaleNormal="100" workbookViewId="0">
      <selection activeCell="A21" sqref="A21:XFD21 A23:XFD23 A25:XFD25 A27:XFD27 A29:XFD29 A31:XFD31 A33:XFD33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24" t="s">
        <v>31</v>
      </c>
      <c r="B2" s="125"/>
      <c r="C2" s="125"/>
      <c r="D2" s="125"/>
      <c r="E2" s="125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32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33</v>
      </c>
      <c r="B6" s="6"/>
      <c r="C6" s="7"/>
      <c r="D6" s="7"/>
      <c r="E6" s="132" t="s">
        <v>34</v>
      </c>
      <c r="F6" s="132"/>
      <c r="G6" s="42">
        <v>45453</v>
      </c>
    </row>
    <row r="7" spans="1:7" ht="15.75">
      <c r="A7" s="5" t="s">
        <v>35</v>
      </c>
      <c r="B7" s="6"/>
      <c r="C7" s="7"/>
      <c r="D7" s="7"/>
      <c r="E7" s="133" t="s">
        <v>36</v>
      </c>
      <c r="F7" s="133"/>
      <c r="G7" s="43" t="s">
        <v>54</v>
      </c>
    </row>
    <row r="8" spans="1:7" ht="15.75">
      <c r="A8" s="5" t="s">
        <v>38</v>
      </c>
      <c r="B8" s="6"/>
      <c r="C8" s="7"/>
      <c r="D8" s="7"/>
      <c r="E8" s="132" t="s">
        <v>39</v>
      </c>
      <c r="F8" s="132"/>
      <c r="G8" s="44" t="s">
        <v>55</v>
      </c>
    </row>
    <row r="9" spans="1:7">
      <c r="A9" s="9" t="s">
        <v>41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43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380000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220000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31"/>
      <c r="B21" s="32"/>
      <c r="C21" s="13"/>
      <c r="D21" s="13"/>
      <c r="E21" s="13"/>
      <c r="F21" s="32"/>
      <c r="G21" s="14"/>
    </row>
    <row r="22" spans="1:7">
      <c r="A22" s="136"/>
      <c r="B22" s="147"/>
      <c r="C22" s="13"/>
      <c r="D22" s="13"/>
      <c r="E22" s="118"/>
      <c r="F22" s="147"/>
      <c r="G22" s="14"/>
    </row>
    <row r="23" spans="1:7">
      <c r="A23" s="31"/>
      <c r="B23" s="32"/>
      <c r="C23" s="13"/>
      <c r="D23" s="13"/>
      <c r="E23" s="13"/>
      <c r="F23" s="32"/>
      <c r="G23" s="14"/>
    </row>
    <row r="24" spans="1:7">
      <c r="A24" s="136"/>
      <c r="B24" s="147"/>
      <c r="C24" s="13"/>
      <c r="D24" s="13"/>
      <c r="E24" s="118"/>
      <c r="F24" s="147"/>
      <c r="G24" s="14"/>
    </row>
    <row r="25" spans="1:7">
      <c r="A25" s="31"/>
      <c r="B25" s="32"/>
      <c r="C25" s="13"/>
      <c r="D25" s="13"/>
      <c r="E25" s="13"/>
      <c r="F25" s="32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31"/>
      <c r="B32" s="32"/>
      <c r="C32" s="13"/>
      <c r="D32" s="13"/>
      <c r="E32" s="13"/>
      <c r="F32" s="32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136"/>
      <c r="B40" s="147"/>
      <c r="C40" s="13"/>
      <c r="D40" s="13"/>
      <c r="E40" s="118"/>
      <c r="F40" s="147"/>
      <c r="G40" s="14"/>
    </row>
    <row r="41" spans="1:7">
      <c r="A41" s="31"/>
      <c r="B41" s="32"/>
      <c r="C41" s="13"/>
      <c r="D41" s="13"/>
      <c r="E41" s="13"/>
      <c r="F41" s="32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f>G13+G17</f>
        <v>600000</v>
      </c>
    </row>
    <row r="44" spans="1:7" ht="15.75">
      <c r="A44" s="5"/>
      <c r="B44" s="19"/>
      <c r="C44" s="17"/>
      <c r="D44" s="17"/>
      <c r="E44" s="17"/>
      <c r="F44" s="18" t="s">
        <v>49</v>
      </c>
      <c r="G44" s="20">
        <f>G43*10%</f>
        <v>60000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f>G43+G44</f>
        <v>660000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45:B45"/>
    <mergeCell ref="A24:B24"/>
    <mergeCell ref="E24:F24"/>
    <mergeCell ref="A40:B40"/>
    <mergeCell ref="E40:F40"/>
    <mergeCell ref="A42:B42"/>
    <mergeCell ref="E42:F42"/>
    <mergeCell ref="A19:B19"/>
    <mergeCell ref="E19:F19"/>
    <mergeCell ref="A20:B20"/>
    <mergeCell ref="E20:F20"/>
    <mergeCell ref="A22:B22"/>
    <mergeCell ref="E22:F22"/>
    <mergeCell ref="A13:B13"/>
    <mergeCell ref="E13:F13"/>
    <mergeCell ref="A15:B15"/>
    <mergeCell ref="E15:F15"/>
    <mergeCell ref="A17:B17"/>
    <mergeCell ref="E17:F17"/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6D65-2C3A-4552-8CEC-B9DF5D8F7DFF}">
  <dimension ref="A1:G47"/>
  <sheetViews>
    <sheetView topLeftCell="A43" zoomScaleNormal="100" workbookViewId="0">
      <selection activeCell="A27" sqref="A27:XFD27 A29:XFD29 A31:XFD31 A33:XFD33 A35:XFD35 A37:XFD37 A39:XFD39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24" t="s">
        <v>56</v>
      </c>
      <c r="B2" s="125"/>
      <c r="C2" s="125"/>
      <c r="D2" s="125"/>
      <c r="E2" s="125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57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58</v>
      </c>
      <c r="B6" s="6"/>
      <c r="C6" s="7"/>
      <c r="D6" s="7"/>
      <c r="E6" s="132" t="s">
        <v>34</v>
      </c>
      <c r="F6" s="132"/>
      <c r="G6" s="42">
        <v>44661</v>
      </c>
    </row>
    <row r="7" spans="1:7" ht="15.75">
      <c r="A7" s="5" t="s">
        <v>59</v>
      </c>
      <c r="B7" s="6"/>
      <c r="C7" s="7"/>
      <c r="D7" s="7"/>
      <c r="E7" s="133" t="s">
        <v>36</v>
      </c>
      <c r="F7" s="133"/>
      <c r="G7" s="43" t="s">
        <v>60</v>
      </c>
    </row>
    <row r="8" spans="1:7" ht="15.75">
      <c r="A8" s="5" t="s">
        <v>61</v>
      </c>
      <c r="B8" s="6"/>
      <c r="C8" s="7"/>
      <c r="D8" s="7"/>
      <c r="E8" s="132" t="s">
        <v>39</v>
      </c>
      <c r="F8" s="132"/>
      <c r="G8" s="44" t="s">
        <v>62</v>
      </c>
    </row>
    <row r="9" spans="1:7">
      <c r="A9" s="9" t="s">
        <v>63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64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200000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120000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136"/>
      <c r="B21" s="147"/>
      <c r="C21" s="13"/>
      <c r="D21" s="13"/>
      <c r="E21" s="118"/>
      <c r="F21" s="147"/>
      <c r="G21" s="14"/>
    </row>
    <row r="22" spans="1:7">
      <c r="A22" s="31"/>
      <c r="B22" s="32"/>
      <c r="C22" s="13"/>
      <c r="D22" s="13"/>
      <c r="E22" s="13"/>
      <c r="F22" s="32"/>
      <c r="G22" s="14"/>
    </row>
    <row r="23" spans="1:7">
      <c r="A23" s="136"/>
      <c r="B23" s="147"/>
      <c r="C23" s="13"/>
      <c r="D23" s="13"/>
      <c r="E23" s="118"/>
      <c r="F23" s="147"/>
      <c r="G23" s="14"/>
    </row>
    <row r="24" spans="1:7">
      <c r="A24" s="31"/>
      <c r="B24" s="32"/>
      <c r="C24" s="13"/>
      <c r="D24" s="13"/>
      <c r="E24" s="13"/>
      <c r="F24" s="32"/>
      <c r="G24" s="14"/>
    </row>
    <row r="25" spans="1:7">
      <c r="A25" s="136"/>
      <c r="B25" s="147"/>
      <c r="C25" s="13"/>
      <c r="D25" s="13"/>
      <c r="E25" s="118"/>
      <c r="F25" s="147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31"/>
      <c r="B32" s="32"/>
      <c r="C32" s="13"/>
      <c r="D32" s="13"/>
      <c r="E32" s="13"/>
      <c r="F32" s="32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31"/>
      <c r="B40" s="32"/>
      <c r="C40" s="13"/>
      <c r="D40" s="13"/>
      <c r="E40" s="13"/>
      <c r="F40" s="32"/>
      <c r="G40" s="14"/>
    </row>
    <row r="41" spans="1:7">
      <c r="A41" s="31"/>
      <c r="B41" s="32"/>
      <c r="C41" s="13"/>
      <c r="D41" s="13"/>
      <c r="E41" s="13"/>
      <c r="F41" s="32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v>320000</v>
      </c>
    </row>
    <row r="44" spans="1:7" ht="15.75">
      <c r="A44" s="5"/>
      <c r="B44" s="19"/>
      <c r="C44" s="17"/>
      <c r="D44" s="17"/>
      <c r="E44" s="17"/>
      <c r="F44" s="18" t="s">
        <v>65</v>
      </c>
      <c r="G44" s="20">
        <v>16000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v>336000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  <mergeCell ref="A13:B13"/>
    <mergeCell ref="E13:F13"/>
    <mergeCell ref="A15:B15"/>
    <mergeCell ref="E15:F15"/>
    <mergeCell ref="A17:B17"/>
    <mergeCell ref="E17:F17"/>
    <mergeCell ref="A19:B19"/>
    <mergeCell ref="E19:F19"/>
    <mergeCell ref="A20:B20"/>
    <mergeCell ref="E20:F20"/>
    <mergeCell ref="A21:B21"/>
    <mergeCell ref="E21:F21"/>
    <mergeCell ref="A45:B45"/>
    <mergeCell ref="A23:B23"/>
    <mergeCell ref="E23:F23"/>
    <mergeCell ref="A25:B25"/>
    <mergeCell ref="E25:F25"/>
    <mergeCell ref="A42:B42"/>
    <mergeCell ref="E42:F42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CDE5-B7A5-4DF0-A867-E7C1D3852A2A}">
  <dimension ref="A1:G47"/>
  <sheetViews>
    <sheetView tabSelected="1" topLeftCell="A24" zoomScaleNormal="100" workbookViewId="0">
      <selection activeCell="A28" sqref="A28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24" t="s">
        <v>56</v>
      </c>
      <c r="B2" s="125"/>
      <c r="C2" s="125"/>
      <c r="D2" s="125"/>
      <c r="E2" s="125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57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58</v>
      </c>
      <c r="B6" s="6"/>
      <c r="C6" s="7"/>
      <c r="D6" s="7"/>
      <c r="E6" s="132" t="s">
        <v>34</v>
      </c>
      <c r="F6" s="132"/>
      <c r="G6" s="42">
        <v>45026</v>
      </c>
    </row>
    <row r="7" spans="1:7" ht="15.75">
      <c r="A7" s="5" t="s">
        <v>59</v>
      </c>
      <c r="B7" s="6"/>
      <c r="C7" s="7"/>
      <c r="D7" s="7"/>
      <c r="E7" s="133" t="s">
        <v>36</v>
      </c>
      <c r="F7" s="133"/>
      <c r="G7" s="43" t="s">
        <v>66</v>
      </c>
    </row>
    <row r="8" spans="1:7" ht="15.75">
      <c r="A8" s="5" t="s">
        <v>61</v>
      </c>
      <c r="B8" s="6"/>
      <c r="C8" s="7"/>
      <c r="D8" s="7"/>
      <c r="E8" s="132" t="s">
        <v>39</v>
      </c>
      <c r="F8" s="132"/>
      <c r="G8" s="44" t="s">
        <v>67</v>
      </c>
    </row>
    <row r="9" spans="1:7">
      <c r="A9" s="9" t="s">
        <v>63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64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220000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150000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136"/>
      <c r="B21" s="147"/>
      <c r="C21" s="13"/>
      <c r="D21" s="13"/>
      <c r="E21" s="118"/>
      <c r="F21" s="147"/>
      <c r="G21" s="14"/>
    </row>
    <row r="22" spans="1:7">
      <c r="A22" s="31"/>
      <c r="B22" s="32"/>
      <c r="C22" s="13"/>
      <c r="D22" s="13"/>
      <c r="E22" s="13"/>
      <c r="F22" s="32"/>
      <c r="G22" s="14"/>
    </row>
    <row r="23" spans="1:7">
      <c r="A23" s="136"/>
      <c r="B23" s="147"/>
      <c r="C23" s="13"/>
      <c r="D23" s="13"/>
      <c r="E23" s="118"/>
      <c r="F23" s="147"/>
      <c r="G23" s="14"/>
    </row>
    <row r="24" spans="1:7">
      <c r="A24" s="31"/>
      <c r="B24" s="32"/>
      <c r="C24" s="13"/>
      <c r="D24" s="13"/>
      <c r="E24" s="13"/>
      <c r="F24" s="32"/>
      <c r="G24" s="14"/>
    </row>
    <row r="25" spans="1:7">
      <c r="A25" s="31"/>
      <c r="B25" s="32"/>
      <c r="C25" s="13"/>
      <c r="D25" s="13"/>
      <c r="E25" s="13"/>
      <c r="F25" s="32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31"/>
      <c r="B32" s="32"/>
      <c r="C32" s="13"/>
      <c r="D32" s="13"/>
      <c r="E32" s="13"/>
      <c r="F32" s="32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136"/>
      <c r="B35" s="147"/>
      <c r="C35" s="13"/>
      <c r="D35" s="13"/>
      <c r="E35" s="118"/>
      <c r="F35" s="147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31"/>
      <c r="B40" s="32"/>
      <c r="C40" s="13"/>
      <c r="D40" s="13"/>
      <c r="E40" s="13"/>
      <c r="F40" s="32"/>
      <c r="G40" s="14"/>
    </row>
    <row r="41" spans="1:7">
      <c r="A41" s="31"/>
      <c r="B41" s="32"/>
      <c r="C41" s="13"/>
      <c r="D41" s="13"/>
      <c r="E41" s="13"/>
      <c r="F41" s="32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f>G13+G17</f>
        <v>370000</v>
      </c>
    </row>
    <row r="44" spans="1:7" ht="15.75">
      <c r="A44" s="5"/>
      <c r="B44" s="19"/>
      <c r="C44" s="17"/>
      <c r="D44" s="17"/>
      <c r="E44" s="17"/>
      <c r="F44" s="18" t="s">
        <v>65</v>
      </c>
      <c r="G44" s="20">
        <f>G43*5%</f>
        <v>18500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f>G43+G44</f>
        <v>388500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45:B45"/>
    <mergeCell ref="A23:B23"/>
    <mergeCell ref="E23:F23"/>
    <mergeCell ref="A35:B35"/>
    <mergeCell ref="E35:F35"/>
    <mergeCell ref="A42:B42"/>
    <mergeCell ref="E42:F42"/>
    <mergeCell ref="A19:B19"/>
    <mergeCell ref="E19:F19"/>
    <mergeCell ref="A20:B20"/>
    <mergeCell ref="E20:F20"/>
    <mergeCell ref="A21:B21"/>
    <mergeCell ref="E21:F21"/>
    <mergeCell ref="A13:B13"/>
    <mergeCell ref="E13:F13"/>
    <mergeCell ref="A15:B15"/>
    <mergeCell ref="E15:F15"/>
    <mergeCell ref="A17:B17"/>
    <mergeCell ref="E17:F17"/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ABBF-FAD1-4A60-AB01-69410B6C3C7B}">
  <dimension ref="A1:G47"/>
  <sheetViews>
    <sheetView topLeftCell="A26" zoomScaleNormal="100" workbookViewId="0">
      <selection activeCell="A27" sqref="A27:XFD27 A29:XFD29 A31:XFD31 A33:XFD33 A35:XFD35 A37:XFD37 A39:XFD39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24" t="s">
        <v>56</v>
      </c>
      <c r="B2" s="125"/>
      <c r="C2" s="125"/>
      <c r="D2" s="125"/>
      <c r="E2" s="125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57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58</v>
      </c>
      <c r="B6" s="6"/>
      <c r="C6" s="7"/>
      <c r="D6" s="7"/>
      <c r="E6" s="133" t="s">
        <v>34</v>
      </c>
      <c r="F6" s="133"/>
      <c r="G6" s="42">
        <v>45392</v>
      </c>
    </row>
    <row r="7" spans="1:7" ht="15.75">
      <c r="A7" s="5" t="s">
        <v>59</v>
      </c>
      <c r="B7" s="6"/>
      <c r="C7" s="7"/>
      <c r="D7" s="7"/>
      <c r="E7" s="133" t="s">
        <v>36</v>
      </c>
      <c r="F7" s="133"/>
      <c r="G7" s="43" t="s">
        <v>68</v>
      </c>
    </row>
    <row r="8" spans="1:7" ht="15.75">
      <c r="A8" s="5" t="s">
        <v>61</v>
      </c>
      <c r="B8" s="6"/>
      <c r="C8" s="7"/>
      <c r="D8" s="7"/>
      <c r="E8" s="133" t="s">
        <v>39</v>
      </c>
      <c r="F8" s="133"/>
      <c r="G8" s="44" t="s">
        <v>69</v>
      </c>
    </row>
    <row r="9" spans="1:7">
      <c r="A9" s="9" t="s">
        <v>63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64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250000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160000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136"/>
      <c r="B21" s="147"/>
      <c r="C21" s="13"/>
      <c r="D21" s="13"/>
      <c r="E21" s="118"/>
      <c r="F21" s="147"/>
      <c r="G21" s="14"/>
    </row>
    <row r="22" spans="1:7">
      <c r="A22" s="31"/>
      <c r="B22" s="32"/>
      <c r="C22" s="13"/>
      <c r="D22" s="13"/>
      <c r="E22" s="13"/>
      <c r="F22" s="32"/>
      <c r="G22" s="14"/>
    </row>
    <row r="23" spans="1:7">
      <c r="A23" s="136"/>
      <c r="B23" s="147"/>
      <c r="C23" s="13"/>
      <c r="D23" s="13"/>
      <c r="E23" s="118"/>
      <c r="F23" s="147"/>
      <c r="G23" s="14"/>
    </row>
    <row r="24" spans="1:7">
      <c r="A24" s="31"/>
      <c r="B24" s="32"/>
      <c r="C24" s="13"/>
      <c r="D24" s="13"/>
      <c r="E24" s="13"/>
      <c r="F24" s="32"/>
      <c r="G24" s="14"/>
    </row>
    <row r="25" spans="1:7">
      <c r="A25" s="136"/>
      <c r="B25" s="147"/>
      <c r="C25" s="13"/>
      <c r="D25" s="13"/>
      <c r="E25" s="118"/>
      <c r="F25" s="147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31"/>
      <c r="B32" s="32"/>
      <c r="C32" s="13"/>
      <c r="D32" s="13"/>
      <c r="E32" s="13"/>
      <c r="F32" s="32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31"/>
      <c r="B40" s="32"/>
      <c r="C40" s="13"/>
      <c r="D40" s="13"/>
      <c r="E40" s="13"/>
      <c r="F40" s="32"/>
      <c r="G40" s="14"/>
    </row>
    <row r="41" spans="1:7">
      <c r="A41" s="31"/>
      <c r="B41" s="32"/>
      <c r="C41" s="13"/>
      <c r="D41" s="13"/>
      <c r="E41" s="13"/>
      <c r="F41" s="32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f>G13+G17</f>
        <v>410000</v>
      </c>
    </row>
    <row r="44" spans="1:7" ht="15.75">
      <c r="A44" s="5"/>
      <c r="B44" s="19"/>
      <c r="C44" s="17"/>
      <c r="D44" s="17"/>
      <c r="E44" s="17"/>
      <c r="F44" s="18" t="s">
        <v>65</v>
      </c>
      <c r="G44" s="20">
        <f>G43*5%</f>
        <v>20500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f>G43+G44</f>
        <v>430500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45:B45"/>
    <mergeCell ref="A23:B23"/>
    <mergeCell ref="E23:F23"/>
    <mergeCell ref="A25:B25"/>
    <mergeCell ref="E25:F25"/>
    <mergeCell ref="A42:B42"/>
    <mergeCell ref="E42:F42"/>
    <mergeCell ref="A19:B19"/>
    <mergeCell ref="E19:F19"/>
    <mergeCell ref="A20:B20"/>
    <mergeCell ref="E20:F20"/>
    <mergeCell ref="A21:B21"/>
    <mergeCell ref="E21:F21"/>
    <mergeCell ref="A13:B13"/>
    <mergeCell ref="E13:F13"/>
    <mergeCell ref="A15:B15"/>
    <mergeCell ref="E15:F15"/>
    <mergeCell ref="A17:B17"/>
    <mergeCell ref="E17:F17"/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F928-4939-435A-B26E-71EA725C1132}">
  <dimension ref="A1:G47"/>
  <sheetViews>
    <sheetView topLeftCell="A39" zoomScaleNormal="100" workbookViewId="0">
      <selection activeCell="A24" sqref="A24:XFD24 A26:XFD26 A28:XFD28 A30:XFD30 A32:XFD32 A34:XFD34 A36:XFD36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43" t="s">
        <v>70</v>
      </c>
      <c r="B2" s="144"/>
      <c r="C2" s="144"/>
      <c r="D2" s="144"/>
      <c r="E2" s="144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71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72</v>
      </c>
      <c r="B6" s="6"/>
      <c r="C6" s="7"/>
      <c r="D6" s="7"/>
      <c r="E6" s="132" t="s">
        <v>34</v>
      </c>
      <c r="F6" s="132"/>
      <c r="G6" s="42">
        <v>44838</v>
      </c>
    </row>
    <row r="7" spans="1:7" ht="15.75">
      <c r="A7" s="5" t="s">
        <v>73</v>
      </c>
      <c r="B7" s="6"/>
      <c r="C7" s="7"/>
      <c r="D7" s="7"/>
      <c r="E7" s="133" t="s">
        <v>36</v>
      </c>
      <c r="F7" s="133"/>
      <c r="G7" s="42">
        <v>44809</v>
      </c>
    </row>
    <row r="8" spans="1:7" ht="15.75">
      <c r="A8" s="5" t="s">
        <v>74</v>
      </c>
      <c r="B8" s="6"/>
      <c r="C8" s="7"/>
      <c r="D8" s="7"/>
      <c r="E8" s="132" t="s">
        <v>39</v>
      </c>
      <c r="F8" s="132"/>
      <c r="G8" s="44" t="s">
        <v>75</v>
      </c>
    </row>
    <row r="9" spans="1:7">
      <c r="A9" s="9" t="s">
        <v>76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77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600000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960000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136"/>
      <c r="B21" s="147"/>
      <c r="C21" s="13"/>
      <c r="D21" s="13"/>
      <c r="E21" s="118"/>
      <c r="F21" s="147"/>
      <c r="G21" s="14"/>
    </row>
    <row r="22" spans="1:7">
      <c r="A22" s="31"/>
      <c r="B22" s="32"/>
      <c r="C22" s="13"/>
      <c r="D22" s="13"/>
      <c r="E22" s="13"/>
      <c r="F22" s="32"/>
      <c r="G22" s="14"/>
    </row>
    <row r="23" spans="1:7">
      <c r="A23" s="31"/>
      <c r="B23" s="32"/>
      <c r="C23" s="13"/>
      <c r="D23" s="13"/>
      <c r="E23" s="13"/>
      <c r="F23" s="32"/>
      <c r="G23" s="14"/>
    </row>
    <row r="24" spans="1:7">
      <c r="A24" s="31"/>
      <c r="B24" s="32"/>
      <c r="C24" s="13"/>
      <c r="D24" s="13"/>
      <c r="E24" s="13"/>
      <c r="F24" s="32"/>
      <c r="G24" s="14"/>
    </row>
    <row r="25" spans="1:7">
      <c r="A25" s="31"/>
      <c r="B25" s="32"/>
      <c r="C25" s="13"/>
      <c r="D25" s="13"/>
      <c r="E25" s="13"/>
      <c r="F25" s="32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31"/>
      <c r="B32" s="32"/>
      <c r="C32" s="13"/>
      <c r="D32" s="13"/>
      <c r="E32" s="13"/>
      <c r="F32" s="32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136"/>
      <c r="B37" s="147"/>
      <c r="C37" s="13"/>
      <c r="D37" s="13"/>
      <c r="E37" s="118"/>
      <c r="F37" s="147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136"/>
      <c r="B40" s="147"/>
      <c r="C40" s="13"/>
      <c r="D40" s="13"/>
      <c r="E40" s="118"/>
      <c r="F40" s="147"/>
      <c r="G40" s="14"/>
    </row>
    <row r="41" spans="1:7">
      <c r="A41" s="31"/>
      <c r="B41" s="32"/>
      <c r="C41" s="13"/>
      <c r="D41" s="13"/>
      <c r="E41" s="13"/>
      <c r="F41" s="32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f>G13+G17</f>
        <v>1560000</v>
      </c>
    </row>
    <row r="44" spans="1:7" ht="15.75">
      <c r="A44" s="5"/>
      <c r="B44" s="19"/>
      <c r="C44" s="17"/>
      <c r="D44" s="17"/>
      <c r="E44" s="17"/>
      <c r="F44" s="18" t="s">
        <v>65</v>
      </c>
      <c r="G44" s="20">
        <f>G43*5%</f>
        <v>78000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f>G43+G44</f>
        <v>1638000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45:B45"/>
    <mergeCell ref="A37:B37"/>
    <mergeCell ref="E37:F37"/>
    <mergeCell ref="A40:B40"/>
    <mergeCell ref="E40:F40"/>
    <mergeCell ref="A42:B42"/>
    <mergeCell ref="E42:F42"/>
    <mergeCell ref="A19:B19"/>
    <mergeCell ref="E19:F19"/>
    <mergeCell ref="A20:B20"/>
    <mergeCell ref="E20:F20"/>
    <mergeCell ref="A21:B21"/>
    <mergeCell ref="E21:F21"/>
    <mergeCell ref="A13:B13"/>
    <mergeCell ref="E13:F13"/>
    <mergeCell ref="A15:B15"/>
    <mergeCell ref="E15:F15"/>
    <mergeCell ref="A17:B17"/>
    <mergeCell ref="E17:F17"/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83EB-D8C1-4626-A205-D8910A7B37C0}">
  <dimension ref="A1:G47"/>
  <sheetViews>
    <sheetView topLeftCell="A30" zoomScaleNormal="100" workbookViewId="0">
      <selection activeCell="A23" sqref="A23:XFD23 A25:XFD25 A27:XFD27 A29:XFD29 A31:XFD31 A33:XFD33 A35:XFD35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43" t="s">
        <v>70</v>
      </c>
      <c r="B2" s="144"/>
      <c r="C2" s="144"/>
      <c r="D2" s="144"/>
      <c r="E2" s="144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71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72</v>
      </c>
      <c r="B6" s="6"/>
      <c r="C6" s="7"/>
      <c r="D6" s="7"/>
      <c r="E6" s="132" t="s">
        <v>34</v>
      </c>
      <c r="F6" s="132"/>
      <c r="G6" s="42">
        <v>45203</v>
      </c>
    </row>
    <row r="7" spans="1:7" ht="15.75">
      <c r="A7" s="5" t="s">
        <v>73</v>
      </c>
      <c r="B7" s="6"/>
      <c r="C7" s="7"/>
      <c r="D7" s="7"/>
      <c r="E7" s="133" t="s">
        <v>36</v>
      </c>
      <c r="F7" s="133"/>
      <c r="G7" s="42">
        <v>45174</v>
      </c>
    </row>
    <row r="8" spans="1:7" ht="15.75">
      <c r="A8" s="5" t="s">
        <v>74</v>
      </c>
      <c r="B8" s="6"/>
      <c r="C8" s="7"/>
      <c r="D8" s="7"/>
      <c r="E8" s="132" t="s">
        <v>39</v>
      </c>
      <c r="F8" s="132"/>
      <c r="G8" s="44" t="s">
        <v>78</v>
      </c>
    </row>
    <row r="9" spans="1:7">
      <c r="A9" s="9" t="s">
        <v>76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77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620000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980000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31"/>
      <c r="B21" s="32"/>
      <c r="C21" s="13"/>
      <c r="D21" s="13"/>
      <c r="E21" s="13"/>
      <c r="F21" s="32"/>
      <c r="G21" s="14"/>
    </row>
    <row r="22" spans="1:7">
      <c r="A22" s="31"/>
      <c r="B22" s="32"/>
      <c r="C22" s="13"/>
      <c r="D22" s="13"/>
      <c r="E22" s="13"/>
      <c r="F22" s="32"/>
      <c r="G22" s="14"/>
    </row>
    <row r="23" spans="1:7">
      <c r="A23" s="31"/>
      <c r="B23" s="32"/>
      <c r="C23" s="13"/>
      <c r="D23" s="13"/>
      <c r="E23" s="13"/>
      <c r="F23" s="32"/>
      <c r="G23" s="14"/>
    </row>
    <row r="24" spans="1:7">
      <c r="A24" s="136"/>
      <c r="B24" s="147"/>
      <c r="C24" s="13"/>
      <c r="D24" s="13"/>
      <c r="E24" s="118"/>
      <c r="F24" s="147"/>
      <c r="G24" s="14"/>
    </row>
    <row r="25" spans="1:7">
      <c r="A25" s="31"/>
      <c r="B25" s="32"/>
      <c r="C25" s="13"/>
      <c r="D25" s="13"/>
      <c r="E25" s="13"/>
      <c r="F25" s="32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136"/>
      <c r="B32" s="147"/>
      <c r="C32" s="13"/>
      <c r="D32" s="13"/>
      <c r="E32" s="118"/>
      <c r="F32" s="147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31"/>
      <c r="B40" s="32"/>
      <c r="C40" s="13"/>
      <c r="D40" s="13"/>
      <c r="E40" s="13"/>
      <c r="F40" s="32"/>
      <c r="G40" s="14"/>
    </row>
    <row r="41" spans="1:7">
      <c r="A41" s="136"/>
      <c r="B41" s="147"/>
      <c r="C41" s="13"/>
      <c r="D41" s="13"/>
      <c r="E41" s="118"/>
      <c r="F41" s="147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f>G13+G17</f>
        <v>1600000</v>
      </c>
    </row>
    <row r="44" spans="1:7" ht="15.75">
      <c r="A44" s="5"/>
      <c r="B44" s="19"/>
      <c r="C44" s="17"/>
      <c r="D44" s="17"/>
      <c r="E44" s="17"/>
      <c r="F44" s="18" t="s">
        <v>65</v>
      </c>
      <c r="G44" s="20">
        <f>G43*5%</f>
        <v>80000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f>G43+G44</f>
        <v>1680000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45:B45"/>
    <mergeCell ref="A32:B32"/>
    <mergeCell ref="E32:F32"/>
    <mergeCell ref="A41:B41"/>
    <mergeCell ref="E41:F41"/>
    <mergeCell ref="A42:B42"/>
    <mergeCell ref="E42:F42"/>
    <mergeCell ref="A19:B19"/>
    <mergeCell ref="E19:F19"/>
    <mergeCell ref="A20:B20"/>
    <mergeCell ref="E20:F20"/>
    <mergeCell ref="A24:B24"/>
    <mergeCell ref="E24:F24"/>
    <mergeCell ref="A13:B13"/>
    <mergeCell ref="E13:F13"/>
    <mergeCell ref="A15:B15"/>
    <mergeCell ref="E15:F15"/>
    <mergeCell ref="A17:B17"/>
    <mergeCell ref="E17:F17"/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1BF4-6B69-452D-9D1B-E652425BC06F}">
  <dimension ref="A1:G47"/>
  <sheetViews>
    <sheetView topLeftCell="A26" zoomScaleNormal="100" workbookViewId="0">
      <selection activeCell="A24" sqref="A24:XFD24 A26:XFD26 A28:XFD28 A30:XFD30 A32:XFD32 A34:XFD34 A36:XFD36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43" t="s">
        <v>70</v>
      </c>
      <c r="B2" s="144"/>
      <c r="C2" s="144"/>
      <c r="D2" s="144"/>
      <c r="E2" s="144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71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72</v>
      </c>
      <c r="B6" s="6"/>
      <c r="C6" s="7"/>
      <c r="D6" s="7"/>
      <c r="E6" s="132" t="s">
        <v>34</v>
      </c>
      <c r="F6" s="132"/>
      <c r="G6" s="42">
        <v>45569</v>
      </c>
    </row>
    <row r="7" spans="1:7" ht="15.75">
      <c r="A7" s="5" t="s">
        <v>73</v>
      </c>
      <c r="B7" s="6"/>
      <c r="C7" s="7"/>
      <c r="D7" s="7"/>
      <c r="E7" s="133" t="s">
        <v>36</v>
      </c>
      <c r="F7" s="133"/>
      <c r="G7" s="42">
        <v>45540</v>
      </c>
    </row>
    <row r="8" spans="1:7" ht="15.75">
      <c r="A8" s="5" t="s">
        <v>74</v>
      </c>
      <c r="B8" s="6"/>
      <c r="C8" s="7"/>
      <c r="D8" s="7"/>
      <c r="E8" s="132" t="s">
        <v>39</v>
      </c>
      <c r="F8" s="132"/>
      <c r="G8" s="44" t="s">
        <v>79</v>
      </c>
    </row>
    <row r="9" spans="1:7">
      <c r="A9" s="9" t="s">
        <v>76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77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640000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995000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136"/>
      <c r="B21" s="147"/>
      <c r="C21" s="13"/>
      <c r="D21" s="13"/>
      <c r="E21" s="118"/>
      <c r="F21" s="147"/>
      <c r="G21" s="14"/>
    </row>
    <row r="22" spans="1:7">
      <c r="A22" s="31"/>
      <c r="B22" s="32"/>
      <c r="C22" s="13"/>
      <c r="D22" s="13"/>
      <c r="E22" s="13"/>
      <c r="F22" s="32"/>
      <c r="G22" s="14"/>
    </row>
    <row r="23" spans="1:7">
      <c r="A23" s="31"/>
      <c r="B23" s="32"/>
      <c r="C23" s="13"/>
      <c r="D23" s="13"/>
      <c r="E23" s="13"/>
      <c r="F23" s="32"/>
      <c r="G23" s="14"/>
    </row>
    <row r="24" spans="1:7">
      <c r="A24" s="31"/>
      <c r="B24" s="32"/>
      <c r="C24" s="13"/>
      <c r="D24" s="13"/>
      <c r="E24" s="13"/>
      <c r="F24" s="32"/>
      <c r="G24" s="14"/>
    </row>
    <row r="25" spans="1:7">
      <c r="A25" s="136"/>
      <c r="B25" s="147"/>
      <c r="C25" s="13"/>
      <c r="D25" s="13"/>
      <c r="E25" s="118"/>
      <c r="F25" s="147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31"/>
      <c r="B32" s="32"/>
      <c r="C32" s="13"/>
      <c r="D32" s="13"/>
      <c r="E32" s="13"/>
      <c r="F32" s="32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136"/>
      <c r="B40" s="147"/>
      <c r="C40" s="13"/>
      <c r="D40" s="13"/>
      <c r="E40" s="118"/>
      <c r="F40" s="147"/>
      <c r="G40" s="14"/>
    </row>
    <row r="41" spans="1:7">
      <c r="A41" s="31"/>
      <c r="B41" s="32"/>
      <c r="C41" s="13"/>
      <c r="D41" s="13"/>
      <c r="E41" s="13"/>
      <c r="F41" s="32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f>G13+G17</f>
        <v>1635000</v>
      </c>
    </row>
    <row r="44" spans="1:7" ht="15.75">
      <c r="A44" s="5"/>
      <c r="B44" s="19"/>
      <c r="C44" s="17"/>
      <c r="D44" s="17"/>
      <c r="E44" s="17"/>
      <c r="F44" s="18" t="s">
        <v>65</v>
      </c>
      <c r="G44" s="20">
        <f>G43*5%</f>
        <v>81750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f>G43+G44</f>
        <v>1716750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45:B45"/>
    <mergeCell ref="A25:B25"/>
    <mergeCell ref="E25:F25"/>
    <mergeCell ref="A40:B40"/>
    <mergeCell ref="E40:F40"/>
    <mergeCell ref="A42:B42"/>
    <mergeCell ref="E42:F42"/>
    <mergeCell ref="A19:B19"/>
    <mergeCell ref="E19:F19"/>
    <mergeCell ref="A20:B20"/>
    <mergeCell ref="E20:F20"/>
    <mergeCell ref="A21:B21"/>
    <mergeCell ref="E21:F21"/>
    <mergeCell ref="A13:B13"/>
    <mergeCell ref="E13:F13"/>
    <mergeCell ref="A15:B15"/>
    <mergeCell ref="E15:F15"/>
    <mergeCell ref="A17:B17"/>
    <mergeCell ref="E17:F17"/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1867-2828-46A0-90BC-067DE7EF97FA}">
  <dimension ref="A1:G47"/>
  <sheetViews>
    <sheetView topLeftCell="A36" zoomScaleNormal="100" workbookViewId="0">
      <selection activeCell="A30" sqref="A30:XFD30 A32:XFD32 A34:XFD34 A36:XFD36 A38:XFD38 A40:XFD40 A42:XFD42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43" t="s">
        <v>80</v>
      </c>
      <c r="B2" s="144"/>
      <c r="C2" s="144"/>
      <c r="D2" s="144"/>
      <c r="E2" s="144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81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82</v>
      </c>
      <c r="B6" s="6"/>
      <c r="C6" s="7"/>
      <c r="D6" s="7"/>
      <c r="E6" s="132" t="s">
        <v>34</v>
      </c>
      <c r="F6" s="132"/>
      <c r="G6" s="42">
        <v>44838</v>
      </c>
    </row>
    <row r="7" spans="1:7" ht="15.75">
      <c r="A7" s="5" t="s">
        <v>83</v>
      </c>
      <c r="B7" s="6"/>
      <c r="C7" s="7"/>
      <c r="D7" s="7"/>
      <c r="E7" s="133" t="s">
        <v>36</v>
      </c>
      <c r="F7" s="133"/>
      <c r="G7" s="42">
        <v>44809</v>
      </c>
    </row>
    <row r="8" spans="1:7" ht="15.75">
      <c r="A8" s="5" t="s">
        <v>84</v>
      </c>
      <c r="B8" s="6"/>
      <c r="C8" s="7"/>
      <c r="D8" s="7"/>
      <c r="E8" s="132" t="s">
        <v>39</v>
      </c>
      <c r="F8" s="132"/>
      <c r="G8" s="44" t="s">
        <v>85</v>
      </c>
    </row>
    <row r="9" spans="1:7">
      <c r="A9" s="9" t="s">
        <v>86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77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600000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900000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136"/>
      <c r="B21" s="147"/>
      <c r="C21" s="13"/>
      <c r="D21" s="13"/>
      <c r="E21" s="118"/>
      <c r="F21" s="147"/>
      <c r="G21" s="14"/>
    </row>
    <row r="22" spans="1:7">
      <c r="A22" s="31"/>
      <c r="B22" s="32"/>
      <c r="C22" s="13"/>
      <c r="D22" s="13"/>
      <c r="E22" s="13"/>
      <c r="F22" s="32"/>
      <c r="G22" s="14"/>
    </row>
    <row r="23" spans="1:7">
      <c r="A23" s="136"/>
      <c r="B23" s="147"/>
      <c r="C23" s="13"/>
      <c r="D23" s="13"/>
      <c r="E23" s="118"/>
      <c r="F23" s="147"/>
      <c r="G23" s="14"/>
    </row>
    <row r="24" spans="1:7">
      <c r="A24" s="31"/>
      <c r="B24" s="32"/>
      <c r="C24" s="13"/>
      <c r="D24" s="13"/>
      <c r="E24" s="13"/>
      <c r="F24" s="32"/>
      <c r="G24" s="14"/>
    </row>
    <row r="25" spans="1:7">
      <c r="A25" s="31"/>
      <c r="B25" s="32"/>
      <c r="C25" s="13"/>
      <c r="D25" s="13"/>
      <c r="E25" s="13"/>
      <c r="F25" s="32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136"/>
      <c r="B31" s="147"/>
      <c r="C31" s="13"/>
      <c r="D31" s="13"/>
      <c r="E31" s="118"/>
      <c r="F31" s="147"/>
      <c r="G31" s="14"/>
    </row>
    <row r="32" spans="1:7">
      <c r="A32" s="31"/>
      <c r="B32" s="32"/>
      <c r="C32" s="13"/>
      <c r="D32" s="13"/>
      <c r="E32" s="13"/>
      <c r="F32" s="32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136"/>
      <c r="B39" s="147"/>
      <c r="C39" s="13"/>
      <c r="D39" s="13"/>
      <c r="E39" s="118"/>
      <c r="F39" s="147"/>
      <c r="G39" s="14"/>
    </row>
    <row r="40" spans="1:7">
      <c r="A40" s="31"/>
      <c r="B40" s="32"/>
      <c r="C40" s="13"/>
      <c r="D40" s="13"/>
      <c r="E40" s="13"/>
      <c r="F40" s="32"/>
      <c r="G40" s="14"/>
    </row>
    <row r="41" spans="1:7">
      <c r="A41" s="31"/>
      <c r="B41" s="32"/>
      <c r="C41" s="13"/>
      <c r="D41" s="13"/>
      <c r="E41" s="13"/>
      <c r="F41" s="32"/>
      <c r="G41" s="14"/>
    </row>
    <row r="42" spans="1:7">
      <c r="A42" s="31"/>
      <c r="B42" s="32"/>
      <c r="C42" s="13"/>
      <c r="D42" s="13"/>
      <c r="E42" s="13"/>
      <c r="F42" s="32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f>G13+G17</f>
        <v>1500000</v>
      </c>
    </row>
    <row r="44" spans="1:7" ht="15.75">
      <c r="A44" s="5"/>
      <c r="B44" s="19"/>
      <c r="C44" s="17"/>
      <c r="D44" s="17"/>
      <c r="E44" s="17"/>
      <c r="F44" s="18" t="s">
        <v>65</v>
      </c>
      <c r="G44" s="20">
        <f>G43*5%</f>
        <v>75000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f>G43+G44</f>
        <v>1575000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45:B45"/>
    <mergeCell ref="A23:B23"/>
    <mergeCell ref="E23:F23"/>
    <mergeCell ref="A31:B31"/>
    <mergeCell ref="E31:F31"/>
    <mergeCell ref="A39:B39"/>
    <mergeCell ref="E39:F39"/>
    <mergeCell ref="A19:B19"/>
    <mergeCell ref="E19:F19"/>
    <mergeCell ref="A20:B20"/>
    <mergeCell ref="E20:F20"/>
    <mergeCell ref="A21:B21"/>
    <mergeCell ref="E21:F21"/>
    <mergeCell ref="A13:B13"/>
    <mergeCell ref="E13:F13"/>
    <mergeCell ref="A15:B15"/>
    <mergeCell ref="E15:F15"/>
    <mergeCell ref="A17:B17"/>
    <mergeCell ref="E17:F17"/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5DE6-49A4-4C0E-B2C5-77BF14FD4B6F}">
  <dimension ref="A1:G47"/>
  <sheetViews>
    <sheetView topLeftCell="A23" zoomScaleNormal="100" workbookViewId="0">
      <selection activeCell="A26" sqref="A26:XFD26 A28:XFD28 A30:XFD30 A32:XFD32 A34:XFD34 A36:XFD36 A38:XFD38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43" t="s">
        <v>80</v>
      </c>
      <c r="B2" s="144"/>
      <c r="C2" s="144"/>
      <c r="D2" s="144"/>
      <c r="E2" s="144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81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82</v>
      </c>
      <c r="B6" s="6"/>
      <c r="C6" s="7"/>
      <c r="D6" s="7"/>
      <c r="E6" s="132" t="s">
        <v>34</v>
      </c>
      <c r="F6" s="132"/>
      <c r="G6" s="42">
        <v>45203</v>
      </c>
    </row>
    <row r="7" spans="1:7" ht="15.75">
      <c r="A7" s="5" t="s">
        <v>83</v>
      </c>
      <c r="B7" s="6"/>
      <c r="C7" s="7"/>
      <c r="D7" s="7"/>
      <c r="E7" s="133" t="s">
        <v>36</v>
      </c>
      <c r="F7" s="133"/>
      <c r="G7" s="42">
        <v>45174</v>
      </c>
    </row>
    <row r="8" spans="1:7" ht="15.75">
      <c r="A8" s="5" t="s">
        <v>84</v>
      </c>
      <c r="B8" s="6"/>
      <c r="C8" s="7"/>
      <c r="D8" s="7"/>
      <c r="E8" s="132" t="s">
        <v>39</v>
      </c>
      <c r="F8" s="132"/>
      <c r="G8" s="44" t="s">
        <v>87</v>
      </c>
    </row>
    <row r="9" spans="1:7">
      <c r="A9" s="9" t="s">
        <v>86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77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620000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930000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136"/>
      <c r="B21" s="147"/>
      <c r="C21" s="13"/>
      <c r="D21" s="13"/>
      <c r="E21" s="118"/>
      <c r="F21" s="147"/>
      <c r="G21" s="14"/>
    </row>
    <row r="22" spans="1:7">
      <c r="A22" s="31"/>
      <c r="B22" s="32"/>
      <c r="C22" s="13"/>
      <c r="D22" s="13"/>
      <c r="E22" s="13"/>
      <c r="F22" s="32"/>
      <c r="G22" s="14"/>
    </row>
    <row r="23" spans="1:7">
      <c r="A23" s="136"/>
      <c r="B23" s="147"/>
      <c r="C23" s="13"/>
      <c r="D23" s="13"/>
      <c r="E23" s="118"/>
      <c r="F23" s="147"/>
      <c r="G23" s="14"/>
    </row>
    <row r="24" spans="1:7">
      <c r="A24" s="31"/>
      <c r="B24" s="32"/>
      <c r="C24" s="13"/>
      <c r="D24" s="13"/>
      <c r="E24" s="13"/>
      <c r="F24" s="32"/>
      <c r="G24" s="14"/>
    </row>
    <row r="25" spans="1:7">
      <c r="A25" s="31"/>
      <c r="B25" s="32"/>
      <c r="C25" s="13"/>
      <c r="D25" s="13"/>
      <c r="E25" s="13"/>
      <c r="F25" s="32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31"/>
      <c r="B32" s="32"/>
      <c r="C32" s="13"/>
      <c r="D32" s="13"/>
      <c r="E32" s="13"/>
      <c r="F32" s="32"/>
      <c r="G32" s="14"/>
    </row>
    <row r="33" spans="1:7">
      <c r="A33" s="136"/>
      <c r="B33" s="147"/>
      <c r="C33" s="13"/>
      <c r="D33" s="13"/>
      <c r="E33" s="118"/>
      <c r="F33" s="147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31"/>
      <c r="B40" s="32"/>
      <c r="C40" s="13"/>
      <c r="D40" s="13"/>
      <c r="E40" s="13"/>
      <c r="F40" s="32"/>
      <c r="G40" s="14"/>
    </row>
    <row r="41" spans="1:7">
      <c r="A41" s="31"/>
      <c r="B41" s="32"/>
      <c r="C41" s="13"/>
      <c r="D41" s="13"/>
      <c r="E41" s="13"/>
      <c r="F41" s="32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f>G13+G17</f>
        <v>1550000</v>
      </c>
    </row>
    <row r="44" spans="1:7" ht="15.75">
      <c r="A44" s="5"/>
      <c r="B44" s="19"/>
      <c r="C44" s="17"/>
      <c r="D44" s="17"/>
      <c r="E44" s="17"/>
      <c r="F44" s="18" t="s">
        <v>65</v>
      </c>
      <c r="G44" s="20">
        <f>G43*5%</f>
        <v>77500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f>G43+G44</f>
        <v>1627500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45:B45"/>
    <mergeCell ref="A23:B23"/>
    <mergeCell ref="E23:F23"/>
    <mergeCell ref="A33:B33"/>
    <mergeCell ref="E33:F33"/>
    <mergeCell ref="A42:B42"/>
    <mergeCell ref="E42:F42"/>
    <mergeCell ref="A19:B19"/>
    <mergeCell ref="E19:F19"/>
    <mergeCell ref="A20:B20"/>
    <mergeCell ref="E20:F20"/>
    <mergeCell ref="A21:B21"/>
    <mergeCell ref="E21:F21"/>
    <mergeCell ref="A13:B13"/>
    <mergeCell ref="E13:F13"/>
    <mergeCell ref="A15:B15"/>
    <mergeCell ref="E15:F15"/>
    <mergeCell ref="A17:B17"/>
    <mergeCell ref="E17:F17"/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BA1E-0686-4498-80C0-E0D73D3F8CA5}">
  <dimension ref="A1:G47"/>
  <sheetViews>
    <sheetView topLeftCell="A26" zoomScaleNormal="100" workbookViewId="0">
      <selection activeCell="A29" sqref="A29:XFD29 A31:XFD31 A33:XFD33 A35:XFD35 A37:XFD37 A39:XFD39 A41:XFD41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43" t="s">
        <v>80</v>
      </c>
      <c r="B2" s="144"/>
      <c r="C2" s="144"/>
      <c r="D2" s="144"/>
      <c r="E2" s="144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81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82</v>
      </c>
      <c r="B6" s="6"/>
      <c r="C6" s="7"/>
      <c r="D6" s="7"/>
      <c r="E6" s="132" t="s">
        <v>34</v>
      </c>
      <c r="F6" s="132"/>
      <c r="G6" s="42">
        <v>45569</v>
      </c>
    </row>
    <row r="7" spans="1:7" ht="15.75">
      <c r="A7" s="5" t="s">
        <v>83</v>
      </c>
      <c r="B7" s="6"/>
      <c r="C7" s="7"/>
      <c r="D7" s="7"/>
      <c r="E7" s="133" t="s">
        <v>36</v>
      </c>
      <c r="F7" s="133"/>
      <c r="G7" s="42">
        <v>45540</v>
      </c>
    </row>
    <row r="8" spans="1:7" ht="15.75">
      <c r="A8" s="5" t="s">
        <v>84</v>
      </c>
      <c r="B8" s="6"/>
      <c r="C8" s="7"/>
      <c r="D8" s="7"/>
      <c r="E8" s="132" t="s">
        <v>39</v>
      </c>
      <c r="F8" s="132"/>
      <c r="G8" s="44" t="s">
        <v>88</v>
      </c>
    </row>
    <row r="9" spans="1:7">
      <c r="A9" s="9" t="s">
        <v>86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77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650000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910000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31"/>
      <c r="B21" s="32"/>
      <c r="C21" s="13"/>
      <c r="D21" s="13"/>
      <c r="E21" s="13"/>
      <c r="F21" s="32"/>
      <c r="G21" s="14"/>
    </row>
    <row r="22" spans="1:7">
      <c r="A22" s="136"/>
      <c r="B22" s="147"/>
      <c r="C22" s="13"/>
      <c r="D22" s="13"/>
      <c r="E22" s="118"/>
      <c r="F22" s="147"/>
      <c r="G22" s="14"/>
    </row>
    <row r="23" spans="1:7">
      <c r="A23" s="31"/>
      <c r="B23" s="32"/>
      <c r="C23" s="13"/>
      <c r="D23" s="13"/>
      <c r="E23" s="13"/>
      <c r="F23" s="32"/>
      <c r="G23" s="14"/>
    </row>
    <row r="24" spans="1:7">
      <c r="A24" s="31"/>
      <c r="B24" s="32"/>
      <c r="C24" s="13"/>
      <c r="D24" s="13"/>
      <c r="E24" s="13"/>
      <c r="F24" s="32"/>
      <c r="G24" s="14"/>
    </row>
    <row r="25" spans="1:7">
      <c r="A25" s="31"/>
      <c r="B25" s="32"/>
      <c r="C25" s="13"/>
      <c r="D25" s="13"/>
      <c r="E25" s="13"/>
      <c r="F25" s="32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136"/>
      <c r="B30" s="134"/>
      <c r="C30" s="13"/>
      <c r="D30" s="13"/>
      <c r="E30" s="118"/>
      <c r="F30" s="118"/>
      <c r="G30" s="14"/>
    </row>
    <row r="31" spans="1:7">
      <c r="A31" s="31"/>
      <c r="B31" s="61"/>
      <c r="C31" s="13"/>
      <c r="D31" s="13"/>
      <c r="E31" s="13"/>
      <c r="F31" s="13"/>
      <c r="G31" s="14"/>
    </row>
    <row r="32" spans="1:7">
      <c r="A32" s="31"/>
      <c r="B32" s="61"/>
      <c r="C32" s="13"/>
      <c r="D32" s="13"/>
      <c r="E32" s="13"/>
      <c r="F32" s="13"/>
      <c r="G32" s="14"/>
    </row>
    <row r="33" spans="1:7">
      <c r="A33" s="31"/>
      <c r="B33" s="61"/>
      <c r="C33" s="13"/>
      <c r="D33" s="13"/>
      <c r="E33" s="13"/>
      <c r="F33" s="13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136"/>
      <c r="B38" s="134"/>
      <c r="C38" s="13"/>
      <c r="D38" s="13"/>
      <c r="E38" s="118"/>
      <c r="F38" s="118"/>
      <c r="G38" s="14"/>
    </row>
    <row r="39" spans="1:7">
      <c r="A39" s="31"/>
      <c r="B39" s="61"/>
      <c r="C39" s="13"/>
      <c r="D39" s="13"/>
      <c r="E39" s="13"/>
      <c r="F39" s="13"/>
      <c r="G39" s="14"/>
    </row>
    <row r="40" spans="1:7">
      <c r="A40" s="31"/>
      <c r="B40" s="61"/>
      <c r="C40" s="13"/>
      <c r="D40" s="13"/>
      <c r="E40" s="13"/>
      <c r="F40" s="13"/>
      <c r="G40" s="14"/>
    </row>
    <row r="41" spans="1:7">
      <c r="A41" s="31"/>
      <c r="B41" s="61"/>
      <c r="C41" s="13"/>
      <c r="D41" s="13"/>
      <c r="E41" s="13"/>
      <c r="F41" s="13"/>
      <c r="G41" s="14"/>
    </row>
    <row r="42" spans="1:7">
      <c r="A42" s="136"/>
      <c r="B42" s="134"/>
      <c r="C42" s="13"/>
      <c r="D42" s="13"/>
      <c r="E42" s="118"/>
      <c r="F42" s="118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f>G13+G17</f>
        <v>1560000</v>
      </c>
    </row>
    <row r="44" spans="1:7" ht="15.75">
      <c r="A44" s="5"/>
      <c r="B44" s="19"/>
      <c r="C44" s="17"/>
      <c r="D44" s="17"/>
      <c r="E44" s="17"/>
      <c r="F44" s="18" t="s">
        <v>65</v>
      </c>
      <c r="G44" s="20">
        <f>G43*5%</f>
        <v>78000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f>G43+G44</f>
        <v>1638000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45:B45"/>
    <mergeCell ref="A19:B19"/>
    <mergeCell ref="E19:F19"/>
    <mergeCell ref="A20:B20"/>
    <mergeCell ref="E20:F20"/>
    <mergeCell ref="A22:B22"/>
    <mergeCell ref="E22:F22"/>
    <mergeCell ref="A13:B13"/>
    <mergeCell ref="E13:F13"/>
    <mergeCell ref="A15:B15"/>
    <mergeCell ref="E15:F15"/>
    <mergeCell ref="A17:B17"/>
    <mergeCell ref="E17:F17"/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  <mergeCell ref="E30:F30"/>
    <mergeCell ref="A30:B30"/>
    <mergeCell ref="E38:F38"/>
    <mergeCell ref="A38:B38"/>
    <mergeCell ref="E42:F42"/>
    <mergeCell ref="A42:B42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D390-BFA5-4330-9D07-3D8BE17AC7F0}">
  <dimension ref="A1:G47"/>
  <sheetViews>
    <sheetView topLeftCell="A38" zoomScaleNormal="100" workbookViewId="0">
      <selection activeCell="A27" sqref="A27:XFD27 A29:XFD29 A31:XFD31 A33:XFD33 A35:XFD35 A37:XFD37 A39:XFD39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24" t="s">
        <v>89</v>
      </c>
      <c r="B2" s="125"/>
      <c r="C2" s="125"/>
      <c r="D2" s="125"/>
      <c r="E2" s="125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90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91</v>
      </c>
      <c r="B6" s="6"/>
      <c r="C6" s="7"/>
      <c r="D6" s="7"/>
      <c r="E6" s="132" t="s">
        <v>34</v>
      </c>
      <c r="F6" s="132"/>
      <c r="G6" s="42">
        <v>44661</v>
      </c>
    </row>
    <row r="7" spans="1:7" ht="15.75">
      <c r="A7" s="5" t="s">
        <v>92</v>
      </c>
      <c r="B7" s="6"/>
      <c r="C7" s="7"/>
      <c r="D7" s="7"/>
      <c r="E7" s="133" t="s">
        <v>36</v>
      </c>
      <c r="F7" s="133"/>
      <c r="G7" s="43" t="s">
        <v>60</v>
      </c>
    </row>
    <row r="8" spans="1:7" ht="15.75">
      <c r="A8" s="5" t="s">
        <v>93</v>
      </c>
      <c r="B8" s="6"/>
      <c r="C8" s="7"/>
      <c r="D8" s="7"/>
      <c r="E8" s="132" t="s">
        <v>39</v>
      </c>
      <c r="F8" s="132"/>
      <c r="G8" s="44" t="s">
        <v>94</v>
      </c>
    </row>
    <row r="9" spans="1:7">
      <c r="A9" s="9" t="s">
        <v>95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64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200000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120000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31"/>
      <c r="B21" s="32"/>
      <c r="C21" s="13"/>
      <c r="D21" s="13"/>
      <c r="E21" s="13"/>
      <c r="F21" s="32"/>
      <c r="G21" s="14"/>
    </row>
    <row r="22" spans="1:7">
      <c r="A22" s="31"/>
      <c r="B22" s="32"/>
      <c r="C22" s="13"/>
      <c r="D22" s="13"/>
      <c r="E22" s="13"/>
      <c r="F22" s="32"/>
      <c r="G22" s="14"/>
    </row>
    <row r="23" spans="1:7">
      <c r="A23" s="136"/>
      <c r="B23" s="147"/>
      <c r="C23" s="13"/>
      <c r="D23" s="13"/>
      <c r="E23" s="118"/>
      <c r="F23" s="147"/>
      <c r="G23" s="14"/>
    </row>
    <row r="24" spans="1:7">
      <c r="A24" s="31"/>
      <c r="B24" s="32"/>
      <c r="C24" s="13"/>
      <c r="D24" s="13"/>
      <c r="E24" s="13"/>
      <c r="F24" s="32"/>
      <c r="G24" s="14"/>
    </row>
    <row r="25" spans="1:7">
      <c r="A25" s="31"/>
      <c r="B25" s="32"/>
      <c r="C25" s="13"/>
      <c r="D25" s="13"/>
      <c r="E25" s="13"/>
      <c r="F25" s="32"/>
      <c r="G25" s="14"/>
    </row>
    <row r="26" spans="1:7">
      <c r="A26" s="31"/>
      <c r="B26" s="32"/>
      <c r="C26" s="13"/>
      <c r="D26" s="13"/>
      <c r="E26" s="13"/>
      <c r="F26" s="32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136"/>
      <c r="B32" s="147"/>
      <c r="C32" s="13"/>
      <c r="D32" s="13"/>
      <c r="E32" s="118"/>
      <c r="F32" s="147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136"/>
      <c r="B40" s="147"/>
      <c r="C40" s="13"/>
      <c r="D40" s="13"/>
      <c r="E40" s="118"/>
      <c r="F40" s="147"/>
      <c r="G40" s="14"/>
    </row>
    <row r="41" spans="1:7">
      <c r="A41" s="31"/>
      <c r="B41" s="32"/>
      <c r="C41" s="13"/>
      <c r="D41" s="13"/>
      <c r="E41" s="13"/>
      <c r="F41" s="32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v>320000</v>
      </c>
    </row>
    <row r="44" spans="1:7" ht="15.75">
      <c r="A44" s="5"/>
      <c r="B44" s="19"/>
      <c r="C44" s="17"/>
      <c r="D44" s="17"/>
      <c r="E44" s="17"/>
      <c r="F44" s="18" t="s">
        <v>65</v>
      </c>
      <c r="G44" s="20">
        <v>16000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v>336000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  <mergeCell ref="A13:B13"/>
    <mergeCell ref="E13:F13"/>
    <mergeCell ref="A15:B15"/>
    <mergeCell ref="E15:F15"/>
    <mergeCell ref="A17:B17"/>
    <mergeCell ref="E17:F17"/>
    <mergeCell ref="A19:B19"/>
    <mergeCell ref="E19:F19"/>
    <mergeCell ref="A20:B20"/>
    <mergeCell ref="E20:F20"/>
    <mergeCell ref="A23:B23"/>
    <mergeCell ref="E23:F23"/>
    <mergeCell ref="A45:B45"/>
    <mergeCell ref="A32:B32"/>
    <mergeCell ref="E32:F32"/>
    <mergeCell ref="A40:B40"/>
    <mergeCell ref="E40:F40"/>
    <mergeCell ref="A42:B42"/>
    <mergeCell ref="E42:F42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5379-EEC7-4FAA-A06C-5D795C60E00C}">
  <dimension ref="A1:G47"/>
  <sheetViews>
    <sheetView topLeftCell="A35" zoomScaleNormal="100" workbookViewId="0">
      <selection activeCell="A23" sqref="A23:XFD23 A25:XFD25 A27:XFD27 A29:XFD29 A31:XFD31 A33:XFD33 A35:XFD35"/>
    </sheetView>
  </sheetViews>
  <sheetFormatPr defaultRowHeight="15" customHeight="1"/>
  <cols>
    <col min="1" max="1" width="31.140625" customWidth="1"/>
    <col min="2" max="2" width="11.42578125" customWidth="1"/>
    <col min="3" max="4" width="8.7109375" customWidth="1"/>
    <col min="5" max="5" width="12" customWidth="1"/>
    <col min="6" max="6" width="7.28515625" customWidth="1"/>
    <col min="7" max="7" width="17" customWidth="1"/>
  </cols>
  <sheetData>
    <row r="1" spans="1:7" ht="30.75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24" t="s">
        <v>89</v>
      </c>
      <c r="B2" s="125"/>
      <c r="C2" s="125"/>
      <c r="D2" s="125"/>
      <c r="E2" s="125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90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91</v>
      </c>
      <c r="B6" s="6"/>
      <c r="C6" s="7"/>
      <c r="D6" s="7"/>
      <c r="E6" s="132" t="s">
        <v>34</v>
      </c>
      <c r="F6" s="132"/>
      <c r="G6" s="42">
        <v>45026</v>
      </c>
    </row>
    <row r="7" spans="1:7" ht="15.75">
      <c r="A7" s="5" t="s">
        <v>92</v>
      </c>
      <c r="B7" s="6"/>
      <c r="C7" s="7"/>
      <c r="D7" s="7"/>
      <c r="E7" s="133" t="s">
        <v>36</v>
      </c>
      <c r="F7" s="133"/>
      <c r="G7" s="43" t="s">
        <v>66</v>
      </c>
    </row>
    <row r="8" spans="1:7" ht="15.75">
      <c r="A8" s="5" t="s">
        <v>93</v>
      </c>
      <c r="B8" s="6"/>
      <c r="C8" s="7"/>
      <c r="D8" s="7"/>
      <c r="E8" s="132" t="s">
        <v>39</v>
      </c>
      <c r="F8" s="132"/>
      <c r="G8" s="44" t="s">
        <v>96</v>
      </c>
    </row>
    <row r="9" spans="1:7">
      <c r="A9" s="9" t="s">
        <v>95</v>
      </c>
      <c r="B9" s="10"/>
      <c r="C9" s="7"/>
      <c r="D9" s="7"/>
      <c r="E9" s="7"/>
      <c r="F9" s="8"/>
      <c r="G9" s="11"/>
    </row>
    <row r="10" spans="1:7">
      <c r="A10" s="9"/>
      <c r="B10" s="10"/>
      <c r="C10" s="7"/>
      <c r="D10" s="7"/>
      <c r="E10" s="7"/>
      <c r="F10" s="8"/>
      <c r="G10" s="12"/>
    </row>
    <row r="11" spans="1:7">
      <c r="A11" s="9"/>
      <c r="B11" s="10"/>
      <c r="C11" s="7"/>
      <c r="D11" s="7"/>
      <c r="E11" s="7"/>
      <c r="F11" s="8"/>
      <c r="G11" s="12"/>
    </row>
    <row r="12" spans="1:7">
      <c r="A12" s="138" t="s">
        <v>42</v>
      </c>
      <c r="B12" s="139"/>
      <c r="C12" s="29"/>
      <c r="D12" s="29"/>
      <c r="E12" s="140"/>
      <c r="F12" s="140"/>
      <c r="G12" s="30" t="s">
        <v>64</v>
      </c>
    </row>
    <row r="13" spans="1:7">
      <c r="A13" s="141" t="s">
        <v>44</v>
      </c>
      <c r="B13" s="142"/>
      <c r="C13" s="13"/>
      <c r="D13" s="13"/>
      <c r="E13" s="118"/>
      <c r="F13" s="147"/>
      <c r="G13" s="20">
        <v>220000</v>
      </c>
    </row>
    <row r="14" spans="1:7">
      <c r="A14" s="54"/>
      <c r="B14" s="55"/>
      <c r="C14" s="13"/>
      <c r="D14" s="13"/>
      <c r="E14" s="13"/>
      <c r="F14" s="32"/>
      <c r="G14" s="20"/>
    </row>
    <row r="15" spans="1:7">
      <c r="A15" s="116" t="s">
        <v>45</v>
      </c>
      <c r="B15" s="117"/>
      <c r="C15" s="13"/>
      <c r="D15" s="13"/>
      <c r="E15" s="118"/>
      <c r="F15" s="147"/>
      <c r="G15" s="14"/>
    </row>
    <row r="16" spans="1:7">
      <c r="A16" s="52"/>
      <c r="B16" s="53"/>
      <c r="C16" s="13"/>
      <c r="D16" s="13"/>
      <c r="E16" s="13"/>
      <c r="F16" s="32"/>
      <c r="G16" s="14"/>
    </row>
    <row r="17" spans="1:7">
      <c r="A17" s="141" t="s">
        <v>46</v>
      </c>
      <c r="B17" s="142"/>
      <c r="C17" s="13"/>
      <c r="D17" s="13"/>
      <c r="E17" s="118"/>
      <c r="F17" s="147"/>
      <c r="G17" s="20">
        <v>150000</v>
      </c>
    </row>
    <row r="18" spans="1:7">
      <c r="A18" s="54"/>
      <c r="B18" s="55"/>
      <c r="C18" s="13"/>
      <c r="D18" s="13"/>
      <c r="E18" s="13"/>
      <c r="F18" s="32"/>
      <c r="G18" s="20"/>
    </row>
    <row r="19" spans="1:7">
      <c r="A19" s="116" t="s">
        <v>47</v>
      </c>
      <c r="B19" s="117"/>
      <c r="C19" s="13"/>
      <c r="D19" s="13"/>
      <c r="E19" s="118"/>
      <c r="F19" s="147"/>
      <c r="G19" s="14"/>
    </row>
    <row r="20" spans="1:7">
      <c r="A20" s="136"/>
      <c r="B20" s="147"/>
      <c r="C20" s="13"/>
      <c r="D20" s="13"/>
      <c r="E20" s="118"/>
      <c r="F20" s="147"/>
      <c r="G20" s="14"/>
    </row>
    <row r="21" spans="1:7">
      <c r="A21" s="31"/>
      <c r="B21" s="32"/>
      <c r="C21" s="13"/>
      <c r="D21" s="13"/>
      <c r="E21" s="13"/>
      <c r="F21" s="32"/>
      <c r="G21" s="14"/>
    </row>
    <row r="22" spans="1:7">
      <c r="A22" s="136"/>
      <c r="B22" s="147"/>
      <c r="C22" s="13"/>
      <c r="D22" s="13"/>
      <c r="E22" s="118"/>
      <c r="F22" s="147"/>
      <c r="G22" s="14"/>
    </row>
    <row r="23" spans="1:7">
      <c r="A23" s="31"/>
      <c r="B23" s="32"/>
      <c r="C23" s="13"/>
      <c r="D23" s="13"/>
      <c r="E23" s="13"/>
      <c r="F23" s="32"/>
      <c r="G23" s="14"/>
    </row>
    <row r="24" spans="1:7">
      <c r="A24" s="31"/>
      <c r="B24" s="32"/>
      <c r="C24" s="13"/>
      <c r="D24" s="13"/>
      <c r="E24" s="13"/>
      <c r="F24" s="32"/>
      <c r="G24" s="14"/>
    </row>
    <row r="25" spans="1:7">
      <c r="A25" s="31"/>
      <c r="B25" s="32"/>
      <c r="C25" s="13"/>
      <c r="D25" s="13"/>
      <c r="E25" s="13"/>
      <c r="F25" s="32"/>
      <c r="G25" s="14"/>
    </row>
    <row r="26" spans="1:7">
      <c r="A26" s="136"/>
      <c r="B26" s="147"/>
      <c r="C26" s="13"/>
      <c r="D26" s="13"/>
      <c r="E26" s="118"/>
      <c r="F26" s="147"/>
      <c r="G26" s="14"/>
    </row>
    <row r="27" spans="1:7">
      <c r="A27" s="31"/>
      <c r="B27" s="32"/>
      <c r="C27" s="13"/>
      <c r="D27" s="13"/>
      <c r="E27" s="13"/>
      <c r="F27" s="32"/>
      <c r="G27" s="14"/>
    </row>
    <row r="28" spans="1:7">
      <c r="A28" s="31"/>
      <c r="B28" s="32"/>
      <c r="C28" s="13"/>
      <c r="D28" s="13"/>
      <c r="E28" s="13"/>
      <c r="F28" s="32"/>
      <c r="G28" s="14"/>
    </row>
    <row r="29" spans="1:7">
      <c r="A29" s="31"/>
      <c r="B29" s="32"/>
      <c r="C29" s="13"/>
      <c r="D29" s="13"/>
      <c r="E29" s="13"/>
      <c r="F29" s="32"/>
      <c r="G29" s="14"/>
    </row>
    <row r="30" spans="1:7">
      <c r="A30" s="31"/>
      <c r="B30" s="32"/>
      <c r="C30" s="13"/>
      <c r="D30" s="13"/>
      <c r="E30" s="13"/>
      <c r="F30" s="32"/>
      <c r="G30" s="14"/>
    </row>
    <row r="31" spans="1:7">
      <c r="A31" s="31"/>
      <c r="B31" s="32"/>
      <c r="C31" s="13"/>
      <c r="D31" s="13"/>
      <c r="E31" s="13"/>
      <c r="F31" s="32"/>
      <c r="G31" s="14"/>
    </row>
    <row r="32" spans="1:7">
      <c r="A32" s="31"/>
      <c r="B32" s="32"/>
      <c r="C32" s="13"/>
      <c r="D32" s="13"/>
      <c r="E32" s="13"/>
      <c r="F32" s="32"/>
      <c r="G32" s="14"/>
    </row>
    <row r="33" spans="1:7">
      <c r="A33" s="31"/>
      <c r="B33" s="32"/>
      <c r="C33" s="13"/>
      <c r="D33" s="13"/>
      <c r="E33" s="13"/>
      <c r="F33" s="32"/>
      <c r="G33" s="14"/>
    </row>
    <row r="34" spans="1:7">
      <c r="A34" s="31"/>
      <c r="B34" s="32"/>
      <c r="C34" s="13"/>
      <c r="D34" s="13"/>
      <c r="E34" s="13"/>
      <c r="F34" s="32"/>
      <c r="G34" s="14"/>
    </row>
    <row r="35" spans="1:7">
      <c r="A35" s="31"/>
      <c r="B35" s="32"/>
      <c r="C35" s="13"/>
      <c r="D35" s="13"/>
      <c r="E35" s="13"/>
      <c r="F35" s="32"/>
      <c r="G35" s="14"/>
    </row>
    <row r="36" spans="1:7">
      <c r="A36" s="31"/>
      <c r="B36" s="32"/>
      <c r="C36" s="13"/>
      <c r="D36" s="13"/>
      <c r="E36" s="13"/>
      <c r="F36" s="32"/>
      <c r="G36" s="14"/>
    </row>
    <row r="37" spans="1:7">
      <c r="A37" s="31"/>
      <c r="B37" s="32"/>
      <c r="C37" s="13"/>
      <c r="D37" s="13"/>
      <c r="E37" s="13"/>
      <c r="F37" s="32"/>
      <c r="G37" s="14"/>
    </row>
    <row r="38" spans="1:7">
      <c r="A38" s="31"/>
      <c r="B38" s="32"/>
      <c r="C38" s="13"/>
      <c r="D38" s="13"/>
      <c r="E38" s="13"/>
      <c r="F38" s="32"/>
      <c r="G38" s="14"/>
    </row>
    <row r="39" spans="1:7">
      <c r="A39" s="31"/>
      <c r="B39" s="32"/>
      <c r="C39" s="13"/>
      <c r="D39" s="13"/>
      <c r="E39" s="13"/>
      <c r="F39" s="32"/>
      <c r="G39" s="14"/>
    </row>
    <row r="40" spans="1:7">
      <c r="A40" s="136"/>
      <c r="B40" s="147"/>
      <c r="C40" s="13"/>
      <c r="D40" s="13"/>
      <c r="E40" s="118"/>
      <c r="F40" s="147"/>
      <c r="G40" s="14"/>
    </row>
    <row r="41" spans="1:7">
      <c r="A41" s="31"/>
      <c r="B41" s="32"/>
      <c r="C41" s="13"/>
      <c r="D41" s="13"/>
      <c r="E41" s="13"/>
      <c r="F41" s="32"/>
      <c r="G41" s="14"/>
    </row>
    <row r="42" spans="1:7">
      <c r="A42" s="136"/>
      <c r="B42" s="147"/>
      <c r="C42" s="13"/>
      <c r="D42" s="13"/>
      <c r="E42" s="118"/>
      <c r="F42" s="147"/>
      <c r="G42" s="14"/>
    </row>
    <row r="43" spans="1:7" ht="15.75">
      <c r="A43" s="15"/>
      <c r="B43" s="16"/>
      <c r="C43" s="17"/>
      <c r="D43" s="17"/>
      <c r="E43" s="17"/>
      <c r="F43" s="18" t="s">
        <v>48</v>
      </c>
      <c r="G43" s="20">
        <f>G13+G17</f>
        <v>370000</v>
      </c>
    </row>
    <row r="44" spans="1:7" ht="15.75">
      <c r="A44" s="5"/>
      <c r="B44" s="19"/>
      <c r="C44" s="17"/>
      <c r="D44" s="17"/>
      <c r="E44" s="17"/>
      <c r="F44" s="18" t="s">
        <v>65</v>
      </c>
      <c r="G44" s="20">
        <f>G43*5%</f>
        <v>18500</v>
      </c>
    </row>
    <row r="45" spans="1:7" ht="23.25">
      <c r="A45" s="137"/>
      <c r="B45" s="148"/>
      <c r="C45" s="17"/>
      <c r="D45" s="17"/>
      <c r="E45" s="17"/>
      <c r="F45" s="25" t="s">
        <v>50</v>
      </c>
      <c r="G45" s="23">
        <f>G43+G44</f>
        <v>388500</v>
      </c>
    </row>
    <row r="46" spans="1:7" ht="23.25">
      <c r="A46" s="63"/>
      <c r="B46" s="58"/>
      <c r="C46" s="17"/>
      <c r="D46" s="17"/>
      <c r="E46" s="17"/>
      <c r="F46" s="25"/>
      <c r="G46" s="23"/>
    </row>
    <row r="47" spans="1:7" ht="15.75">
      <c r="A47" s="28" t="s">
        <v>51</v>
      </c>
      <c r="B47" s="21"/>
      <c r="C47" s="21"/>
      <c r="D47" s="21"/>
      <c r="E47" s="21"/>
      <c r="F47" s="21"/>
      <c r="G47" s="22"/>
    </row>
  </sheetData>
  <mergeCells count="29"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  <mergeCell ref="A13:B13"/>
    <mergeCell ref="E13:F13"/>
    <mergeCell ref="A15:B15"/>
    <mergeCell ref="E15:F15"/>
    <mergeCell ref="A17:B17"/>
    <mergeCell ref="E17:F17"/>
    <mergeCell ref="A19:B19"/>
    <mergeCell ref="E19:F19"/>
    <mergeCell ref="A20:B20"/>
    <mergeCell ref="E20:F20"/>
    <mergeCell ref="A22:B22"/>
    <mergeCell ref="E22:F22"/>
    <mergeCell ref="A45:B45"/>
    <mergeCell ref="A26:B26"/>
    <mergeCell ref="E26:F26"/>
    <mergeCell ref="A40:B40"/>
    <mergeCell ref="E40:F40"/>
    <mergeCell ref="A42:B42"/>
    <mergeCell ref="E42:F42"/>
  </mergeCells>
  <pageMargins left="0.7" right="0.7" top="0.75" bottom="0.75" header="0.3" footer="0.3"/>
  <pageSetup paperSize="9" scale="88" fitToWidth="0" fitToHeight="0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E7BB-1E28-4EA3-8500-B9CAE6B2813C}">
  <dimension ref="A1:G55"/>
  <sheetViews>
    <sheetView topLeftCell="A36" zoomScale="50" zoomScaleNormal="50" workbookViewId="0">
      <selection activeCell="A24" sqref="A24:XFD24 A26:XFD26 A28:XFD28 A30:XFD30 A32:XFD32 A34:XFD34 A36:XFD36"/>
    </sheetView>
  </sheetViews>
  <sheetFormatPr defaultRowHeight="14.45"/>
  <cols>
    <col min="1" max="1" width="31.140625" customWidth="1"/>
    <col min="2" max="3" width="11.42578125" customWidth="1"/>
    <col min="4" max="4" width="8.7109375" customWidth="1"/>
    <col min="5" max="5" width="12" customWidth="1"/>
    <col min="6" max="6" width="7.28515625" customWidth="1"/>
    <col min="7" max="7" width="17" customWidth="1"/>
  </cols>
  <sheetData>
    <row r="1" spans="1:7" ht="30.6">
      <c r="A1" s="112" t="s">
        <v>0</v>
      </c>
      <c r="B1" s="113"/>
      <c r="C1" s="113"/>
      <c r="D1" s="113"/>
      <c r="E1" s="113"/>
      <c r="F1" s="128"/>
      <c r="G1" s="129"/>
    </row>
    <row r="2" spans="1:7" ht="27.75" customHeight="1">
      <c r="A2" s="124" t="s">
        <v>89</v>
      </c>
      <c r="B2" s="125"/>
      <c r="C2" s="125"/>
      <c r="D2" s="125"/>
      <c r="E2" s="125"/>
      <c r="F2" s="130"/>
      <c r="G2" s="131"/>
    </row>
    <row r="3" spans="1:7" ht="21.75" customHeight="1">
      <c r="A3" s="114"/>
      <c r="B3" s="115"/>
      <c r="C3" s="115"/>
      <c r="D3" s="115"/>
      <c r="E3" s="115"/>
      <c r="F3" s="130"/>
      <c r="G3" s="131"/>
    </row>
    <row r="4" spans="1:7" ht="47.25" customHeight="1">
      <c r="A4" s="126" t="s">
        <v>90</v>
      </c>
      <c r="B4" s="127"/>
      <c r="C4" s="127"/>
      <c r="D4" s="127"/>
      <c r="E4" s="127"/>
      <c r="F4" s="130"/>
      <c r="G4" s="131"/>
    </row>
    <row r="5" spans="1:7" ht="27.75" customHeight="1">
      <c r="A5" s="2"/>
      <c r="B5" s="3"/>
      <c r="C5" s="3"/>
      <c r="D5" s="3"/>
      <c r="E5" s="3"/>
      <c r="F5" s="1"/>
      <c r="G5" s="4"/>
    </row>
    <row r="6" spans="1:7" ht="15.6" customHeight="1">
      <c r="A6" s="5" t="s">
        <v>91</v>
      </c>
      <c r="B6" s="6"/>
      <c r="C6" s="6"/>
      <c r="D6" s="7"/>
      <c r="E6" s="133" t="s">
        <v>34</v>
      </c>
      <c r="F6" s="133"/>
      <c r="G6" s="42">
        <v>45392</v>
      </c>
    </row>
    <row r="7" spans="1:7" ht="15.6">
      <c r="A7" s="5" t="s">
        <v>92</v>
      </c>
      <c r="B7" s="6"/>
      <c r="C7" s="6"/>
      <c r="D7" s="7"/>
      <c r="E7" s="133" t="s">
        <v>36</v>
      </c>
      <c r="F7" s="133"/>
      <c r="G7" s="43" t="s">
        <v>68</v>
      </c>
    </row>
    <row r="8" spans="1:7" ht="15.6">
      <c r="A8" s="5" t="s">
        <v>93</v>
      </c>
      <c r="B8" s="6"/>
      <c r="C8" s="6"/>
      <c r="D8" s="7"/>
      <c r="E8" s="133" t="s">
        <v>39</v>
      </c>
      <c r="F8" s="133"/>
      <c r="G8" s="44" t="s">
        <v>97</v>
      </c>
    </row>
    <row r="9" spans="1:7">
      <c r="A9" s="9" t="s">
        <v>95</v>
      </c>
      <c r="B9" s="10"/>
      <c r="C9" s="10"/>
      <c r="D9" s="7"/>
      <c r="E9" s="7"/>
      <c r="F9" s="8"/>
      <c r="G9" s="11"/>
    </row>
    <row r="10" spans="1:7">
      <c r="A10" s="9"/>
      <c r="B10" s="10"/>
      <c r="C10" s="10"/>
      <c r="D10" s="7"/>
      <c r="E10" s="7"/>
      <c r="F10" s="8"/>
      <c r="G10" s="12"/>
    </row>
    <row r="11" spans="1:7">
      <c r="A11" s="9"/>
      <c r="B11" s="10"/>
      <c r="C11" s="10"/>
      <c r="D11" s="7"/>
      <c r="E11" s="7"/>
      <c r="F11" s="8"/>
      <c r="G11" s="12"/>
    </row>
    <row r="12" spans="1:7">
      <c r="A12" s="138" t="s">
        <v>42</v>
      </c>
      <c r="B12" s="139"/>
      <c r="C12" s="56"/>
      <c r="D12" s="29"/>
      <c r="E12" s="140"/>
      <c r="F12" s="140"/>
      <c r="G12" s="30" t="s">
        <v>64</v>
      </c>
    </row>
    <row r="13" spans="1:7">
      <c r="A13" s="141" t="s">
        <v>44</v>
      </c>
      <c r="B13" s="142"/>
      <c r="C13" s="55"/>
      <c r="D13" s="13"/>
      <c r="E13" s="118"/>
      <c r="F13" s="147"/>
      <c r="G13" s="20">
        <v>250000</v>
      </c>
    </row>
    <row r="14" spans="1:7">
      <c r="A14" s="54"/>
      <c r="B14" s="55"/>
      <c r="C14" s="55"/>
      <c r="D14" s="13"/>
      <c r="E14" s="13"/>
      <c r="F14" s="32"/>
      <c r="G14" s="20"/>
    </row>
    <row r="15" spans="1:7">
      <c r="A15" s="116" t="s">
        <v>45</v>
      </c>
      <c r="B15" s="117"/>
      <c r="C15" s="55"/>
      <c r="D15" s="13"/>
      <c r="E15" s="13"/>
      <c r="F15" s="32"/>
      <c r="G15" s="20"/>
    </row>
    <row r="16" spans="1:7">
      <c r="A16" s="116"/>
      <c r="B16" s="117"/>
      <c r="C16" s="53"/>
      <c r="D16" s="13"/>
      <c r="E16" s="118"/>
      <c r="F16" s="147"/>
      <c r="G16" s="14"/>
    </row>
    <row r="17" spans="1:7">
      <c r="A17" s="141" t="s">
        <v>46</v>
      </c>
      <c r="B17" s="146"/>
      <c r="C17" s="55"/>
      <c r="D17" s="13"/>
      <c r="E17" s="118"/>
      <c r="F17" s="118"/>
      <c r="G17" s="20">
        <v>160000</v>
      </c>
    </row>
    <row r="18" spans="1:7">
      <c r="A18" s="116"/>
      <c r="B18" s="145"/>
      <c r="C18" s="53"/>
      <c r="D18" s="13"/>
      <c r="E18" s="118"/>
      <c r="F18" s="118"/>
      <c r="G18" s="14"/>
    </row>
    <row r="19" spans="1:7">
      <c r="A19" s="116" t="s">
        <v>47</v>
      </c>
      <c r="B19" s="145"/>
      <c r="C19" s="53"/>
      <c r="D19" s="13"/>
      <c r="E19" s="13"/>
      <c r="F19" s="32"/>
      <c r="G19" s="14"/>
    </row>
    <row r="20" spans="1:7">
      <c r="A20" s="52"/>
      <c r="B20" s="53"/>
      <c r="C20" s="53"/>
      <c r="D20" s="13"/>
      <c r="E20" s="13"/>
      <c r="F20" s="32"/>
      <c r="G20" s="14"/>
    </row>
    <row r="21" spans="1:7">
      <c r="A21" s="52"/>
      <c r="B21" s="53"/>
      <c r="C21" s="53"/>
      <c r="D21" s="13"/>
      <c r="E21" s="13"/>
      <c r="F21" s="32"/>
      <c r="G21" s="14"/>
    </row>
    <row r="22" spans="1:7">
      <c r="A22" s="52"/>
      <c r="B22" s="53"/>
      <c r="C22" s="53"/>
      <c r="D22" s="13"/>
      <c r="E22" s="13"/>
      <c r="F22" s="32"/>
      <c r="G22" s="14"/>
    </row>
    <row r="23" spans="1:7" ht="15">
      <c r="A23" s="52"/>
      <c r="B23" s="53"/>
      <c r="C23" s="53"/>
      <c r="D23" s="13"/>
      <c r="E23" s="13"/>
      <c r="F23" s="32"/>
      <c r="G23" s="14"/>
    </row>
    <row r="24" spans="1:7" ht="15">
      <c r="A24" s="52"/>
      <c r="B24" s="53"/>
      <c r="C24" s="53"/>
      <c r="D24" s="13"/>
      <c r="E24" s="13"/>
      <c r="F24" s="32"/>
      <c r="G24" s="14"/>
    </row>
    <row r="25" spans="1:7" ht="15">
      <c r="A25" s="52"/>
      <c r="B25" s="53"/>
      <c r="C25" s="53"/>
      <c r="D25" s="13"/>
      <c r="E25" s="13"/>
      <c r="F25" s="32"/>
      <c r="G25" s="14"/>
    </row>
    <row r="26" spans="1:7" ht="15">
      <c r="A26" s="52"/>
      <c r="B26" s="53"/>
      <c r="C26" s="53"/>
      <c r="D26" s="13"/>
      <c r="E26" s="13"/>
      <c r="F26" s="32"/>
      <c r="G26" s="14"/>
    </row>
    <row r="27" spans="1:7" ht="15">
      <c r="A27" s="52"/>
      <c r="B27" s="53"/>
      <c r="C27" s="53"/>
      <c r="D27" s="13"/>
      <c r="E27" s="13"/>
      <c r="F27" s="32"/>
      <c r="G27" s="14"/>
    </row>
    <row r="28" spans="1:7" ht="15">
      <c r="A28" s="52"/>
      <c r="B28" s="53"/>
      <c r="C28" s="53"/>
      <c r="D28" s="13"/>
      <c r="E28" s="13"/>
      <c r="F28" s="32"/>
      <c r="G28" s="14"/>
    </row>
    <row r="29" spans="1:7" ht="15">
      <c r="A29" s="52"/>
      <c r="B29" s="53"/>
      <c r="C29" s="53"/>
      <c r="D29" s="13"/>
      <c r="E29" s="13"/>
      <c r="F29" s="32"/>
      <c r="G29" s="14"/>
    </row>
    <row r="30" spans="1:7" ht="15">
      <c r="A30" s="52"/>
      <c r="B30" s="53"/>
      <c r="C30" s="53"/>
      <c r="D30" s="13"/>
      <c r="E30" s="13"/>
      <c r="F30" s="32"/>
      <c r="G30" s="14"/>
    </row>
    <row r="31" spans="1:7" ht="15">
      <c r="A31" s="52"/>
      <c r="B31" s="53"/>
      <c r="C31" s="53"/>
      <c r="D31" s="13"/>
      <c r="E31" s="13"/>
      <c r="F31" s="32"/>
      <c r="G31" s="14"/>
    </row>
    <row r="32" spans="1:7" ht="15">
      <c r="A32" s="52"/>
      <c r="B32" s="53"/>
      <c r="C32" s="53"/>
      <c r="D32" s="13"/>
      <c r="E32" s="13"/>
      <c r="F32" s="32"/>
      <c r="G32" s="14"/>
    </row>
    <row r="33" spans="1:7" ht="15">
      <c r="A33" s="52"/>
      <c r="B33" s="53"/>
      <c r="C33" s="53"/>
      <c r="D33" s="13"/>
      <c r="E33" s="13"/>
      <c r="F33" s="32"/>
      <c r="G33" s="14"/>
    </row>
    <row r="34" spans="1:7" ht="15">
      <c r="A34" s="52"/>
      <c r="B34" s="53"/>
      <c r="C34" s="53"/>
      <c r="D34" s="13"/>
      <c r="E34" s="13"/>
      <c r="F34" s="32"/>
      <c r="G34" s="14"/>
    </row>
    <row r="35" spans="1:7" ht="15">
      <c r="A35" s="52"/>
      <c r="B35" s="53"/>
      <c r="C35" s="53"/>
      <c r="D35" s="13"/>
      <c r="E35" s="13"/>
      <c r="F35" s="32"/>
      <c r="G35" s="14"/>
    </row>
    <row r="36" spans="1:7" ht="15">
      <c r="A36" s="52"/>
      <c r="B36" s="53"/>
      <c r="C36" s="53"/>
      <c r="D36" s="13"/>
      <c r="E36" s="13"/>
      <c r="F36" s="32"/>
      <c r="G36" s="14"/>
    </row>
    <row r="37" spans="1:7" ht="15">
      <c r="A37" s="52"/>
      <c r="B37" s="53"/>
      <c r="C37" s="53"/>
      <c r="D37" s="13"/>
      <c r="E37" s="13"/>
      <c r="F37" s="32"/>
      <c r="G37" s="14"/>
    </row>
    <row r="38" spans="1:7">
      <c r="A38" s="52"/>
      <c r="B38" s="53"/>
      <c r="C38" s="53"/>
      <c r="D38" s="13"/>
      <c r="E38" s="13"/>
      <c r="F38" s="32"/>
      <c r="G38" s="14"/>
    </row>
    <row r="39" spans="1:7">
      <c r="A39" s="136"/>
      <c r="B39" s="147"/>
      <c r="C39" s="32"/>
      <c r="D39" s="13"/>
      <c r="E39" s="118"/>
      <c r="F39" s="147"/>
      <c r="G39" s="14"/>
    </row>
    <row r="40" spans="1:7">
      <c r="A40" s="136"/>
      <c r="B40" s="147"/>
      <c r="C40" s="32"/>
      <c r="D40" s="13"/>
      <c r="E40" s="118"/>
      <c r="F40" s="147"/>
      <c r="G40" s="14"/>
    </row>
    <row r="41" spans="1:7" ht="15">
      <c r="A41" s="136"/>
      <c r="B41" s="147"/>
      <c r="C41" s="32"/>
      <c r="D41" s="13"/>
      <c r="E41" s="118"/>
      <c r="F41" s="147"/>
      <c r="G41" s="14"/>
    </row>
    <row r="42" spans="1:7">
      <c r="A42" s="136"/>
      <c r="B42" s="147"/>
      <c r="C42" s="32"/>
      <c r="D42" s="13"/>
      <c r="E42" s="118"/>
      <c r="F42" s="147"/>
      <c r="G42" s="14"/>
    </row>
    <row r="43" spans="1:7" ht="15.6">
      <c r="A43" s="15"/>
      <c r="B43" s="16"/>
      <c r="C43" s="16"/>
      <c r="D43" s="17"/>
      <c r="E43" s="17"/>
      <c r="F43" s="18" t="s">
        <v>48</v>
      </c>
      <c r="G43" s="20">
        <f>G13+G17</f>
        <v>410000</v>
      </c>
    </row>
    <row r="44" spans="1:7" ht="15.6">
      <c r="A44" s="5"/>
      <c r="B44" s="19"/>
      <c r="C44" s="19"/>
      <c r="D44" s="17"/>
      <c r="E44" s="17"/>
      <c r="F44" s="18" t="s">
        <v>65</v>
      </c>
      <c r="G44" s="20">
        <f>G43*5%</f>
        <v>20500</v>
      </c>
    </row>
    <row r="45" spans="1:7" ht="23.45">
      <c r="A45" s="137"/>
      <c r="B45" s="148"/>
      <c r="C45" s="58"/>
      <c r="D45" s="17"/>
      <c r="E45" s="17"/>
      <c r="F45" s="25" t="s">
        <v>50</v>
      </c>
      <c r="G45" s="23">
        <f>G43+G44</f>
        <v>430500</v>
      </c>
    </row>
    <row r="46" spans="1:7" ht="23.25">
      <c r="A46" s="63"/>
      <c r="B46" s="58"/>
      <c r="C46" s="58"/>
      <c r="D46" s="17"/>
      <c r="E46" s="17"/>
      <c r="F46" s="25"/>
      <c r="G46" s="23"/>
    </row>
    <row r="47" spans="1:7" ht="15.6">
      <c r="A47" s="28" t="s">
        <v>51</v>
      </c>
      <c r="B47" s="21"/>
      <c r="C47" s="21"/>
      <c r="D47" s="21"/>
      <c r="E47" s="21"/>
      <c r="F47" s="21"/>
      <c r="G47" s="22"/>
    </row>
    <row r="48" spans="1:7" ht="15"/>
    <row r="49" ht="15"/>
    <row r="50" ht="15"/>
    <row r="51" ht="15"/>
    <row r="52" ht="15"/>
    <row r="53" ht="15"/>
    <row r="54" ht="15"/>
    <row r="55" ht="15"/>
  </sheetData>
  <mergeCells count="29">
    <mergeCell ref="A12:B12"/>
    <mergeCell ref="E12:F12"/>
    <mergeCell ref="A1:E1"/>
    <mergeCell ref="F1:G4"/>
    <mergeCell ref="A2:E2"/>
    <mergeCell ref="A3:E3"/>
    <mergeCell ref="A4:E4"/>
    <mergeCell ref="E6:F6"/>
    <mergeCell ref="E7:F7"/>
    <mergeCell ref="E8:F8"/>
    <mergeCell ref="A13:B13"/>
    <mergeCell ref="E13:F13"/>
    <mergeCell ref="A16:B16"/>
    <mergeCell ref="E16:F16"/>
    <mergeCell ref="A17:B17"/>
    <mergeCell ref="E17:F17"/>
    <mergeCell ref="A15:B15"/>
    <mergeCell ref="A18:B18"/>
    <mergeCell ref="E18:F18"/>
    <mergeCell ref="A39:B39"/>
    <mergeCell ref="E39:F39"/>
    <mergeCell ref="A40:B40"/>
    <mergeCell ref="E40:F40"/>
    <mergeCell ref="A19:B19"/>
    <mergeCell ref="A45:B45"/>
    <mergeCell ref="A41:B41"/>
    <mergeCell ref="E41:F41"/>
    <mergeCell ref="A42:B42"/>
    <mergeCell ref="E42:F42"/>
  </mergeCells>
  <pageMargins left="0.7" right="0.7" top="0.75" bottom="0.75" header="0.3" footer="0.3"/>
  <pageSetup paperSize="9" scale="88" fitToWidth="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135CD3-8D0C-4E2A-887E-7ABA928444AA}"/>
</file>

<file path=customXml/itemProps2.xml><?xml version="1.0" encoding="utf-8"?>
<ds:datastoreItem xmlns:ds="http://schemas.openxmlformats.org/officeDocument/2006/customXml" ds:itemID="{10C08B2C-94BE-4FFA-AB4B-D0EC77BDCEE7}"/>
</file>

<file path=customXml/itemProps3.xml><?xml version="1.0" encoding="utf-8"?>
<ds:datastoreItem xmlns:ds="http://schemas.openxmlformats.org/officeDocument/2006/customXml" ds:itemID="{6BEF488D-0E4D-4E9C-90BF-60BDB527EE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yashwant Lalaseri</dc:creator>
  <cp:keywords/>
  <dc:description/>
  <cp:lastModifiedBy>Usha Sri  Pagadala</cp:lastModifiedBy>
  <cp:revision/>
  <dcterms:created xsi:type="dcterms:W3CDTF">2022-09-27T13:12:17Z</dcterms:created>
  <dcterms:modified xsi:type="dcterms:W3CDTF">2024-10-08T11:14:42Z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