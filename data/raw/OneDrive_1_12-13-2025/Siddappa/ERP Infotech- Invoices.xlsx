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Siddappa/"/>
    </mc:Choice>
  </mc:AlternateContent>
  <xr:revisionPtr revIDLastSave="37" documentId="11_B716E3F5560B6FCADDAD4CD59E62C342020CEAE8" xr6:coauthVersionLast="47" xr6:coauthVersionMax="47" xr10:uidLastSave="{A485B267-A607-48D1-9AD9-8C7A2F86A4C5}"/>
  <bookViews>
    <workbookView xWindow="-108" yWindow="-108" windowWidth="23256" windowHeight="12456" activeTab="4" xr2:uid="{00000000-000D-0000-FFFF-FFFF00000000}"/>
  </bookViews>
  <sheets>
    <sheet name="37321-24-ERIN" sheetId="1" r:id="rId1"/>
    <sheet name="89804-24-ERIN" sheetId="2" r:id="rId2"/>
    <sheet name="89805-24-ERIN" sheetId="3" r:id="rId3"/>
    <sheet name="89916 24 ERIN" sheetId="4" r:id="rId4"/>
    <sheet name="89997 24 ERIN" sheetId="5" r:id="rId5"/>
    <sheet name="89808-24-ERI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6" l="1"/>
  <c r="F22" i="5"/>
  <c r="F22" i="4"/>
  <c r="F22" i="3"/>
  <c r="F22" i="2"/>
  <c r="F22" i="1"/>
  <c r="F14" i="6"/>
  <c r="F22" i="6" s="1"/>
  <c r="F14" i="5"/>
  <c r="F21" i="5" s="1"/>
  <c r="F13" i="4"/>
  <c r="F21" i="4" s="1"/>
  <c r="F13" i="3"/>
  <c r="F21" i="3" s="1"/>
  <c r="F13" i="2"/>
  <c r="F21" i="2" s="1"/>
  <c r="F12" i="1"/>
  <c r="F21" i="1" s="1"/>
  <c r="F23" i="4" l="1"/>
  <c r="F23" i="1"/>
  <c r="F23" i="5"/>
  <c r="F23" i="3"/>
  <c r="F23" i="2"/>
  <c r="F2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tc={71703ECD-E932-43AA-BB99-8668A25A890A}</author>
  </authors>
  <commentList>
    <comment ref="F12" authorId="0" shapeId="0" xr:uid="{71703ECD-E932-43AA-BB99-8668A25A890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amounts</t>
      </text>
    </comment>
  </commentList>
</comments>
</file>

<file path=xl/sharedStrings.xml><?xml version="1.0" encoding="utf-8"?>
<sst xmlns="http://schemas.openxmlformats.org/spreadsheetml/2006/main" count="90" uniqueCount="30">
  <si>
    <t xml:space="preserve">INVOICE </t>
  </si>
  <si>
    <t>ERP INFOTECH</t>
  </si>
  <si>
    <t>70148 Williams Ways Apt. 336, Robleschester, Maine, 24100</t>
  </si>
  <si>
    <t>Inv Date- 06/30/2023</t>
  </si>
  <si>
    <t>Pay Term- 30 days</t>
  </si>
  <si>
    <r>
      <rPr>
        <b/>
        <u/>
        <sz val="12"/>
        <color theme="1"/>
        <rFont val="Roboto"/>
      </rPr>
      <t>BILL TO:</t>
    </r>
    <r>
      <rPr>
        <b/>
        <sz val="12"/>
        <color theme="1"/>
        <rFont val="Roboto"/>
      </rPr>
      <t xml:space="preserve">
Steel Horse Auto Assembly Chennai Ltd
House No 249,Road No 11,Rajiv Gandhi Nagar,Chennai,Tamil Nadu,India</t>
    </r>
  </si>
  <si>
    <t>DESCRIPTION</t>
  </si>
  <si>
    <t>UNIT PRICE</t>
  </si>
  <si>
    <t>TOTAL</t>
  </si>
  <si>
    <t>Annual Subscription (System Installation)</t>
  </si>
  <si>
    <t>SUBTOTAL</t>
  </si>
  <si>
    <t>This is computer generated document and does not require signature</t>
  </si>
  <si>
    <t>TAX AMOUNT</t>
  </si>
  <si>
    <t>Membership with version upgrades</t>
  </si>
  <si>
    <t>Pay term- 30 days</t>
  </si>
  <si>
    <t>Corporate membership with technical support</t>
  </si>
  <si>
    <t>Inv Date- 04/30/2024</t>
  </si>
  <si>
    <t>Inv Date- 05/31/2024</t>
  </si>
  <si>
    <r>
      <rPr>
        <b/>
        <u/>
        <sz val="12"/>
        <color theme="1"/>
        <rFont val="Roboto"/>
      </rPr>
      <t>BILL TO:</t>
    </r>
    <r>
      <rPr>
        <b/>
        <sz val="12"/>
        <color theme="1"/>
        <rFont val="Roboto"/>
      </rPr>
      <t xml:space="preserve">
Steel Horse Auto Assembly Lincoln Inc
21857 Clayton Forges Suite 897, Sherrybury, Lincoln, United States, 17355</t>
    </r>
  </si>
  <si>
    <t>Server + Installation</t>
  </si>
  <si>
    <r>
      <rPr>
        <b/>
        <u/>
        <sz val="12"/>
        <color theme="1"/>
        <rFont val="Roboto"/>
      </rPr>
      <t>BILL TO:</t>
    </r>
    <r>
      <rPr>
        <b/>
        <sz val="12"/>
        <color theme="1"/>
        <rFont val="Roboto"/>
      </rPr>
      <t xml:space="preserve">
Steel Horse Auto Assembly NJ Inc
0015 Angela Mission, Kathyborough, New Jersey, United States</t>
    </r>
  </si>
  <si>
    <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37231-24/ERIN</t>
    </r>
  </si>
  <si>
    <t>INV NO- 89804-24/ERIN</t>
  </si>
  <si>
    <t>Inv Date- 12/31/2024</t>
  </si>
  <si>
    <r>
      <t>BILL TO:</t>
    </r>
    <r>
      <rPr>
        <b/>
        <sz val="12"/>
        <color theme="1"/>
        <rFont val="Roboto"/>
      </rPr>
      <t xml:space="preserve">
Steel Horse Auto Assembly Anantpur Ltd
123 MG Road, Anantapur, Andhra Pradesh 515001, India</t>
    </r>
  </si>
  <si>
    <r>
      <rPr>
        <b/>
        <u/>
        <sz val="12"/>
        <color theme="1"/>
        <rFont val="Roboto"/>
      </rPr>
      <t>BILL TO:</t>
    </r>
    <r>
      <rPr>
        <b/>
        <sz val="12"/>
        <color theme="1"/>
        <rFont val="Roboto"/>
      </rPr>
      <t xml:space="preserve">
Steel Horse Auto Inc.
265 Lopez Orchard, East John, Michigan, United States, 43306</t>
    </r>
  </si>
  <si>
    <t>INV NO- 89805-24/ERIN</t>
  </si>
  <si>
    <t>INV NO- 89808-24/ERIN</t>
  </si>
  <si>
    <r>
      <t>INV NO</t>
    </r>
    <r>
      <rPr>
        <b/>
        <sz val="12"/>
        <color rgb="FF000000"/>
        <rFont val="Roboto"/>
      </rPr>
      <t xml:space="preserve">- </t>
    </r>
    <r>
      <rPr>
        <b/>
        <sz val="10"/>
        <color rgb="FF000000"/>
        <rFont val="Roboto"/>
      </rPr>
      <t>89916-24/ERIN</t>
    </r>
  </si>
  <si>
    <t>INV NO- 89997-24/ERIN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</si>
</sst>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34" x14ac:knownFonts="1"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28"/>
      <color theme="1"/>
      <name val="Roboto"/>
    </font>
    <font>
      <b/>
      <sz val="20"/>
      <color theme="1"/>
      <name val="Roboto"/>
    </font>
    <font>
      <b/>
      <sz val="22"/>
      <color rgb="FF4472C4"/>
      <name val="Roboto"/>
    </font>
    <font>
      <b/>
      <sz val="21"/>
      <color rgb="FF666666"/>
      <name val="Roboto"/>
    </font>
    <font>
      <sz val="18"/>
      <color rgb="FF7F7F7F"/>
      <name val="Roboto"/>
    </font>
    <font>
      <b/>
      <sz val="9"/>
      <color rgb="FF1F3864"/>
      <name val="Roboto"/>
    </font>
    <font>
      <b/>
      <sz val="10"/>
      <color rgb="FF000000"/>
      <name val="Roboto"/>
    </font>
    <font>
      <b/>
      <sz val="12"/>
      <color rgb="FF000000"/>
      <name val="Roboto"/>
    </font>
    <font>
      <sz val="10"/>
      <color rgb="FF000000"/>
      <name val="Roboto"/>
    </font>
    <font>
      <b/>
      <sz val="10"/>
      <color theme="7" tint="-0.499984740745262"/>
      <name val="Roboto"/>
    </font>
    <font>
      <sz val="11"/>
      <color rgb="FFFFFFFF"/>
      <name val="Roboto"/>
    </font>
    <font>
      <i/>
      <sz val="9"/>
      <color rgb="FF333F4F"/>
      <name val="Roboto"/>
    </font>
    <font>
      <sz val="10"/>
      <name val="Arial"/>
      <family val="2"/>
    </font>
    <font>
      <sz val="9"/>
      <color rgb="FF000000"/>
      <name val="Roboto"/>
    </font>
    <font>
      <b/>
      <sz val="9"/>
      <color theme="7" tint="-0.499984740745262"/>
      <name val="Roboto"/>
    </font>
    <font>
      <b/>
      <sz val="8"/>
      <color theme="1" tint="4.9989318521683403E-2"/>
      <name val="Roboto"/>
    </font>
    <font>
      <b/>
      <i/>
      <sz val="10"/>
      <color rgb="FF000000"/>
      <name val="Roboto"/>
    </font>
    <font>
      <b/>
      <sz val="12"/>
      <color theme="1"/>
      <name val="Roboto"/>
    </font>
    <font>
      <sz val="12"/>
      <color rgb="FF000000"/>
      <name val="Roboto"/>
    </font>
    <font>
      <sz val="9"/>
      <color rgb="FF333F4F"/>
      <name val="Roboto"/>
    </font>
    <font>
      <sz val="10"/>
      <color rgb="FF333F4F"/>
      <name val="Roboto"/>
    </font>
    <font>
      <sz val="10"/>
      <color theme="1"/>
      <name val="Roboto"/>
    </font>
    <font>
      <i/>
      <sz val="10"/>
      <color theme="1"/>
      <name val="Arial"/>
      <family val="2"/>
    </font>
    <font>
      <sz val="11"/>
      <color rgb="FF1F3864"/>
      <name val="Roboto"/>
    </font>
    <font>
      <b/>
      <sz val="20"/>
      <color theme="1"/>
      <name val="Roboto"/>
    </font>
    <font>
      <b/>
      <sz val="11"/>
      <color theme="1"/>
      <name val="Roboto"/>
    </font>
    <font>
      <b/>
      <sz val="12"/>
      <color theme="1"/>
      <name val="Roboto"/>
    </font>
    <font>
      <b/>
      <u/>
      <sz val="12"/>
      <color theme="1"/>
      <name val="Roboto"/>
    </font>
    <font>
      <b/>
      <sz val="9"/>
      <color theme="1"/>
      <name val="Roboto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Roboto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rgb="FFC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rgb="FFFF7D7D"/>
      </patternFill>
    </fill>
    <fill>
      <patternFill patternType="solid">
        <fgColor theme="5" tint="0.79998168889431442"/>
        <bgColor rgb="FFFF7D7D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medium">
        <color indexed="64"/>
      </left>
      <right/>
      <top style="thin">
        <color rgb="FF999999"/>
      </top>
      <bottom style="thin">
        <color indexed="64"/>
      </bottom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4" fillId="0" borderId="0" xfId="1" applyFont="1" applyAlignment="1">
      <alignment horizontal="right" vertical="center"/>
    </xf>
    <xf numFmtId="0" fontId="1" fillId="0" borderId="0" xfId="1"/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center" vertical="center"/>
    </xf>
    <xf numFmtId="14" fontId="10" fillId="0" borderId="11" xfId="1" applyNumberFormat="1" applyFont="1" applyBorder="1" applyAlignment="1">
      <alignment horizontal="left" vertical="center"/>
    </xf>
    <xf numFmtId="14" fontId="10" fillId="0" borderId="0" xfId="1" applyNumberFormat="1" applyFont="1" applyAlignment="1">
      <alignment horizontal="center" vertical="center"/>
    </xf>
    <xf numFmtId="14" fontId="10" fillId="0" borderId="14" xfId="1" applyNumberFormat="1" applyFont="1" applyBorder="1" applyAlignment="1">
      <alignment horizontal="left" vertical="top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top"/>
    </xf>
    <xf numFmtId="2" fontId="15" fillId="0" borderId="0" xfId="1" applyNumberFormat="1" applyFont="1" applyAlignment="1">
      <alignment horizontal="right" vertical="center"/>
    </xf>
    <xf numFmtId="164" fontId="15" fillId="0" borderId="24" xfId="1" applyNumberFormat="1" applyFont="1" applyBorder="1" applyAlignment="1">
      <alignment horizontal="center" vertical="center"/>
    </xf>
    <xf numFmtId="2" fontId="15" fillId="0" borderId="0" xfId="1" applyNumberFormat="1" applyFont="1" applyAlignment="1">
      <alignment vertical="center"/>
    </xf>
    <xf numFmtId="165" fontId="15" fillId="0" borderId="24" xfId="1" applyNumberFormat="1" applyFont="1" applyBorder="1" applyAlignment="1">
      <alignment horizontal="center" vertical="center"/>
    </xf>
    <xf numFmtId="10" fontId="15" fillId="0" borderId="0" xfId="1" applyNumberFormat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/>
    </xf>
    <xf numFmtId="0" fontId="23" fillId="0" borderId="0" xfId="1" applyFont="1"/>
    <xf numFmtId="0" fontId="25" fillId="0" borderId="0" xfId="1" applyFont="1" applyAlignment="1">
      <alignment vertical="center"/>
    </xf>
    <xf numFmtId="164" fontId="15" fillId="0" borderId="38" xfId="1" applyNumberFormat="1" applyFont="1" applyBorder="1" applyAlignment="1">
      <alignment horizontal="center" vertical="center"/>
    </xf>
    <xf numFmtId="2" fontId="15" fillId="0" borderId="38" xfId="1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24" fillId="3" borderId="4" xfId="1" applyFont="1" applyFill="1" applyBorder="1" applyAlignment="1">
      <alignment vertical="center"/>
    </xf>
    <xf numFmtId="0" fontId="30" fillId="5" borderId="17" xfId="1" applyFont="1" applyFill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164" fontId="15" fillId="0" borderId="40" xfId="1" applyNumberFormat="1" applyFont="1" applyBorder="1" applyAlignment="1">
      <alignment horizontal="center" vertical="center"/>
    </xf>
    <xf numFmtId="164" fontId="14" fillId="0" borderId="41" xfId="1" applyNumberFormat="1" applyFont="1" applyBorder="1"/>
    <xf numFmtId="0" fontId="15" fillId="0" borderId="46" xfId="1" applyFont="1" applyBorder="1" applyAlignment="1">
      <alignment horizontal="center" vertical="center"/>
    </xf>
    <xf numFmtId="0" fontId="15" fillId="0" borderId="47" xfId="1" applyFont="1" applyBorder="1" applyAlignment="1">
      <alignment horizontal="center" vertical="center"/>
    </xf>
    <xf numFmtId="0" fontId="15" fillId="0" borderId="48" xfId="1" applyFont="1" applyBorder="1" applyAlignment="1">
      <alignment horizontal="center" vertical="center"/>
    </xf>
    <xf numFmtId="0" fontId="24" fillId="3" borderId="0" xfId="1" applyFont="1" applyFill="1" applyAlignment="1">
      <alignment vertical="center"/>
    </xf>
    <xf numFmtId="0" fontId="8" fillId="0" borderId="10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0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top"/>
    </xf>
    <xf numFmtId="164" fontId="15" fillId="0" borderId="40" xfId="1" applyNumberFormat="1" applyFont="1" applyBorder="1" applyAlignment="1">
      <alignment horizontal="center" vertical="center"/>
    </xf>
    <xf numFmtId="164" fontId="14" fillId="0" borderId="41" xfId="1" applyNumberFormat="1" applyFont="1" applyBorder="1"/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left" vertical="center"/>
    </xf>
    <xf numFmtId="0" fontId="26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27" fillId="3" borderId="4" xfId="1" applyFont="1" applyFill="1" applyBorder="1" applyAlignment="1">
      <alignment horizontal="left" vertical="top" wrapText="1"/>
    </xf>
    <xf numFmtId="0" fontId="27" fillId="3" borderId="0" xfId="1" applyFont="1" applyFill="1" applyAlignment="1">
      <alignment horizontal="left" vertical="top" wrapText="1"/>
    </xf>
    <xf numFmtId="0" fontId="1" fillId="3" borderId="6" xfId="1" applyFill="1" applyBorder="1"/>
    <xf numFmtId="0" fontId="1" fillId="3" borderId="7" xfId="1" applyFill="1" applyBorder="1"/>
    <xf numFmtId="0" fontId="1" fillId="3" borderId="8" xfId="1" applyFill="1" applyBorder="1"/>
    <xf numFmtId="0" fontId="11" fillId="3" borderId="6" xfId="1" applyFont="1" applyFill="1" applyBorder="1" applyAlignment="1">
      <alignment horizontal="left" vertical="center"/>
    </xf>
    <xf numFmtId="0" fontId="11" fillId="3" borderId="7" xfId="1" applyFont="1" applyFill="1" applyBorder="1" applyAlignment="1">
      <alignment horizontal="left" vertical="center"/>
    </xf>
    <xf numFmtId="0" fontId="11" fillId="3" borderId="8" xfId="1" applyFont="1" applyFill="1" applyBorder="1" applyAlignment="1">
      <alignment horizontal="left" vertical="center"/>
    </xf>
    <xf numFmtId="0" fontId="28" fillId="3" borderId="9" xfId="1" applyFont="1" applyFill="1" applyBorder="1" applyAlignment="1">
      <alignment horizontal="center" vertical="center" wrapText="1"/>
    </xf>
    <xf numFmtId="0" fontId="28" fillId="3" borderId="10" xfId="1" applyFont="1" applyFill="1" applyBorder="1" applyAlignment="1">
      <alignment horizontal="center" vertical="center" wrapText="1"/>
    </xf>
    <xf numFmtId="0" fontId="28" fillId="3" borderId="11" xfId="1" applyFont="1" applyFill="1" applyBorder="1" applyAlignment="1">
      <alignment horizontal="center" vertical="center" wrapText="1"/>
    </xf>
    <xf numFmtId="0" fontId="28" fillId="3" borderId="4" xfId="1" applyFont="1" applyFill="1" applyBorder="1" applyAlignment="1">
      <alignment horizontal="center" vertical="center" wrapText="1"/>
    </xf>
    <xf numFmtId="0" fontId="28" fillId="3" borderId="0" xfId="1" applyFont="1" applyFill="1" applyAlignment="1">
      <alignment horizontal="center" vertical="center" wrapText="1"/>
    </xf>
    <xf numFmtId="0" fontId="28" fillId="3" borderId="5" xfId="1" applyFont="1" applyFill="1" applyBorder="1" applyAlignment="1">
      <alignment horizontal="center" vertical="center" wrapText="1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43" xfId="1" applyFont="1" applyFill="1" applyBorder="1" applyAlignment="1">
      <alignment horizontal="center" vertical="center"/>
    </xf>
    <xf numFmtId="0" fontId="30" fillId="5" borderId="44" xfId="1" applyFont="1" applyFill="1" applyBorder="1" applyAlignment="1">
      <alignment horizontal="center" vertical="center"/>
    </xf>
    <xf numFmtId="0" fontId="31" fillId="6" borderId="43" xfId="1" applyFont="1" applyFill="1" applyBorder="1"/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164" fontId="15" fillId="0" borderId="39" xfId="1" applyNumberFormat="1" applyFont="1" applyBorder="1" applyAlignment="1">
      <alignment horizontal="center" vertical="center"/>
    </xf>
    <xf numFmtId="164" fontId="14" fillId="0" borderId="34" xfId="1" applyNumberFormat="1" applyFont="1" applyBorder="1"/>
    <xf numFmtId="0" fontId="16" fillId="0" borderId="20" xfId="1" applyFont="1" applyBorder="1" applyAlignment="1">
      <alignment horizontal="left" vertical="center"/>
    </xf>
    <xf numFmtId="0" fontId="16" fillId="0" borderId="21" xfId="1" applyFont="1" applyBorder="1" applyAlignment="1">
      <alignment horizontal="left" vertical="center"/>
    </xf>
    <xf numFmtId="0" fontId="33" fillId="0" borderId="22" xfId="1" applyFont="1" applyBorder="1" applyAlignment="1">
      <alignment horizontal="right" vertical="center"/>
    </xf>
    <xf numFmtId="0" fontId="33" fillId="0" borderId="23" xfId="1" applyFont="1" applyBorder="1" applyAlignment="1">
      <alignment horizontal="right" vertical="center"/>
    </xf>
    <xf numFmtId="0" fontId="17" fillId="0" borderId="22" xfId="1" applyFont="1" applyBorder="1" applyAlignment="1">
      <alignment horizontal="right" vertical="center"/>
    </xf>
    <xf numFmtId="0" fontId="17" fillId="0" borderId="23" xfId="1" applyFont="1" applyBorder="1" applyAlignment="1">
      <alignment horizontal="right" vertical="center"/>
    </xf>
    <xf numFmtId="0" fontId="32" fillId="4" borderId="26" xfId="1" applyFont="1" applyFill="1" applyBorder="1" applyAlignment="1">
      <alignment horizontal="right" vertical="center"/>
    </xf>
    <xf numFmtId="0" fontId="32" fillId="4" borderId="0" xfId="1" applyFont="1" applyFill="1" applyAlignment="1">
      <alignment horizontal="right" vertical="center"/>
    </xf>
    <xf numFmtId="0" fontId="32" fillId="4" borderId="52" xfId="1" applyFont="1" applyFill="1" applyBorder="1" applyAlignment="1">
      <alignment horizontal="right" vertical="center"/>
    </xf>
    <xf numFmtId="0" fontId="32" fillId="4" borderId="50" xfId="1" applyFont="1" applyFill="1" applyBorder="1" applyAlignment="1">
      <alignment horizontal="right" vertical="center"/>
    </xf>
    <xf numFmtId="0" fontId="15" fillId="0" borderId="35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45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25" xfId="1" applyFont="1" applyBorder="1" applyAlignment="1">
      <alignment horizontal="center" vertical="center" wrapText="1"/>
    </xf>
    <xf numFmtId="0" fontId="18" fillId="0" borderId="49" xfId="1" applyFont="1" applyBorder="1" applyAlignment="1">
      <alignment horizontal="center" vertical="center" wrapText="1"/>
    </xf>
    <xf numFmtId="0" fontId="18" fillId="0" borderId="50" xfId="1" applyFont="1" applyBorder="1" applyAlignment="1">
      <alignment horizontal="center" vertical="center" wrapText="1"/>
    </xf>
    <xf numFmtId="0" fontId="18" fillId="0" borderId="51" xfId="1" applyFont="1" applyBorder="1" applyAlignment="1">
      <alignment horizontal="center" vertical="center" wrapText="1"/>
    </xf>
    <xf numFmtId="165" fontId="19" fillId="7" borderId="24" xfId="1" applyNumberFormat="1" applyFont="1" applyFill="1" applyBorder="1" applyAlignment="1">
      <alignment horizontal="center" vertical="center"/>
    </xf>
    <xf numFmtId="165" fontId="19" fillId="7" borderId="53" xfId="1" applyNumberFormat="1" applyFont="1" applyFill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1" fillId="0" borderId="0" xfId="1"/>
    <xf numFmtId="0" fontId="22" fillId="0" borderId="0" xfId="1" applyFont="1" applyAlignment="1">
      <alignment horizontal="center"/>
    </xf>
    <xf numFmtId="0" fontId="5" fillId="3" borderId="0" xfId="1" applyFont="1" applyFill="1" applyAlignment="1">
      <alignment horizontal="right" vertical="center"/>
    </xf>
    <xf numFmtId="0" fontId="5" fillId="3" borderId="5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5" fillId="3" borderId="14" xfId="1" applyFont="1" applyFill="1" applyBorder="1" applyAlignment="1">
      <alignment horizontal="right" vertical="center"/>
    </xf>
    <xf numFmtId="0" fontId="1" fillId="4" borderId="6" xfId="1" applyFill="1" applyBorder="1"/>
    <xf numFmtId="0" fontId="1" fillId="4" borderId="7" xfId="1" applyFill="1" applyBorder="1"/>
    <xf numFmtId="0" fontId="1" fillId="4" borderId="8" xfId="1" applyFill="1" applyBorder="1"/>
    <xf numFmtId="0" fontId="11" fillId="4" borderId="6" xfId="1" applyFont="1" applyFill="1" applyBorder="1" applyAlignment="1">
      <alignment horizontal="left" vertical="center"/>
    </xf>
    <xf numFmtId="0" fontId="11" fillId="4" borderId="7" xfId="1" applyFont="1" applyFill="1" applyBorder="1" applyAlignment="1">
      <alignment horizontal="left" vertical="center"/>
    </xf>
    <xf numFmtId="0" fontId="11" fillId="4" borderId="8" xfId="1" applyFont="1" applyFill="1" applyBorder="1" applyAlignment="1">
      <alignment horizontal="left" vertical="center"/>
    </xf>
    <xf numFmtId="0" fontId="29" fillId="3" borderId="9" xfId="1" applyFont="1" applyFill="1" applyBorder="1" applyAlignment="1">
      <alignment horizontal="center" vertical="center" wrapText="1"/>
    </xf>
    <xf numFmtId="0" fontId="28" fillId="3" borderId="10" xfId="1" applyFont="1" applyFill="1" applyBorder="1" applyAlignment="1">
      <alignment horizontal="center" vertical="center"/>
    </xf>
    <xf numFmtId="0" fontId="28" fillId="3" borderId="11" xfId="1" applyFont="1" applyFill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/>
    </xf>
    <xf numFmtId="0" fontId="28" fillId="3" borderId="0" xfId="1" applyFont="1" applyFill="1" applyAlignment="1">
      <alignment horizontal="center" vertical="center"/>
    </xf>
    <xf numFmtId="0" fontId="28" fillId="3" borderId="5" xfId="1" applyFont="1" applyFill="1" applyBorder="1" applyAlignment="1">
      <alignment horizontal="center" vertical="center"/>
    </xf>
    <xf numFmtId="164" fontId="15" fillId="0" borderId="27" xfId="1" applyNumberFormat="1" applyFont="1" applyBorder="1" applyAlignment="1">
      <alignment horizontal="center" vertical="center"/>
    </xf>
    <xf numFmtId="164" fontId="14" fillId="0" borderId="42" xfId="1" applyNumberFormat="1" applyFont="1" applyBorder="1"/>
    <xf numFmtId="0" fontId="28" fillId="3" borderId="28" xfId="1" applyFont="1" applyFill="1" applyBorder="1" applyAlignment="1">
      <alignment horizontal="center" vertical="center"/>
    </xf>
    <xf numFmtId="0" fontId="28" fillId="3" borderId="29" xfId="1" applyFont="1" applyFill="1" applyBorder="1" applyAlignment="1">
      <alignment horizontal="center" vertical="center"/>
    </xf>
    <xf numFmtId="0" fontId="28" fillId="3" borderId="30" xfId="1" applyFont="1" applyFill="1" applyBorder="1" applyAlignment="1">
      <alignment horizontal="center" vertical="center"/>
    </xf>
    <xf numFmtId="0" fontId="31" fillId="6" borderId="16" xfId="1" applyFont="1" applyFill="1" applyBorder="1"/>
    <xf numFmtId="0" fontId="32" fillId="3" borderId="26" xfId="1" applyFont="1" applyFill="1" applyBorder="1" applyAlignment="1">
      <alignment horizontal="right" vertical="center"/>
    </xf>
    <xf numFmtId="0" fontId="32" fillId="3" borderId="0" xfId="1" applyFont="1" applyFill="1" applyAlignment="1">
      <alignment horizontal="right" vertical="center"/>
    </xf>
    <xf numFmtId="0" fontId="32" fillId="3" borderId="52" xfId="1" applyFont="1" applyFill="1" applyBorder="1" applyAlignment="1">
      <alignment horizontal="right" vertical="center"/>
    </xf>
    <xf numFmtId="0" fontId="32" fillId="3" borderId="50" xfId="1" applyFont="1" applyFill="1" applyBorder="1" applyAlignment="1">
      <alignment horizontal="right" vertical="center"/>
    </xf>
    <xf numFmtId="165" fontId="19" fillId="8" borderId="24" xfId="1" applyNumberFormat="1" applyFont="1" applyFill="1" applyBorder="1" applyAlignment="1">
      <alignment horizontal="center" vertical="center"/>
    </xf>
    <xf numFmtId="165" fontId="19" fillId="8" borderId="53" xfId="1" applyNumberFormat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left" vertical="center"/>
    </xf>
    <xf numFmtId="0" fontId="19" fillId="3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74083</xdr:colOff>
      <xdr:row>1</xdr:row>
      <xdr:rowOff>21168</xdr:rowOff>
    </xdr:from>
    <xdr:to>
      <xdr:col>5</xdr:col>
      <xdr:colOff>1086783</xdr:colOff>
      <xdr:row>2</xdr:row>
      <xdr:rowOff>776482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25583" y="476251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74084</xdr:colOff>
      <xdr:row>1</xdr:row>
      <xdr:rowOff>21167</xdr:rowOff>
    </xdr:from>
    <xdr:to>
      <xdr:col>5</xdr:col>
      <xdr:colOff>1086784</xdr:colOff>
      <xdr:row>3</xdr:row>
      <xdr:rowOff>331981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7" y="476250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74083</xdr:colOff>
      <xdr:row>1</xdr:row>
      <xdr:rowOff>10583</xdr:rowOff>
    </xdr:from>
    <xdr:to>
      <xdr:col>5</xdr:col>
      <xdr:colOff>1086783</xdr:colOff>
      <xdr:row>3</xdr:row>
      <xdr:rowOff>300230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6" y="465666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74084</xdr:colOff>
      <xdr:row>1</xdr:row>
      <xdr:rowOff>10583</xdr:rowOff>
    </xdr:from>
    <xdr:to>
      <xdr:col>5</xdr:col>
      <xdr:colOff>1086784</xdr:colOff>
      <xdr:row>2</xdr:row>
      <xdr:rowOff>871730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7" y="465666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77384</xdr:colOff>
      <xdr:row>1</xdr:row>
      <xdr:rowOff>10585</xdr:rowOff>
    </xdr:from>
    <xdr:to>
      <xdr:col>5</xdr:col>
      <xdr:colOff>1090084</xdr:colOff>
      <xdr:row>3</xdr:row>
      <xdr:rowOff>109732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9467" y="465668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84667</xdr:colOff>
      <xdr:row>1</xdr:row>
      <xdr:rowOff>42336</xdr:rowOff>
    </xdr:from>
    <xdr:to>
      <xdr:col>5</xdr:col>
      <xdr:colOff>1090085</xdr:colOff>
      <xdr:row>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46750" y="497419"/>
          <a:ext cx="1005418" cy="121708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2BAD2DC9-ACA9-4F6D-A972-FEF47052FAF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4-10-04T12:18:59.65" personId="{2BAD2DC9-ACA9-4F6D-A972-FEF47052FAFF}" id="{71703ECD-E932-43AA-BB99-8668A25A890A}">
    <text>Change amounts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F22" sqref="F22"/>
    </sheetView>
  </sheetViews>
  <sheetFormatPr defaultColWidth="14.44140625" defaultRowHeight="15" customHeight="1" x14ac:dyDescent="0.25"/>
  <cols>
    <col min="1" max="1" width="25.332031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42" t="s">
        <v>0</v>
      </c>
      <c r="B1" s="43"/>
      <c r="C1" s="43"/>
      <c r="D1" s="43"/>
      <c r="E1" s="43"/>
      <c r="F1" s="44"/>
      <c r="G1" s="1"/>
    </row>
    <row r="2" spans="1:7" ht="35.25" customHeight="1" x14ac:dyDescent="0.25">
      <c r="A2" s="45" t="s">
        <v>1</v>
      </c>
      <c r="B2" s="46"/>
      <c r="C2" s="46"/>
      <c r="D2" s="46"/>
      <c r="E2" s="47"/>
      <c r="F2" s="48"/>
      <c r="G2" s="1"/>
    </row>
    <row r="3" spans="1:7" ht="62.25" customHeight="1" x14ac:dyDescent="0.25">
      <c r="A3" s="49" t="s">
        <v>2</v>
      </c>
      <c r="B3" s="50"/>
      <c r="C3" s="50"/>
      <c r="D3" s="50"/>
      <c r="E3" s="47"/>
      <c r="F3" s="48"/>
      <c r="G3" s="3"/>
    </row>
    <row r="4" spans="1:7" ht="3.75" customHeight="1" x14ac:dyDescent="0.25">
      <c r="A4" s="51"/>
      <c r="B4" s="52"/>
      <c r="C4" s="52"/>
      <c r="D4" s="52"/>
      <c r="E4" s="52"/>
      <c r="F4" s="53"/>
      <c r="G4" s="4"/>
    </row>
    <row r="5" spans="1:7" ht="17.399999999999999" customHeight="1" x14ac:dyDescent="0.25">
      <c r="A5" s="131" t="s">
        <v>21</v>
      </c>
      <c r="B5" s="35"/>
      <c r="C5" s="35"/>
      <c r="D5" s="38" t="s">
        <v>3</v>
      </c>
      <c r="E5" s="38"/>
      <c r="F5" s="5"/>
      <c r="G5" s="6"/>
    </row>
    <row r="6" spans="1:7" ht="16.95" customHeight="1" x14ac:dyDescent="0.25">
      <c r="A6" s="36"/>
      <c r="B6" s="37"/>
      <c r="C6" s="37"/>
      <c r="D6" s="39" t="s">
        <v>4</v>
      </c>
      <c r="E6" s="39"/>
      <c r="F6" s="7"/>
      <c r="G6" s="4"/>
    </row>
    <row r="7" spans="1:7" ht="4.2" customHeight="1" x14ac:dyDescent="0.25">
      <c r="A7" s="54"/>
      <c r="B7" s="55"/>
      <c r="C7" s="55"/>
      <c r="D7" s="55"/>
      <c r="E7" s="55"/>
      <c r="F7" s="56"/>
      <c r="G7" s="4"/>
    </row>
    <row r="8" spans="1:7" ht="22.2" customHeight="1" x14ac:dyDescent="0.25">
      <c r="A8" s="57" t="s">
        <v>5</v>
      </c>
      <c r="B8" s="58"/>
      <c r="C8" s="58"/>
      <c r="D8" s="58"/>
      <c r="E8" s="58"/>
      <c r="F8" s="59"/>
      <c r="G8" s="8"/>
    </row>
    <row r="9" spans="1:7" ht="15" customHeight="1" x14ac:dyDescent="0.25">
      <c r="A9" s="60"/>
      <c r="B9" s="61"/>
      <c r="C9" s="61"/>
      <c r="D9" s="61"/>
      <c r="E9" s="61"/>
      <c r="F9" s="62"/>
      <c r="G9" s="9"/>
    </row>
    <row r="10" spans="1:7" ht="33" customHeight="1" x14ac:dyDescent="0.25">
      <c r="A10" s="60"/>
      <c r="B10" s="61"/>
      <c r="C10" s="61"/>
      <c r="D10" s="61"/>
      <c r="E10" s="61"/>
      <c r="F10" s="62"/>
      <c r="G10" s="10"/>
    </row>
    <row r="11" spans="1:7" ht="18" customHeight="1" x14ac:dyDescent="0.25">
      <c r="A11" s="63" t="s">
        <v>6</v>
      </c>
      <c r="B11" s="64"/>
      <c r="C11" s="65"/>
      <c r="D11" s="66" t="s">
        <v>7</v>
      </c>
      <c r="E11" s="67"/>
      <c r="F11" s="26" t="s">
        <v>8</v>
      </c>
      <c r="G11" s="4"/>
    </row>
    <row r="12" spans="1:7" ht="18" customHeight="1" x14ac:dyDescent="0.25">
      <c r="A12" s="68" t="s">
        <v>9</v>
      </c>
      <c r="B12" s="69"/>
      <c r="C12" s="70"/>
      <c r="D12" s="71">
        <v>276667</v>
      </c>
      <c r="E12" s="72"/>
      <c r="F12" s="22">
        <f>D12</f>
        <v>276667</v>
      </c>
      <c r="G12" s="11"/>
    </row>
    <row r="13" spans="1:7" ht="18" customHeight="1" x14ac:dyDescent="0.25">
      <c r="A13" s="68"/>
      <c r="B13" s="69"/>
      <c r="C13" s="70"/>
      <c r="D13" s="40"/>
      <c r="E13" s="41"/>
      <c r="F13" s="22"/>
      <c r="G13" s="11"/>
    </row>
    <row r="14" spans="1:7" ht="18" customHeight="1" x14ac:dyDescent="0.25">
      <c r="A14" s="68"/>
      <c r="B14" s="69"/>
      <c r="C14" s="70"/>
      <c r="D14" s="40"/>
      <c r="E14" s="41"/>
      <c r="F14" s="22"/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68"/>
      <c r="B16" s="69"/>
      <c r="C16" s="70"/>
      <c r="D16" s="40"/>
      <c r="E16" s="41"/>
      <c r="F16" s="22"/>
      <c r="G16" s="11"/>
    </row>
    <row r="17" spans="1:7" ht="18" customHeight="1" x14ac:dyDescent="0.25">
      <c r="A17" s="68"/>
      <c r="B17" s="69"/>
      <c r="C17" s="70"/>
      <c r="D17" s="40"/>
      <c r="E17" s="41"/>
      <c r="F17" s="22"/>
      <c r="G17" s="11"/>
    </row>
    <row r="18" spans="1:7" ht="18" customHeight="1" x14ac:dyDescent="0.25">
      <c r="A18" s="31"/>
      <c r="B18" s="32"/>
      <c r="C18" s="33"/>
      <c r="D18" s="29"/>
      <c r="E18" s="30"/>
      <c r="F18" s="22"/>
      <c r="G18" s="11"/>
    </row>
    <row r="19" spans="1:7" ht="18" customHeight="1" x14ac:dyDescent="0.25">
      <c r="A19" s="31"/>
      <c r="B19" s="32"/>
      <c r="C19" s="33"/>
      <c r="D19" s="40"/>
      <c r="E19" s="41"/>
      <c r="F19" s="22"/>
      <c r="G19" s="11"/>
    </row>
    <row r="20" spans="1:7" ht="18" customHeight="1" x14ac:dyDescent="0.25">
      <c r="A20" s="83"/>
      <c r="B20" s="84"/>
      <c r="C20" s="85"/>
      <c r="D20" s="40"/>
      <c r="E20" s="41"/>
      <c r="F20" s="23"/>
      <c r="G20" s="11"/>
    </row>
    <row r="21" spans="1:7" ht="19.5" customHeight="1" x14ac:dyDescent="0.25">
      <c r="A21" s="73"/>
      <c r="B21" s="74"/>
      <c r="C21" s="74"/>
      <c r="D21" s="75" t="s">
        <v>10</v>
      </c>
      <c r="E21" s="76"/>
      <c r="F21" s="12">
        <f>F12</f>
        <v>276667</v>
      </c>
      <c r="G21" s="13"/>
    </row>
    <row r="22" spans="1:7" ht="19.5" customHeight="1" x14ac:dyDescent="0.25">
      <c r="A22" s="86" t="s">
        <v>11</v>
      </c>
      <c r="B22" s="87"/>
      <c r="C22" s="88"/>
      <c r="D22" s="77" t="s">
        <v>12</v>
      </c>
      <c r="E22" s="78"/>
      <c r="F22" s="14">
        <f>F21*18%</f>
        <v>49800.06</v>
      </c>
      <c r="G22" s="15"/>
    </row>
    <row r="23" spans="1:7" ht="22.95" customHeight="1" x14ac:dyDescent="0.25">
      <c r="A23" s="89"/>
      <c r="B23" s="90"/>
      <c r="C23" s="91"/>
      <c r="D23" s="79" t="s">
        <v>8</v>
      </c>
      <c r="E23" s="80"/>
      <c r="F23" s="95">
        <f>SUM(F21:F22)</f>
        <v>326467.06</v>
      </c>
      <c r="G23" s="16"/>
    </row>
    <row r="24" spans="1:7" ht="22.95" customHeight="1" thickBot="1" x14ac:dyDescent="0.3">
      <c r="A24" s="92"/>
      <c r="B24" s="93"/>
      <c r="C24" s="94"/>
      <c r="D24" s="81"/>
      <c r="E24" s="82"/>
      <c r="F24" s="96"/>
      <c r="G24" s="16"/>
    </row>
    <row r="25" spans="1:7" ht="15.75" customHeight="1" x14ac:dyDescent="0.25">
      <c r="A25" s="97"/>
      <c r="B25" s="98"/>
      <c r="C25" s="98"/>
      <c r="D25" s="98"/>
      <c r="E25" s="98"/>
      <c r="F25" s="98"/>
      <c r="G25" s="17"/>
    </row>
    <row r="26" spans="1:7" ht="15.75" customHeight="1" x14ac:dyDescent="0.25">
      <c r="A26" s="97"/>
      <c r="B26" s="98"/>
      <c r="C26" s="98"/>
      <c r="D26" s="98"/>
      <c r="E26" s="98"/>
      <c r="F26" s="98"/>
      <c r="G26" s="18"/>
    </row>
    <row r="27" spans="1:7" ht="21" customHeight="1" x14ac:dyDescent="0.25">
      <c r="A27" s="99"/>
      <c r="B27" s="98"/>
      <c r="C27" s="98"/>
      <c r="D27" s="98"/>
      <c r="E27" s="98"/>
      <c r="F27" s="98"/>
      <c r="G27" s="19"/>
    </row>
    <row r="28" spans="1:7" ht="15.75" customHeight="1" x14ac:dyDescent="0.25">
      <c r="A28" s="20"/>
      <c r="B28" s="20"/>
      <c r="C28" s="20"/>
      <c r="D28" s="20"/>
      <c r="E28" s="20"/>
      <c r="F28" s="20"/>
      <c r="G28" s="2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6">
    <mergeCell ref="F23:F24"/>
    <mergeCell ref="A25:F25"/>
    <mergeCell ref="A26:F26"/>
    <mergeCell ref="A27:F27"/>
    <mergeCell ref="A21:C21"/>
    <mergeCell ref="D21:E21"/>
    <mergeCell ref="D22:E22"/>
    <mergeCell ref="D23:E24"/>
    <mergeCell ref="A13:C13"/>
    <mergeCell ref="A14:C14"/>
    <mergeCell ref="A15:C15"/>
    <mergeCell ref="A16:C16"/>
    <mergeCell ref="A17:C17"/>
    <mergeCell ref="A20:C20"/>
    <mergeCell ref="D13:E13"/>
    <mergeCell ref="D14:E14"/>
    <mergeCell ref="D15:E15"/>
    <mergeCell ref="D16:E16"/>
    <mergeCell ref="D20:E20"/>
    <mergeCell ref="A22:C24"/>
    <mergeCell ref="A5:C6"/>
    <mergeCell ref="D5:E5"/>
    <mergeCell ref="D6:E6"/>
    <mergeCell ref="D19:E19"/>
    <mergeCell ref="A1:F1"/>
    <mergeCell ref="A2:D2"/>
    <mergeCell ref="E2:F3"/>
    <mergeCell ref="A3:D3"/>
    <mergeCell ref="A4:F4"/>
    <mergeCell ref="A7:F7"/>
    <mergeCell ref="A8:F10"/>
    <mergeCell ref="A11:C11"/>
    <mergeCell ref="D11:E11"/>
    <mergeCell ref="A12:C12"/>
    <mergeCell ref="D12:E12"/>
    <mergeCell ref="D17:E17"/>
  </mergeCells>
  <printOptions horizontalCentered="1" verticalCentered="1"/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G989"/>
  <sheetViews>
    <sheetView showGridLines="0" topLeftCell="A2" zoomScale="90" zoomScaleNormal="90" workbookViewId="0">
      <selection activeCell="A6" sqref="A6:C7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42" t="s">
        <v>0</v>
      </c>
      <c r="B1" s="43"/>
      <c r="C1" s="43"/>
      <c r="D1" s="43"/>
      <c r="E1" s="43"/>
      <c r="F1" s="44"/>
      <c r="G1" s="1"/>
    </row>
    <row r="2" spans="1:7" ht="29.25" customHeight="1" x14ac:dyDescent="0.25">
      <c r="A2" s="45" t="s">
        <v>1</v>
      </c>
      <c r="B2" s="46"/>
      <c r="C2" s="46"/>
      <c r="D2" s="46"/>
      <c r="E2" s="100"/>
      <c r="F2" s="101"/>
      <c r="G2" s="1"/>
    </row>
    <row r="3" spans="1:7" ht="40.5" customHeight="1" x14ac:dyDescent="0.25">
      <c r="A3" s="49" t="s">
        <v>2</v>
      </c>
      <c r="B3" s="50"/>
      <c r="C3" s="50"/>
      <c r="D3" s="50"/>
      <c r="E3" s="100"/>
      <c r="F3" s="101"/>
      <c r="G3" s="3"/>
    </row>
    <row r="4" spans="1:7" ht="28.5" customHeight="1" x14ac:dyDescent="0.25">
      <c r="A4" s="25"/>
      <c r="B4" s="34"/>
      <c r="C4" s="34"/>
      <c r="D4" s="34"/>
      <c r="E4" s="102"/>
      <c r="F4" s="103"/>
      <c r="G4" s="3"/>
    </row>
    <row r="5" spans="1:7" ht="4.2" customHeight="1" x14ac:dyDescent="0.25">
      <c r="A5" s="104"/>
      <c r="B5" s="105"/>
      <c r="C5" s="105"/>
      <c r="D5" s="105"/>
      <c r="E5" s="105"/>
      <c r="F5" s="106"/>
      <c r="G5" s="4"/>
    </row>
    <row r="6" spans="1:7" ht="17.399999999999999" customHeight="1" x14ac:dyDescent="0.25">
      <c r="A6" s="131" t="s">
        <v>22</v>
      </c>
      <c r="B6" s="35"/>
      <c r="C6" s="35"/>
      <c r="D6" s="38" t="s">
        <v>23</v>
      </c>
      <c r="E6" s="38"/>
      <c r="F6" s="5"/>
      <c r="G6" s="6"/>
    </row>
    <row r="7" spans="1:7" ht="16.95" customHeight="1" x14ac:dyDescent="0.25">
      <c r="A7" s="36"/>
      <c r="B7" s="37"/>
      <c r="C7" s="37"/>
      <c r="D7" s="39" t="s">
        <v>4</v>
      </c>
      <c r="E7" s="39"/>
      <c r="F7" s="7"/>
      <c r="G7" s="4"/>
    </row>
    <row r="8" spans="1:7" ht="4.2" customHeight="1" x14ac:dyDescent="0.25">
      <c r="A8" s="107"/>
      <c r="B8" s="108"/>
      <c r="C8" s="108"/>
      <c r="D8" s="108"/>
      <c r="E8" s="108"/>
      <c r="F8" s="109"/>
      <c r="G8" s="4"/>
    </row>
    <row r="9" spans="1:7" ht="22.2" customHeight="1" x14ac:dyDescent="0.25">
      <c r="A9" s="110" t="s">
        <v>24</v>
      </c>
      <c r="B9" s="111"/>
      <c r="C9" s="111"/>
      <c r="D9" s="111"/>
      <c r="E9" s="111"/>
      <c r="F9" s="112"/>
      <c r="G9" s="8"/>
    </row>
    <row r="10" spans="1:7" ht="18" customHeight="1" x14ac:dyDescent="0.25">
      <c r="A10" s="113"/>
      <c r="B10" s="114"/>
      <c r="C10" s="114"/>
      <c r="D10" s="114"/>
      <c r="E10" s="114"/>
      <c r="F10" s="115"/>
      <c r="G10" s="9"/>
    </row>
    <row r="11" spans="1:7" ht="31.5" customHeight="1" x14ac:dyDescent="0.25">
      <c r="A11" s="113"/>
      <c r="B11" s="114"/>
      <c r="C11" s="114"/>
      <c r="D11" s="114"/>
      <c r="E11" s="114"/>
      <c r="F11" s="115"/>
      <c r="G11" s="10"/>
    </row>
    <row r="12" spans="1:7" ht="18" customHeight="1" x14ac:dyDescent="0.25">
      <c r="A12" s="63" t="s">
        <v>6</v>
      </c>
      <c r="B12" s="64"/>
      <c r="C12" s="65"/>
      <c r="D12" s="66" t="s">
        <v>7</v>
      </c>
      <c r="E12" s="67"/>
      <c r="F12" s="26" t="s">
        <v>8</v>
      </c>
      <c r="G12" s="4"/>
    </row>
    <row r="13" spans="1:7" ht="18" customHeight="1" x14ac:dyDescent="0.25">
      <c r="A13" s="68" t="s">
        <v>13</v>
      </c>
      <c r="B13" s="69"/>
      <c r="C13" s="70"/>
      <c r="D13" s="71">
        <v>950476</v>
      </c>
      <c r="E13" s="72"/>
      <c r="F13" s="22">
        <f>D13</f>
        <v>950476</v>
      </c>
      <c r="G13" s="11"/>
    </row>
    <row r="14" spans="1:7" ht="18" customHeight="1" x14ac:dyDescent="0.25">
      <c r="A14" s="68"/>
      <c r="B14" s="69"/>
      <c r="C14" s="70"/>
      <c r="D14" s="40"/>
      <c r="E14" s="41"/>
      <c r="F14" s="22"/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68"/>
      <c r="B16" s="69"/>
      <c r="C16" s="70"/>
      <c r="D16" s="40"/>
      <c r="E16" s="41"/>
      <c r="F16" s="22"/>
      <c r="G16" s="11"/>
    </row>
    <row r="17" spans="1:7" ht="18" customHeight="1" x14ac:dyDescent="0.25">
      <c r="A17" s="68"/>
      <c r="B17" s="69"/>
      <c r="C17" s="70"/>
      <c r="D17" s="40"/>
      <c r="E17" s="41"/>
      <c r="F17" s="22"/>
      <c r="G17" s="11"/>
    </row>
    <row r="18" spans="1:7" ht="18" customHeight="1" x14ac:dyDescent="0.25">
      <c r="A18" s="24"/>
      <c r="B18" s="27"/>
      <c r="C18" s="28"/>
      <c r="D18" s="29"/>
      <c r="E18" s="30"/>
      <c r="F18" s="22"/>
      <c r="G18" s="11"/>
    </row>
    <row r="19" spans="1:7" ht="18" customHeight="1" x14ac:dyDescent="0.25">
      <c r="A19" s="68"/>
      <c r="B19" s="69"/>
      <c r="C19" s="70"/>
      <c r="D19" s="40"/>
      <c r="E19" s="41"/>
      <c r="F19" s="22"/>
      <c r="G19" s="11"/>
    </row>
    <row r="20" spans="1:7" ht="18" customHeight="1" x14ac:dyDescent="0.25">
      <c r="A20" s="83"/>
      <c r="B20" s="84"/>
      <c r="C20" s="85"/>
      <c r="D20" s="116"/>
      <c r="E20" s="117"/>
      <c r="F20" s="23"/>
      <c r="G20" s="11"/>
    </row>
    <row r="21" spans="1:7" ht="19.5" customHeight="1" x14ac:dyDescent="0.25">
      <c r="A21" s="73"/>
      <c r="B21" s="74"/>
      <c r="C21" s="74"/>
      <c r="D21" s="75" t="s">
        <v>10</v>
      </c>
      <c r="E21" s="76"/>
      <c r="F21" s="12">
        <f>F13</f>
        <v>950476</v>
      </c>
      <c r="G21" s="13"/>
    </row>
    <row r="22" spans="1:7" ht="19.5" customHeight="1" x14ac:dyDescent="0.25">
      <c r="A22" s="86" t="s">
        <v>11</v>
      </c>
      <c r="B22" s="87"/>
      <c r="C22" s="88"/>
      <c r="D22" s="77" t="s">
        <v>12</v>
      </c>
      <c r="E22" s="78"/>
      <c r="F22" s="14">
        <f>+F21*18%</f>
        <v>171085.68</v>
      </c>
      <c r="G22" s="15"/>
    </row>
    <row r="23" spans="1:7" ht="22.95" customHeight="1" x14ac:dyDescent="0.25">
      <c r="A23" s="89"/>
      <c r="B23" s="90"/>
      <c r="C23" s="91"/>
      <c r="D23" s="79" t="s">
        <v>8</v>
      </c>
      <c r="E23" s="80"/>
      <c r="F23" s="95">
        <f>SUM(F21:F22)</f>
        <v>1121561.68</v>
      </c>
      <c r="G23" s="16"/>
    </row>
    <row r="24" spans="1:7" ht="22.95" customHeight="1" thickBot="1" x14ac:dyDescent="0.3">
      <c r="A24" s="92"/>
      <c r="B24" s="93"/>
      <c r="C24" s="94"/>
      <c r="D24" s="81"/>
      <c r="E24" s="82"/>
      <c r="F24" s="96"/>
      <c r="G24" s="16"/>
    </row>
    <row r="25" spans="1:7" ht="15.75" customHeight="1" x14ac:dyDescent="0.25">
      <c r="A25" s="97"/>
      <c r="B25" s="98"/>
      <c r="C25" s="98"/>
      <c r="D25" s="98"/>
      <c r="E25" s="98"/>
      <c r="F25" s="98"/>
      <c r="G25" s="17"/>
    </row>
    <row r="26" spans="1:7" ht="15.75" customHeight="1" x14ac:dyDescent="0.25">
      <c r="A26" s="97"/>
      <c r="B26" s="98"/>
      <c r="C26" s="98"/>
      <c r="D26" s="98"/>
      <c r="E26" s="98"/>
      <c r="F26" s="98"/>
      <c r="G26" s="18"/>
    </row>
    <row r="27" spans="1:7" ht="21" customHeight="1" x14ac:dyDescent="0.25">
      <c r="A27" s="99"/>
      <c r="B27" s="98"/>
      <c r="C27" s="98"/>
      <c r="D27" s="98"/>
      <c r="E27" s="98"/>
      <c r="F27" s="98"/>
      <c r="G27" s="19"/>
    </row>
    <row r="28" spans="1:7" ht="15.75" customHeight="1" x14ac:dyDescent="0.25">
      <c r="A28" s="20"/>
      <c r="B28" s="20"/>
      <c r="C28" s="20"/>
      <c r="D28" s="20"/>
      <c r="E28" s="20"/>
      <c r="F28" s="20"/>
      <c r="G28" s="2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5">
    <mergeCell ref="A14:C14"/>
    <mergeCell ref="A15:C15"/>
    <mergeCell ref="A16:C16"/>
    <mergeCell ref="A17:C17"/>
    <mergeCell ref="A19:C19"/>
    <mergeCell ref="D14:E14"/>
    <mergeCell ref="D15:E15"/>
    <mergeCell ref="D16:E16"/>
    <mergeCell ref="D17:E17"/>
    <mergeCell ref="D19:E19"/>
    <mergeCell ref="D23:E24"/>
    <mergeCell ref="F23:F24"/>
    <mergeCell ref="A25:F25"/>
    <mergeCell ref="A26:F26"/>
    <mergeCell ref="A27:F27"/>
    <mergeCell ref="A22:C24"/>
    <mergeCell ref="D20:E20"/>
    <mergeCell ref="A21:C21"/>
    <mergeCell ref="D21:E21"/>
    <mergeCell ref="D22:E22"/>
    <mergeCell ref="A20:C20"/>
    <mergeCell ref="A8:F8"/>
    <mergeCell ref="A9:F11"/>
    <mergeCell ref="A12:C12"/>
    <mergeCell ref="D12:E12"/>
    <mergeCell ref="A13:C13"/>
    <mergeCell ref="D13:E13"/>
    <mergeCell ref="A6:C7"/>
    <mergeCell ref="D6:E6"/>
    <mergeCell ref="D7:E7"/>
    <mergeCell ref="A1:F1"/>
    <mergeCell ref="A2:D2"/>
    <mergeCell ref="E2:F4"/>
    <mergeCell ref="A3:D3"/>
    <mergeCell ref="A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outlinePr summaryBelow="0" summaryRight="0"/>
    <pageSetUpPr fitToPage="1"/>
  </sheetPr>
  <dimension ref="A1:G989"/>
  <sheetViews>
    <sheetView showGridLines="0" topLeftCell="A3" zoomScale="90" zoomScaleNormal="90" workbookViewId="0">
      <selection activeCell="D23" sqref="D23:E24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42" t="s">
        <v>0</v>
      </c>
      <c r="B1" s="43"/>
      <c r="C1" s="43"/>
      <c r="D1" s="43"/>
      <c r="E1" s="43"/>
      <c r="F1" s="44"/>
      <c r="G1" s="1"/>
    </row>
    <row r="2" spans="1:7" ht="26.25" customHeight="1" x14ac:dyDescent="0.25">
      <c r="A2" s="45" t="s">
        <v>1</v>
      </c>
      <c r="B2" s="46"/>
      <c r="C2" s="46"/>
      <c r="D2" s="46"/>
      <c r="E2" s="100"/>
      <c r="F2" s="101"/>
      <c r="G2" s="1"/>
    </row>
    <row r="3" spans="1:7" ht="45" customHeight="1" x14ac:dyDescent="0.25">
      <c r="A3" s="49" t="s">
        <v>2</v>
      </c>
      <c r="B3" s="50"/>
      <c r="C3" s="50"/>
      <c r="D3" s="50"/>
      <c r="E3" s="100"/>
      <c r="F3" s="101"/>
      <c r="G3" s="3"/>
    </row>
    <row r="4" spans="1:7" ht="24.75" customHeight="1" x14ac:dyDescent="0.25">
      <c r="A4" s="25"/>
      <c r="B4" s="34"/>
      <c r="C4" s="34"/>
      <c r="D4" s="34"/>
      <c r="E4" s="102"/>
      <c r="F4" s="103"/>
      <c r="G4" s="3"/>
    </row>
    <row r="5" spans="1:7" ht="4.2" customHeight="1" x14ac:dyDescent="0.25">
      <c r="A5" s="51"/>
      <c r="B5" s="52"/>
      <c r="C5" s="52"/>
      <c r="D5" s="52"/>
      <c r="E5" s="52"/>
      <c r="F5" s="53"/>
      <c r="G5" s="4"/>
    </row>
    <row r="6" spans="1:7" ht="17.399999999999999" customHeight="1" x14ac:dyDescent="0.25">
      <c r="A6" s="131" t="s">
        <v>26</v>
      </c>
      <c r="B6" s="35"/>
      <c r="C6" s="35"/>
      <c r="D6" s="38" t="s">
        <v>23</v>
      </c>
      <c r="E6" s="38"/>
      <c r="F6" s="5"/>
      <c r="G6" s="6"/>
    </row>
    <row r="7" spans="1:7" ht="16.95" customHeight="1" x14ac:dyDescent="0.25">
      <c r="A7" s="36"/>
      <c r="B7" s="37"/>
      <c r="C7" s="37"/>
      <c r="D7" s="39" t="s">
        <v>14</v>
      </c>
      <c r="E7" s="39"/>
      <c r="F7" s="7"/>
      <c r="G7" s="4"/>
    </row>
    <row r="8" spans="1:7" ht="4.2" customHeight="1" x14ac:dyDescent="0.25">
      <c r="A8" s="54"/>
      <c r="B8" s="55"/>
      <c r="C8" s="55"/>
      <c r="D8" s="55"/>
      <c r="E8" s="55"/>
      <c r="F8" s="56"/>
      <c r="G8" s="4"/>
    </row>
    <row r="9" spans="1:7" ht="22.2" customHeight="1" x14ac:dyDescent="0.25">
      <c r="A9" s="132" t="s">
        <v>25</v>
      </c>
      <c r="B9" s="111"/>
      <c r="C9" s="111"/>
      <c r="D9" s="111"/>
      <c r="E9" s="111"/>
      <c r="F9" s="112"/>
      <c r="G9" s="8"/>
    </row>
    <row r="10" spans="1:7" ht="18" customHeight="1" x14ac:dyDescent="0.25">
      <c r="A10" s="113"/>
      <c r="B10" s="114"/>
      <c r="C10" s="114"/>
      <c r="D10" s="114"/>
      <c r="E10" s="114"/>
      <c r="F10" s="115"/>
      <c r="G10" s="9"/>
    </row>
    <row r="11" spans="1:7" ht="29.25" customHeight="1" x14ac:dyDescent="0.25">
      <c r="A11" s="113"/>
      <c r="B11" s="114"/>
      <c r="C11" s="114"/>
      <c r="D11" s="114"/>
      <c r="E11" s="114"/>
      <c r="F11" s="115"/>
      <c r="G11" s="10"/>
    </row>
    <row r="12" spans="1:7" ht="18" customHeight="1" x14ac:dyDescent="0.25">
      <c r="A12" s="63" t="s">
        <v>6</v>
      </c>
      <c r="B12" s="64"/>
      <c r="C12" s="65"/>
      <c r="D12" s="66" t="s">
        <v>7</v>
      </c>
      <c r="E12" s="67"/>
      <c r="F12" s="26" t="s">
        <v>8</v>
      </c>
      <c r="G12" s="4"/>
    </row>
    <row r="13" spans="1:7" ht="18" customHeight="1" x14ac:dyDescent="0.25">
      <c r="A13" s="68" t="s">
        <v>15</v>
      </c>
      <c r="B13" s="69"/>
      <c r="C13" s="70"/>
      <c r="D13" s="71">
        <v>941905</v>
      </c>
      <c r="E13" s="72"/>
      <c r="F13" s="22">
        <f>D13</f>
        <v>941905</v>
      </c>
      <c r="G13" s="11"/>
    </row>
    <row r="14" spans="1:7" ht="18" customHeight="1" x14ac:dyDescent="0.25">
      <c r="A14" s="68"/>
      <c r="B14" s="69"/>
      <c r="C14" s="70"/>
      <c r="D14" s="40"/>
      <c r="E14" s="41"/>
      <c r="F14" s="22"/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68"/>
      <c r="B16" s="69"/>
      <c r="C16" s="70"/>
      <c r="D16" s="40"/>
      <c r="E16" s="41"/>
      <c r="F16" s="22"/>
      <c r="G16" s="11"/>
    </row>
    <row r="17" spans="1:7" ht="18" customHeight="1" x14ac:dyDescent="0.25">
      <c r="A17" s="68"/>
      <c r="B17" s="69"/>
      <c r="C17" s="70"/>
      <c r="D17" s="40"/>
      <c r="E17" s="41"/>
      <c r="F17" s="22"/>
      <c r="G17" s="11"/>
    </row>
    <row r="18" spans="1:7" ht="18" customHeight="1" x14ac:dyDescent="0.25">
      <c r="A18" s="68"/>
      <c r="B18" s="69"/>
      <c r="C18" s="70"/>
      <c r="D18" s="40"/>
      <c r="E18" s="41"/>
      <c r="F18" s="22"/>
      <c r="G18" s="11"/>
    </row>
    <row r="19" spans="1:7" ht="18" customHeight="1" x14ac:dyDescent="0.25">
      <c r="A19" s="68"/>
      <c r="B19" s="69"/>
      <c r="C19" s="70"/>
      <c r="D19" s="40"/>
      <c r="E19" s="41"/>
      <c r="F19" s="22"/>
      <c r="G19" s="11"/>
    </row>
    <row r="20" spans="1:7" ht="18" customHeight="1" x14ac:dyDescent="0.25">
      <c r="A20" s="83"/>
      <c r="B20" s="84"/>
      <c r="C20" s="85"/>
      <c r="D20" s="116"/>
      <c r="E20" s="117"/>
      <c r="F20" s="23"/>
      <c r="G20" s="11"/>
    </row>
    <row r="21" spans="1:7" ht="19.5" customHeight="1" x14ac:dyDescent="0.25">
      <c r="A21" s="73"/>
      <c r="B21" s="74"/>
      <c r="C21" s="74"/>
      <c r="D21" s="75" t="s">
        <v>10</v>
      </c>
      <c r="E21" s="76"/>
      <c r="F21" s="12">
        <f>F13</f>
        <v>941905</v>
      </c>
      <c r="G21" s="13"/>
    </row>
    <row r="22" spans="1:7" ht="19.5" customHeight="1" x14ac:dyDescent="0.25">
      <c r="A22" s="86" t="s">
        <v>11</v>
      </c>
      <c r="B22" s="87"/>
      <c r="C22" s="88"/>
      <c r="D22" s="77" t="s">
        <v>12</v>
      </c>
      <c r="E22" s="78"/>
      <c r="F22" s="14">
        <f>+F21*18%</f>
        <v>169542.9</v>
      </c>
      <c r="G22" s="15"/>
    </row>
    <row r="23" spans="1:7" ht="22.95" customHeight="1" x14ac:dyDescent="0.25">
      <c r="A23" s="89"/>
      <c r="B23" s="90"/>
      <c r="C23" s="91"/>
      <c r="D23" s="79" t="s">
        <v>8</v>
      </c>
      <c r="E23" s="80"/>
      <c r="F23" s="95">
        <f>SUM(F21:F22)</f>
        <v>1111447.8999999999</v>
      </c>
      <c r="G23" s="16"/>
    </row>
    <row r="24" spans="1:7" ht="22.95" customHeight="1" thickBot="1" x14ac:dyDescent="0.3">
      <c r="A24" s="92"/>
      <c r="B24" s="93"/>
      <c r="C24" s="94"/>
      <c r="D24" s="81"/>
      <c r="E24" s="82"/>
      <c r="F24" s="96"/>
      <c r="G24" s="16"/>
    </row>
    <row r="25" spans="1:7" ht="15.75" customHeight="1" x14ac:dyDescent="0.25">
      <c r="A25" s="97"/>
      <c r="B25" s="98"/>
      <c r="C25" s="98"/>
      <c r="D25" s="98"/>
      <c r="E25" s="98"/>
      <c r="F25" s="98"/>
      <c r="G25" s="17"/>
    </row>
    <row r="26" spans="1:7" ht="15.75" customHeight="1" x14ac:dyDescent="0.25">
      <c r="A26" s="97"/>
      <c r="B26" s="98"/>
      <c r="C26" s="98"/>
      <c r="D26" s="98"/>
      <c r="E26" s="98"/>
      <c r="F26" s="98"/>
      <c r="G26" s="18"/>
    </row>
    <row r="27" spans="1:7" ht="21" customHeight="1" x14ac:dyDescent="0.25">
      <c r="A27" s="99"/>
      <c r="B27" s="98"/>
      <c r="C27" s="98"/>
      <c r="D27" s="98"/>
      <c r="E27" s="98"/>
      <c r="F27" s="98"/>
      <c r="G27" s="19"/>
    </row>
    <row r="28" spans="1:7" ht="15.75" customHeight="1" x14ac:dyDescent="0.25">
      <c r="A28" s="20"/>
      <c r="B28" s="20"/>
      <c r="C28" s="20"/>
      <c r="D28" s="20"/>
      <c r="E28" s="20"/>
      <c r="F28" s="20"/>
      <c r="G28" s="2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D19:E19"/>
    <mergeCell ref="A14:C14"/>
    <mergeCell ref="A15:C15"/>
    <mergeCell ref="A16:C16"/>
    <mergeCell ref="A17:C17"/>
    <mergeCell ref="A18:C18"/>
    <mergeCell ref="A19:C19"/>
    <mergeCell ref="D14:E14"/>
    <mergeCell ref="D15:E15"/>
    <mergeCell ref="D16:E16"/>
    <mergeCell ref="D17:E17"/>
    <mergeCell ref="D18:E18"/>
    <mergeCell ref="D23:E24"/>
    <mergeCell ref="F23:F24"/>
    <mergeCell ref="A25:F25"/>
    <mergeCell ref="A26:F26"/>
    <mergeCell ref="A27:F27"/>
    <mergeCell ref="A22:C24"/>
    <mergeCell ref="A20:C20"/>
    <mergeCell ref="D20:E20"/>
    <mergeCell ref="A21:C21"/>
    <mergeCell ref="D21:E21"/>
    <mergeCell ref="D22:E22"/>
    <mergeCell ref="A8:F8"/>
    <mergeCell ref="A9:F11"/>
    <mergeCell ref="A12:C12"/>
    <mergeCell ref="D12:E12"/>
    <mergeCell ref="A13:C13"/>
    <mergeCell ref="D13:E13"/>
    <mergeCell ref="A6:C7"/>
    <mergeCell ref="D6:E6"/>
    <mergeCell ref="D7:E7"/>
    <mergeCell ref="A1:F1"/>
    <mergeCell ref="A2:D2"/>
    <mergeCell ref="E2:F4"/>
    <mergeCell ref="A3:D3"/>
    <mergeCell ref="A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I13" sqref="I13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42" t="s">
        <v>0</v>
      </c>
      <c r="B1" s="43"/>
      <c r="C1" s="43"/>
      <c r="D1" s="43"/>
      <c r="E1" s="43"/>
      <c r="F1" s="44"/>
      <c r="G1" s="1"/>
    </row>
    <row r="2" spans="1:7" ht="27" customHeight="1" x14ac:dyDescent="0.25">
      <c r="A2" s="45" t="s">
        <v>1</v>
      </c>
      <c r="B2" s="46"/>
      <c r="C2" s="46"/>
      <c r="D2" s="46"/>
      <c r="E2" s="100"/>
      <c r="F2" s="101"/>
      <c r="G2" s="1"/>
    </row>
    <row r="3" spans="1:7" ht="70.5" customHeight="1" x14ac:dyDescent="0.25">
      <c r="A3" s="49" t="s">
        <v>2</v>
      </c>
      <c r="B3" s="50"/>
      <c r="C3" s="50"/>
      <c r="D3" s="50"/>
      <c r="E3" s="100"/>
      <c r="F3" s="101"/>
      <c r="G3" s="3"/>
    </row>
    <row r="4" spans="1:7" ht="4.2" customHeight="1" x14ac:dyDescent="0.25">
      <c r="A4" s="51"/>
      <c r="B4" s="52"/>
      <c r="C4" s="52"/>
      <c r="D4" s="52"/>
      <c r="E4" s="52"/>
      <c r="F4" s="53"/>
      <c r="G4" s="4"/>
    </row>
    <row r="5" spans="1:7" ht="17.399999999999999" customHeight="1" x14ac:dyDescent="0.25">
      <c r="A5" s="131" t="s">
        <v>28</v>
      </c>
      <c r="B5" s="35"/>
      <c r="C5" s="35"/>
      <c r="D5" s="38" t="s">
        <v>16</v>
      </c>
      <c r="E5" s="38"/>
      <c r="F5" s="5"/>
      <c r="G5" s="6"/>
    </row>
    <row r="6" spans="1:7" ht="16.95" customHeight="1" x14ac:dyDescent="0.25">
      <c r="A6" s="36"/>
      <c r="B6" s="37"/>
      <c r="C6" s="37"/>
      <c r="D6" s="39" t="s">
        <v>4</v>
      </c>
      <c r="E6" s="39"/>
      <c r="F6" s="7"/>
      <c r="G6" s="4"/>
    </row>
    <row r="7" spans="1:7" ht="4.2" customHeight="1" x14ac:dyDescent="0.25">
      <c r="A7" s="54"/>
      <c r="B7" s="55"/>
      <c r="C7" s="55"/>
      <c r="D7" s="55"/>
      <c r="E7" s="55"/>
      <c r="F7" s="56"/>
      <c r="G7" s="4"/>
    </row>
    <row r="8" spans="1:7" ht="22.2" customHeight="1" x14ac:dyDescent="0.25">
      <c r="A8" s="132" t="s">
        <v>18</v>
      </c>
      <c r="B8" s="111"/>
      <c r="C8" s="111"/>
      <c r="D8" s="111"/>
      <c r="E8" s="111"/>
      <c r="F8" s="112"/>
      <c r="G8" s="8"/>
    </row>
    <row r="9" spans="1:7" ht="18" customHeight="1" x14ac:dyDescent="0.25">
      <c r="A9" s="113"/>
      <c r="B9" s="114"/>
      <c r="C9" s="114"/>
      <c r="D9" s="114"/>
      <c r="E9" s="114"/>
      <c r="F9" s="115"/>
      <c r="G9" s="9"/>
    </row>
    <row r="10" spans="1:7" ht="27" customHeight="1" x14ac:dyDescent="0.25">
      <c r="A10" s="113"/>
      <c r="B10" s="114"/>
      <c r="C10" s="114"/>
      <c r="D10" s="114"/>
      <c r="E10" s="114"/>
      <c r="F10" s="115"/>
      <c r="G10" s="10"/>
    </row>
    <row r="11" spans="1:7" ht="5.25" customHeight="1" x14ac:dyDescent="0.25">
      <c r="A11" s="118"/>
      <c r="B11" s="119"/>
      <c r="C11" s="119"/>
      <c r="D11" s="119"/>
      <c r="E11" s="119"/>
      <c r="F11" s="120"/>
      <c r="G11" s="21"/>
    </row>
    <row r="12" spans="1:7" ht="18" customHeight="1" x14ac:dyDescent="0.25">
      <c r="A12" s="63" t="s">
        <v>6</v>
      </c>
      <c r="B12" s="64"/>
      <c r="C12" s="65"/>
      <c r="D12" s="64" t="s">
        <v>7</v>
      </c>
      <c r="E12" s="121"/>
      <c r="F12" s="26" t="s">
        <v>8</v>
      </c>
      <c r="G12" s="4"/>
    </row>
    <row r="13" spans="1:7" ht="18" customHeight="1" x14ac:dyDescent="0.25">
      <c r="A13" s="68" t="s">
        <v>13</v>
      </c>
      <c r="B13" s="69"/>
      <c r="C13" s="70"/>
      <c r="D13" s="71">
        <v>742857</v>
      </c>
      <c r="E13" s="72"/>
      <c r="F13" s="22">
        <f>D13</f>
        <v>742857</v>
      </c>
      <c r="G13" s="11"/>
    </row>
    <row r="14" spans="1:7" ht="18" customHeight="1" x14ac:dyDescent="0.25">
      <c r="A14" s="68"/>
      <c r="B14" s="69"/>
      <c r="C14" s="70"/>
      <c r="D14" s="40"/>
      <c r="E14" s="41"/>
      <c r="F14" s="22"/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68"/>
      <c r="B16" s="69"/>
      <c r="C16" s="70"/>
      <c r="D16" s="40"/>
      <c r="E16" s="41"/>
      <c r="F16" s="22"/>
      <c r="G16" s="11"/>
    </row>
    <row r="17" spans="1:7" ht="18" customHeight="1" x14ac:dyDescent="0.25">
      <c r="A17" s="68"/>
      <c r="B17" s="69"/>
      <c r="C17" s="70"/>
      <c r="D17" s="40"/>
      <c r="E17" s="41"/>
      <c r="F17" s="22"/>
      <c r="G17" s="11"/>
    </row>
    <row r="18" spans="1:7" ht="18" customHeight="1" x14ac:dyDescent="0.25">
      <c r="A18" s="68"/>
      <c r="B18" s="69"/>
      <c r="C18" s="70"/>
      <c r="D18" s="40"/>
      <c r="E18" s="41"/>
      <c r="F18" s="22"/>
      <c r="G18" s="11"/>
    </row>
    <row r="19" spans="1:7" ht="18" customHeight="1" x14ac:dyDescent="0.25">
      <c r="A19" s="68"/>
      <c r="B19" s="69"/>
      <c r="C19" s="70"/>
      <c r="D19" s="40"/>
      <c r="E19" s="41"/>
      <c r="F19" s="22"/>
      <c r="G19" s="11"/>
    </row>
    <row r="20" spans="1:7" ht="18" customHeight="1" x14ac:dyDescent="0.25">
      <c r="A20" s="83"/>
      <c r="B20" s="84"/>
      <c r="C20" s="85"/>
      <c r="D20" s="116"/>
      <c r="E20" s="117"/>
      <c r="F20" s="23"/>
      <c r="G20" s="11"/>
    </row>
    <row r="21" spans="1:7" ht="19.5" customHeight="1" x14ac:dyDescent="0.25">
      <c r="A21" s="73"/>
      <c r="B21" s="74"/>
      <c r="C21" s="74"/>
      <c r="D21" s="75" t="s">
        <v>10</v>
      </c>
      <c r="E21" s="76"/>
      <c r="F21" s="12">
        <f>F13</f>
        <v>742857</v>
      </c>
      <c r="G21" s="13"/>
    </row>
    <row r="22" spans="1:7" ht="19.5" customHeight="1" x14ac:dyDescent="0.25">
      <c r="A22" s="86" t="s">
        <v>11</v>
      </c>
      <c r="B22" s="87"/>
      <c r="C22" s="88"/>
      <c r="D22" s="77" t="s">
        <v>12</v>
      </c>
      <c r="E22" s="78"/>
      <c r="F22" s="14">
        <f>+F21*18%</f>
        <v>133714.26</v>
      </c>
      <c r="G22" s="15"/>
    </row>
    <row r="23" spans="1:7" ht="22.95" customHeight="1" x14ac:dyDescent="0.25">
      <c r="A23" s="89"/>
      <c r="B23" s="90"/>
      <c r="C23" s="91"/>
      <c r="D23" s="122" t="s">
        <v>8</v>
      </c>
      <c r="E23" s="123"/>
      <c r="F23" s="126">
        <f>SUM(F21:F22)</f>
        <v>876571.26</v>
      </c>
      <c r="G23" s="16"/>
    </row>
    <row r="24" spans="1:7" ht="22.95" customHeight="1" thickBot="1" x14ac:dyDescent="0.3">
      <c r="A24" s="92"/>
      <c r="B24" s="93"/>
      <c r="C24" s="94"/>
      <c r="D24" s="124"/>
      <c r="E24" s="125"/>
      <c r="F24" s="127"/>
      <c r="G24" s="16"/>
    </row>
    <row r="25" spans="1:7" ht="15.75" customHeight="1" x14ac:dyDescent="0.25">
      <c r="A25" s="97"/>
      <c r="B25" s="98"/>
      <c r="C25" s="98"/>
      <c r="D25" s="98"/>
      <c r="E25" s="98"/>
      <c r="F25" s="98"/>
      <c r="G25" s="17"/>
    </row>
    <row r="26" spans="1:7" ht="15.75" customHeight="1" x14ac:dyDescent="0.25">
      <c r="A26" s="97"/>
      <c r="B26" s="98"/>
      <c r="C26" s="98"/>
      <c r="D26" s="98"/>
      <c r="E26" s="98"/>
      <c r="F26" s="98"/>
      <c r="G26" s="18"/>
    </row>
    <row r="27" spans="1:7" ht="21" customHeight="1" x14ac:dyDescent="0.25">
      <c r="A27" s="99"/>
      <c r="B27" s="98"/>
      <c r="C27" s="98"/>
      <c r="D27" s="98"/>
      <c r="E27" s="98"/>
      <c r="F27" s="98"/>
      <c r="G27" s="19"/>
    </row>
    <row r="28" spans="1:7" ht="15.75" customHeight="1" x14ac:dyDescent="0.25">
      <c r="A28" s="20"/>
      <c r="B28" s="20"/>
      <c r="C28" s="20"/>
      <c r="D28" s="20"/>
      <c r="E28" s="20"/>
      <c r="F28" s="20"/>
      <c r="G28" s="2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A22:C24"/>
    <mergeCell ref="A27:F27"/>
    <mergeCell ref="A19:C19"/>
    <mergeCell ref="A25:F25"/>
    <mergeCell ref="A26:F26"/>
    <mergeCell ref="A20:C20"/>
    <mergeCell ref="A21:C21"/>
    <mergeCell ref="A14:C14"/>
    <mergeCell ref="A15:C15"/>
    <mergeCell ref="A16:C16"/>
    <mergeCell ref="A17:C17"/>
    <mergeCell ref="A18:C18"/>
    <mergeCell ref="D14:E14"/>
    <mergeCell ref="D15:E15"/>
    <mergeCell ref="D16:E16"/>
    <mergeCell ref="D23:E24"/>
    <mergeCell ref="F23:F24"/>
    <mergeCell ref="D20:E20"/>
    <mergeCell ref="D21:E21"/>
    <mergeCell ref="D22:E22"/>
    <mergeCell ref="D17:E17"/>
    <mergeCell ref="D18:E18"/>
    <mergeCell ref="D19:E19"/>
    <mergeCell ref="A7:F7"/>
    <mergeCell ref="A8:F11"/>
    <mergeCell ref="A12:C12"/>
    <mergeCell ref="D12:E12"/>
    <mergeCell ref="A13:C13"/>
    <mergeCell ref="D13:E13"/>
    <mergeCell ref="A5:C6"/>
    <mergeCell ref="D5:E5"/>
    <mergeCell ref="D6:E6"/>
    <mergeCell ref="A1:F1"/>
    <mergeCell ref="A2:D2"/>
    <mergeCell ref="E2:F3"/>
    <mergeCell ref="A3:D3"/>
    <mergeCell ref="A4:F4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96B0"/>
    <outlinePr summaryBelow="0" summaryRight="0"/>
    <pageSetUpPr fitToPage="1"/>
  </sheetPr>
  <dimension ref="A1:G989"/>
  <sheetViews>
    <sheetView showGridLines="0" tabSelected="1" topLeftCell="A6" zoomScale="90" zoomScaleNormal="90" workbookViewId="0">
      <selection activeCell="H28" sqref="H28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42" t="s">
        <v>0</v>
      </c>
      <c r="B1" s="43"/>
      <c r="C1" s="43"/>
      <c r="D1" s="43"/>
      <c r="E1" s="43"/>
      <c r="F1" s="44"/>
      <c r="G1" s="1"/>
    </row>
    <row r="2" spans="1:7" ht="22.5" customHeight="1" x14ac:dyDescent="0.25">
      <c r="A2" s="45" t="s">
        <v>1</v>
      </c>
      <c r="B2" s="46"/>
      <c r="C2" s="46"/>
      <c r="D2" s="46"/>
      <c r="E2" s="100"/>
      <c r="F2" s="101"/>
      <c r="G2" s="1"/>
    </row>
    <row r="3" spans="1:7" ht="64.5" customHeight="1" x14ac:dyDescent="0.25">
      <c r="A3" s="49" t="s">
        <v>2</v>
      </c>
      <c r="B3" s="50"/>
      <c r="C3" s="50"/>
      <c r="D3" s="50"/>
      <c r="E3" s="100"/>
      <c r="F3" s="101"/>
      <c r="G3" s="3"/>
    </row>
    <row r="4" spans="1:7" ht="10.5" customHeight="1" x14ac:dyDescent="0.25">
      <c r="A4" s="25"/>
      <c r="B4" s="34"/>
      <c r="C4" s="34"/>
      <c r="D4" s="34"/>
      <c r="E4" s="102"/>
      <c r="F4" s="103"/>
      <c r="G4" s="3"/>
    </row>
    <row r="5" spans="1:7" ht="4.2" customHeight="1" x14ac:dyDescent="0.25">
      <c r="A5" s="51"/>
      <c r="B5" s="52"/>
      <c r="C5" s="52"/>
      <c r="D5" s="52"/>
      <c r="E5" s="52"/>
      <c r="F5" s="53"/>
      <c r="G5" s="4"/>
    </row>
    <row r="6" spans="1:7" ht="17.399999999999999" customHeight="1" x14ac:dyDescent="0.25">
      <c r="A6" s="131" t="s">
        <v>29</v>
      </c>
      <c r="B6" s="35"/>
      <c r="C6" s="35"/>
      <c r="D6" s="38" t="s">
        <v>17</v>
      </c>
      <c r="E6" s="38"/>
      <c r="F6" s="5"/>
      <c r="G6" s="6"/>
    </row>
    <row r="7" spans="1:7" ht="16.95" customHeight="1" x14ac:dyDescent="0.25">
      <c r="A7" s="36"/>
      <c r="B7" s="37"/>
      <c r="C7" s="37"/>
      <c r="D7" s="39" t="s">
        <v>4</v>
      </c>
      <c r="E7" s="39"/>
      <c r="F7" s="7"/>
      <c r="G7" s="4"/>
    </row>
    <row r="8" spans="1:7" ht="4.2" customHeight="1" x14ac:dyDescent="0.25">
      <c r="A8" s="54"/>
      <c r="B8" s="55"/>
      <c r="C8" s="55"/>
      <c r="D8" s="55"/>
      <c r="E8" s="55"/>
      <c r="F8" s="56"/>
      <c r="G8" s="4"/>
    </row>
    <row r="9" spans="1:7" ht="22.2" customHeight="1" x14ac:dyDescent="0.25">
      <c r="A9" s="132" t="s">
        <v>18</v>
      </c>
      <c r="B9" s="111"/>
      <c r="C9" s="111"/>
      <c r="D9" s="111"/>
      <c r="E9" s="111"/>
      <c r="F9" s="112"/>
      <c r="G9" s="8"/>
    </row>
    <row r="10" spans="1:7" ht="18" customHeight="1" x14ac:dyDescent="0.25">
      <c r="A10" s="113"/>
      <c r="B10" s="114"/>
      <c r="C10" s="114"/>
      <c r="D10" s="114"/>
      <c r="E10" s="114"/>
      <c r="F10" s="115"/>
      <c r="G10" s="9"/>
    </row>
    <row r="11" spans="1:7" ht="26.25" customHeight="1" x14ac:dyDescent="0.25">
      <c r="A11" s="113"/>
      <c r="B11" s="114"/>
      <c r="C11" s="114"/>
      <c r="D11" s="114"/>
      <c r="E11" s="114"/>
      <c r="F11" s="115"/>
      <c r="G11" s="10"/>
    </row>
    <row r="12" spans="1:7" ht="6" customHeight="1" x14ac:dyDescent="0.25">
      <c r="A12" s="118"/>
      <c r="B12" s="119"/>
      <c r="C12" s="119"/>
      <c r="D12" s="119"/>
      <c r="E12" s="119"/>
      <c r="F12" s="120"/>
      <c r="G12" s="21"/>
    </row>
    <row r="13" spans="1:7" ht="18" customHeight="1" x14ac:dyDescent="0.25">
      <c r="A13" s="63" t="s">
        <v>6</v>
      </c>
      <c r="B13" s="64"/>
      <c r="C13" s="65"/>
      <c r="D13" s="66" t="s">
        <v>7</v>
      </c>
      <c r="E13" s="67"/>
      <c r="F13" s="26" t="s">
        <v>8</v>
      </c>
      <c r="G13" s="4"/>
    </row>
    <row r="14" spans="1:7" ht="18" customHeight="1" x14ac:dyDescent="0.25">
      <c r="A14" s="68" t="s">
        <v>19</v>
      </c>
      <c r="B14" s="69"/>
      <c r="C14" s="70"/>
      <c r="D14" s="71">
        <v>161333</v>
      </c>
      <c r="E14" s="72"/>
      <c r="F14" s="22">
        <f>D14</f>
        <v>161333</v>
      </c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68"/>
      <c r="B16" s="69"/>
      <c r="C16" s="70"/>
      <c r="D16" s="40"/>
      <c r="E16" s="41"/>
      <c r="F16" s="22"/>
      <c r="G16" s="11"/>
    </row>
    <row r="17" spans="1:7" ht="18" customHeight="1" x14ac:dyDescent="0.25">
      <c r="A17" s="68"/>
      <c r="B17" s="69"/>
      <c r="C17" s="70"/>
      <c r="D17" s="40"/>
      <c r="E17" s="41"/>
      <c r="F17" s="22"/>
      <c r="G17" s="11"/>
    </row>
    <row r="18" spans="1:7" ht="18" customHeight="1" x14ac:dyDescent="0.25">
      <c r="A18" s="68"/>
      <c r="B18" s="69"/>
      <c r="C18" s="70"/>
      <c r="D18" s="40"/>
      <c r="E18" s="41"/>
      <c r="F18" s="22"/>
      <c r="G18" s="11"/>
    </row>
    <row r="19" spans="1:7" ht="18" customHeight="1" x14ac:dyDescent="0.25">
      <c r="A19" s="68"/>
      <c r="B19" s="69"/>
      <c r="C19" s="70"/>
      <c r="D19" s="40"/>
      <c r="E19" s="41"/>
      <c r="F19" s="22"/>
      <c r="G19" s="11"/>
    </row>
    <row r="20" spans="1:7" ht="18" customHeight="1" x14ac:dyDescent="0.25">
      <c r="A20" s="83"/>
      <c r="B20" s="84"/>
      <c r="C20" s="85"/>
      <c r="D20" s="116"/>
      <c r="E20" s="117"/>
      <c r="F20" s="23"/>
      <c r="G20" s="11"/>
    </row>
    <row r="21" spans="1:7" ht="19.5" customHeight="1" x14ac:dyDescent="0.25">
      <c r="A21" s="73"/>
      <c r="B21" s="74"/>
      <c r="C21" s="74"/>
      <c r="D21" s="75" t="s">
        <v>10</v>
      </c>
      <c r="E21" s="76"/>
      <c r="F21" s="12">
        <f>F14</f>
        <v>161333</v>
      </c>
      <c r="G21" s="13"/>
    </row>
    <row r="22" spans="1:7" ht="19.5" customHeight="1" x14ac:dyDescent="0.25">
      <c r="A22" s="86" t="s">
        <v>11</v>
      </c>
      <c r="B22" s="87"/>
      <c r="C22" s="88"/>
      <c r="D22" s="77" t="s">
        <v>12</v>
      </c>
      <c r="E22" s="78"/>
      <c r="F22" s="14">
        <f>+F21*18%</f>
        <v>29039.94</v>
      </c>
      <c r="G22" s="15"/>
    </row>
    <row r="23" spans="1:7" ht="22.95" customHeight="1" x14ac:dyDescent="0.25">
      <c r="A23" s="89"/>
      <c r="B23" s="90"/>
      <c r="C23" s="91"/>
      <c r="D23" s="122" t="s">
        <v>8</v>
      </c>
      <c r="E23" s="123"/>
      <c r="F23" s="126">
        <f>SUM(F21:F22)</f>
        <v>190372.94</v>
      </c>
      <c r="G23" s="16"/>
    </row>
    <row r="24" spans="1:7" ht="22.95" customHeight="1" thickBot="1" x14ac:dyDescent="0.3">
      <c r="A24" s="92"/>
      <c r="B24" s="93"/>
      <c r="C24" s="94"/>
      <c r="D24" s="124"/>
      <c r="E24" s="125"/>
      <c r="F24" s="127"/>
      <c r="G24" s="16"/>
    </row>
    <row r="25" spans="1:7" ht="15.75" customHeight="1" x14ac:dyDescent="0.25">
      <c r="A25" s="97"/>
      <c r="B25" s="98"/>
      <c r="C25" s="98"/>
      <c r="D25" s="98"/>
      <c r="E25" s="98"/>
      <c r="F25" s="98"/>
      <c r="G25" s="17"/>
    </row>
    <row r="26" spans="1:7" ht="15.75" customHeight="1" x14ac:dyDescent="0.25">
      <c r="A26" s="97"/>
      <c r="B26" s="98"/>
      <c r="C26" s="98"/>
      <c r="D26" s="98"/>
      <c r="E26" s="98"/>
      <c r="F26" s="98"/>
      <c r="G26" s="18"/>
    </row>
    <row r="27" spans="1:7" ht="21" customHeight="1" x14ac:dyDescent="0.25">
      <c r="A27" s="99"/>
      <c r="B27" s="98"/>
      <c r="C27" s="98"/>
      <c r="D27" s="98"/>
      <c r="E27" s="98"/>
      <c r="F27" s="98"/>
      <c r="G27" s="19"/>
    </row>
    <row r="28" spans="1:7" ht="15.75" customHeight="1" x14ac:dyDescent="0.25">
      <c r="A28" s="20"/>
      <c r="B28" s="20"/>
      <c r="C28" s="20"/>
      <c r="D28" s="20"/>
      <c r="E28" s="20"/>
      <c r="F28" s="20"/>
      <c r="G28" s="2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5">
    <mergeCell ref="D15:E15"/>
    <mergeCell ref="D16:E16"/>
    <mergeCell ref="D17:E17"/>
    <mergeCell ref="D18:E18"/>
    <mergeCell ref="D19:E19"/>
    <mergeCell ref="D23:E24"/>
    <mergeCell ref="F23:F24"/>
    <mergeCell ref="A25:F25"/>
    <mergeCell ref="A26:F26"/>
    <mergeCell ref="A27:F27"/>
    <mergeCell ref="A22:C24"/>
    <mergeCell ref="D20:E20"/>
    <mergeCell ref="A21:C21"/>
    <mergeCell ref="D21:E21"/>
    <mergeCell ref="D22:E22"/>
    <mergeCell ref="A8:F8"/>
    <mergeCell ref="A9:F12"/>
    <mergeCell ref="A13:C13"/>
    <mergeCell ref="D13:E13"/>
    <mergeCell ref="A14:C14"/>
    <mergeCell ref="D14:E14"/>
    <mergeCell ref="A15:C15"/>
    <mergeCell ref="A16:C16"/>
    <mergeCell ref="A17:C17"/>
    <mergeCell ref="A18:C18"/>
    <mergeCell ref="A19:C19"/>
    <mergeCell ref="A20:C20"/>
    <mergeCell ref="A6:C7"/>
    <mergeCell ref="D6:E6"/>
    <mergeCell ref="D7:E7"/>
    <mergeCell ref="A1:F1"/>
    <mergeCell ref="A2:D2"/>
    <mergeCell ref="E2:F4"/>
    <mergeCell ref="A3:D3"/>
    <mergeCell ref="A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96B0"/>
    <outlinePr summaryBelow="0" summaryRight="0"/>
    <pageSetUpPr fitToPage="1"/>
  </sheetPr>
  <dimension ref="A1:G991"/>
  <sheetViews>
    <sheetView showGridLines="0" topLeftCell="A3" zoomScale="90" zoomScaleNormal="90" workbookViewId="0">
      <selection activeCell="J19" sqref="J19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6.5546875" style="2" customWidth="1"/>
    <col min="4" max="4" width="12.109375" style="2" customWidth="1"/>
    <col min="5" max="5" width="15.33203125" style="2" customWidth="1"/>
    <col min="6" max="6" width="16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x14ac:dyDescent="0.25">
      <c r="A1" s="128" t="s">
        <v>0</v>
      </c>
      <c r="B1" s="129"/>
      <c r="C1" s="129"/>
      <c r="D1" s="129"/>
      <c r="E1" s="129"/>
      <c r="F1" s="130"/>
      <c r="G1" s="1"/>
    </row>
    <row r="2" spans="1:7" ht="24.75" customHeight="1" x14ac:dyDescent="0.25">
      <c r="A2" s="45" t="s">
        <v>1</v>
      </c>
      <c r="B2" s="46"/>
      <c r="C2" s="46"/>
      <c r="D2" s="46"/>
      <c r="E2" s="100"/>
      <c r="F2" s="101"/>
      <c r="G2" s="1"/>
    </row>
    <row r="3" spans="1:7" ht="69" customHeight="1" x14ac:dyDescent="0.25">
      <c r="A3" s="49" t="s">
        <v>2</v>
      </c>
      <c r="B3" s="50"/>
      <c r="C3" s="50"/>
      <c r="D3" s="50"/>
      <c r="E3" s="100"/>
      <c r="F3" s="101"/>
      <c r="G3" s="3"/>
    </row>
    <row r="4" spans="1:7" ht="7.5" customHeight="1" x14ac:dyDescent="0.25">
      <c r="A4" s="25"/>
      <c r="B4" s="34"/>
      <c r="C4" s="34"/>
      <c r="D4" s="34"/>
      <c r="E4" s="102"/>
      <c r="F4" s="103"/>
      <c r="G4" s="3"/>
    </row>
    <row r="5" spans="1:7" ht="4.2" customHeight="1" x14ac:dyDescent="0.25">
      <c r="A5" s="51"/>
      <c r="B5" s="52"/>
      <c r="C5" s="52"/>
      <c r="D5" s="52"/>
      <c r="E5" s="52"/>
      <c r="F5" s="53"/>
      <c r="G5" s="4"/>
    </row>
    <row r="6" spans="1:7" ht="17.399999999999999" customHeight="1" x14ac:dyDescent="0.25">
      <c r="A6" s="131" t="s">
        <v>27</v>
      </c>
      <c r="B6" s="35"/>
      <c r="C6" s="35"/>
      <c r="D6" s="38" t="s">
        <v>23</v>
      </c>
      <c r="E6" s="38"/>
      <c r="F6" s="5"/>
      <c r="G6" s="6"/>
    </row>
    <row r="7" spans="1:7" ht="16.95" customHeight="1" x14ac:dyDescent="0.25">
      <c r="A7" s="36"/>
      <c r="B7" s="37"/>
      <c r="C7" s="37"/>
      <c r="D7" s="39" t="s">
        <v>4</v>
      </c>
      <c r="E7" s="39"/>
      <c r="F7" s="7"/>
      <c r="G7" s="4"/>
    </row>
    <row r="8" spans="1:7" ht="4.2" customHeight="1" x14ac:dyDescent="0.25">
      <c r="A8" s="54"/>
      <c r="B8" s="55"/>
      <c r="C8" s="55"/>
      <c r="D8" s="55"/>
      <c r="E8" s="55"/>
      <c r="F8" s="56"/>
      <c r="G8" s="4"/>
    </row>
    <row r="9" spans="1:7" ht="22.2" customHeight="1" x14ac:dyDescent="0.25">
      <c r="A9" s="132" t="s">
        <v>20</v>
      </c>
      <c r="B9" s="111"/>
      <c r="C9" s="111"/>
      <c r="D9" s="111"/>
      <c r="E9" s="111"/>
      <c r="F9" s="112"/>
      <c r="G9" s="8"/>
    </row>
    <row r="10" spans="1:7" ht="18" customHeight="1" x14ac:dyDescent="0.25">
      <c r="A10" s="113"/>
      <c r="B10" s="114"/>
      <c r="C10" s="114"/>
      <c r="D10" s="114"/>
      <c r="E10" s="114"/>
      <c r="F10" s="115"/>
      <c r="G10" s="9"/>
    </row>
    <row r="11" spans="1:7" ht="25.5" customHeight="1" x14ac:dyDescent="0.25">
      <c r="A11" s="113"/>
      <c r="B11" s="114"/>
      <c r="C11" s="114"/>
      <c r="D11" s="114"/>
      <c r="E11" s="114"/>
      <c r="F11" s="115"/>
      <c r="G11" s="10"/>
    </row>
    <row r="12" spans="1:7" ht="9" customHeight="1" x14ac:dyDescent="0.25">
      <c r="A12" s="118"/>
      <c r="B12" s="119"/>
      <c r="C12" s="119"/>
      <c r="D12" s="119"/>
      <c r="E12" s="119"/>
      <c r="F12" s="120"/>
      <c r="G12" s="21"/>
    </row>
    <row r="13" spans="1:7" ht="18" customHeight="1" x14ac:dyDescent="0.25">
      <c r="A13" s="63" t="s">
        <v>6</v>
      </c>
      <c r="B13" s="64"/>
      <c r="C13" s="65"/>
      <c r="D13" s="66" t="s">
        <v>7</v>
      </c>
      <c r="E13" s="67"/>
      <c r="F13" s="26" t="s">
        <v>8</v>
      </c>
      <c r="G13" s="4"/>
    </row>
    <row r="14" spans="1:7" ht="18" customHeight="1" x14ac:dyDescent="0.25">
      <c r="A14" s="68" t="s">
        <v>19</v>
      </c>
      <c r="B14" s="69"/>
      <c r="C14" s="70"/>
      <c r="D14" s="71">
        <v>153988</v>
      </c>
      <c r="E14" s="72"/>
      <c r="F14" s="22">
        <f>D14</f>
        <v>153988</v>
      </c>
      <c r="G14" s="11"/>
    </row>
    <row r="15" spans="1:7" ht="18" customHeight="1" x14ac:dyDescent="0.25">
      <c r="A15" s="68"/>
      <c r="B15" s="69"/>
      <c r="C15" s="70"/>
      <c r="D15" s="40"/>
      <c r="E15" s="41"/>
      <c r="F15" s="22"/>
      <c r="G15" s="11"/>
    </row>
    <row r="16" spans="1:7" ht="18" customHeight="1" x14ac:dyDescent="0.25">
      <c r="A16" s="24"/>
      <c r="B16" s="27"/>
      <c r="C16" s="28"/>
      <c r="D16" s="29"/>
      <c r="E16" s="30"/>
      <c r="F16" s="22"/>
      <c r="G16" s="11"/>
    </row>
    <row r="17" spans="1:7" ht="18" customHeight="1" x14ac:dyDescent="0.25">
      <c r="A17" s="24"/>
      <c r="B17" s="27"/>
      <c r="C17" s="28"/>
      <c r="D17" s="29"/>
      <c r="E17" s="30"/>
      <c r="F17" s="22"/>
      <c r="G17" s="11"/>
    </row>
    <row r="18" spans="1:7" ht="18" customHeight="1" x14ac:dyDescent="0.25">
      <c r="A18" s="24"/>
      <c r="B18" s="27"/>
      <c r="C18" s="28"/>
      <c r="D18" s="29"/>
      <c r="E18" s="30"/>
      <c r="F18" s="22"/>
      <c r="G18" s="11"/>
    </row>
    <row r="19" spans="1:7" ht="18" customHeight="1" x14ac:dyDescent="0.25">
      <c r="A19" s="24"/>
      <c r="B19" s="27"/>
      <c r="C19" s="28"/>
      <c r="D19" s="29"/>
      <c r="E19" s="30"/>
      <c r="F19" s="22"/>
      <c r="G19" s="11"/>
    </row>
    <row r="20" spans="1:7" ht="18" customHeight="1" x14ac:dyDescent="0.25">
      <c r="A20" s="68"/>
      <c r="B20" s="69"/>
      <c r="C20" s="70"/>
      <c r="D20" s="40"/>
      <c r="E20" s="41"/>
      <c r="F20" s="22"/>
      <c r="G20" s="11"/>
    </row>
    <row r="21" spans="1:7" ht="18" customHeight="1" x14ac:dyDescent="0.25">
      <c r="A21" s="83"/>
      <c r="B21" s="84"/>
      <c r="C21" s="85"/>
      <c r="D21" s="116"/>
      <c r="E21" s="117"/>
      <c r="F21" s="23"/>
      <c r="G21" s="11"/>
    </row>
    <row r="22" spans="1:7" ht="19.5" customHeight="1" x14ac:dyDescent="0.25">
      <c r="A22" s="86" t="s">
        <v>11</v>
      </c>
      <c r="B22" s="87"/>
      <c r="C22" s="88"/>
      <c r="D22" s="75" t="s">
        <v>10</v>
      </c>
      <c r="E22" s="76"/>
      <c r="F22" s="12">
        <f>F14</f>
        <v>153988</v>
      </c>
      <c r="G22" s="13"/>
    </row>
    <row r="23" spans="1:7" ht="19.5" customHeight="1" x14ac:dyDescent="0.25">
      <c r="A23" s="89"/>
      <c r="B23" s="90"/>
      <c r="C23" s="91"/>
      <c r="D23" s="77" t="s">
        <v>12</v>
      </c>
      <c r="E23" s="78"/>
      <c r="F23" s="14">
        <f>+F22*18%</f>
        <v>27717.84</v>
      </c>
      <c r="G23" s="15"/>
    </row>
    <row r="24" spans="1:7" ht="22.95" customHeight="1" x14ac:dyDescent="0.25">
      <c r="A24" s="89"/>
      <c r="B24" s="90"/>
      <c r="C24" s="91"/>
      <c r="D24" s="122" t="s">
        <v>8</v>
      </c>
      <c r="E24" s="123"/>
      <c r="F24" s="126">
        <f>SUM(F22:F23)</f>
        <v>181705.84</v>
      </c>
      <c r="G24" s="16"/>
    </row>
    <row r="25" spans="1:7" ht="22.95" customHeight="1" thickBot="1" x14ac:dyDescent="0.3">
      <c r="A25" s="92"/>
      <c r="B25" s="93"/>
      <c r="C25" s="94"/>
      <c r="D25" s="124"/>
      <c r="E25" s="125"/>
      <c r="F25" s="127"/>
      <c r="G25" s="16"/>
    </row>
    <row r="26" spans="1:7" ht="9.6" customHeight="1" x14ac:dyDescent="0.25">
      <c r="A26" s="16"/>
    </row>
    <row r="27" spans="1:7" ht="15.75" customHeight="1" x14ac:dyDescent="0.25">
      <c r="A27" s="97"/>
      <c r="B27" s="98"/>
      <c r="C27" s="98"/>
      <c r="D27" s="98"/>
      <c r="E27" s="98"/>
      <c r="F27" s="98"/>
      <c r="G27" s="17"/>
    </row>
    <row r="28" spans="1:7" ht="15.75" customHeight="1" x14ac:dyDescent="0.25">
      <c r="A28" s="97"/>
      <c r="B28" s="98"/>
      <c r="C28" s="98"/>
      <c r="D28" s="98"/>
      <c r="E28" s="98"/>
      <c r="F28" s="98"/>
      <c r="G28" s="18"/>
    </row>
    <row r="29" spans="1:7" ht="21" customHeight="1" x14ac:dyDescent="0.25">
      <c r="A29" s="99"/>
      <c r="B29" s="98"/>
      <c r="C29" s="98"/>
      <c r="D29" s="98"/>
      <c r="E29" s="98"/>
      <c r="F29" s="98"/>
      <c r="G29" s="19"/>
    </row>
    <row r="30" spans="1:7" ht="15.75" customHeight="1" x14ac:dyDescent="0.25">
      <c r="A30" s="20"/>
      <c r="B30" s="20"/>
      <c r="C30" s="20"/>
      <c r="D30" s="20"/>
      <c r="E30" s="20"/>
      <c r="F30" s="20"/>
      <c r="G30" s="20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28">
    <mergeCell ref="A15:C15"/>
    <mergeCell ref="A20:C20"/>
    <mergeCell ref="A22:C25"/>
    <mergeCell ref="A29:F29"/>
    <mergeCell ref="A27:F27"/>
    <mergeCell ref="A28:F28"/>
    <mergeCell ref="A21:C21"/>
    <mergeCell ref="D15:E15"/>
    <mergeCell ref="D20:E20"/>
    <mergeCell ref="D24:E25"/>
    <mergeCell ref="F24:F25"/>
    <mergeCell ref="D21:E21"/>
    <mergeCell ref="D22:E22"/>
    <mergeCell ref="D23:E23"/>
    <mergeCell ref="A8:F8"/>
    <mergeCell ref="A9:F12"/>
    <mergeCell ref="A13:C13"/>
    <mergeCell ref="D13:E13"/>
    <mergeCell ref="A14:C14"/>
    <mergeCell ref="D14:E14"/>
    <mergeCell ref="A6:C7"/>
    <mergeCell ref="D6:E6"/>
    <mergeCell ref="D7:E7"/>
    <mergeCell ref="A1:F1"/>
    <mergeCell ref="A2:D2"/>
    <mergeCell ref="E2:F4"/>
    <mergeCell ref="A3:D3"/>
    <mergeCell ref="A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AB38F-FD94-466C-B358-F13958F52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86F180-1491-4F29-B7E0-FDE156FB2692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customXml/itemProps3.xml><?xml version="1.0" encoding="utf-8"?>
<ds:datastoreItem xmlns:ds="http://schemas.openxmlformats.org/officeDocument/2006/customXml" ds:itemID="{5206BEEF-C6B5-4313-B80B-4143241314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37321-24-ERIN</vt:lpstr>
      <vt:lpstr>89804-24-ERIN</vt:lpstr>
      <vt:lpstr>89805-24-ERIN</vt:lpstr>
      <vt:lpstr>89916 24 ERIN</vt:lpstr>
      <vt:lpstr>89997 24 ERIN</vt:lpstr>
      <vt:lpstr>89808-24-ERIN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Krishna Kumar Sharma</cp:lastModifiedBy>
  <cp:revision/>
  <dcterms:created xsi:type="dcterms:W3CDTF">2024-10-02T05:57:04Z</dcterms:created>
  <dcterms:modified xsi:type="dcterms:W3CDTF">2025-03-04T12:13:03Z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