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7" documentId="13_ncr:1_{F2F3B4B5-42F1-4136-B551-CAE4E0459F57}" xr6:coauthVersionLast="47" xr6:coauthVersionMax="47" xr10:uidLastSave="{49CC67B9-F5A8-4C2A-8805-E0216A0C9F1C}"/>
  <bookViews>
    <workbookView xWindow="-108" yWindow="-108" windowWidth="23256" windowHeight="12456" xr2:uid="{00000000-000D-0000-FFFF-FFFF00000000}"/>
  </bookViews>
  <sheets>
    <sheet name="397 24 ZIC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H18" i="2"/>
  <c r="H16" i="2"/>
  <c r="H19" i="2"/>
  <c r="H17" i="2"/>
  <c r="H15" i="2"/>
  <c r="H14" i="2"/>
  <c r="H30" i="2" l="1"/>
  <c r="H32" i="2"/>
  <c r="H34" i="2" s="1"/>
</calcChain>
</file>

<file path=xl/sharedStrings.xml><?xml version="1.0" encoding="utf-8"?>
<sst xmlns="http://schemas.openxmlformats.org/spreadsheetml/2006/main" count="29" uniqueCount="28">
  <si>
    <t>Zian Components Pvt Ltd</t>
  </si>
  <si>
    <t>House No 299,Road No 19,Vivekananda Colony,Ranchi,Jharkhand,India</t>
  </si>
  <si>
    <t>Invoice No.:</t>
  </si>
  <si>
    <t>Date:</t>
  </si>
  <si>
    <t xml:space="preserve">Tax Invoice </t>
  </si>
  <si>
    <t>Steel Horse Auto Inc</t>
  </si>
  <si>
    <t xml:space="preserve">265 Lopez Orchard, East John, Michigan, </t>
  </si>
  <si>
    <t>United States, 43306</t>
  </si>
  <si>
    <t>Sl.No.</t>
  </si>
  <si>
    <t>Item Name</t>
  </si>
  <si>
    <t xml:space="preserve">Quantity </t>
  </si>
  <si>
    <t>Price/
Unit</t>
  </si>
  <si>
    <t>Amount</t>
  </si>
  <si>
    <t>Radiator</t>
  </si>
  <si>
    <t>Dipstick</t>
  </si>
  <si>
    <t>Carpet</t>
  </si>
  <si>
    <t>Timing Chain</t>
  </si>
  <si>
    <t>Water Pump</t>
  </si>
  <si>
    <t>Exhaust Pipes</t>
  </si>
  <si>
    <t>Total</t>
  </si>
  <si>
    <t>Sub Total:</t>
  </si>
  <si>
    <t>Tax</t>
  </si>
  <si>
    <t>Terms and Conditions:</t>
  </si>
  <si>
    <t>1. Payment is due within 30 days from the invoice date.</t>
  </si>
  <si>
    <t>2. Any disputes or refund requests must be made within 30 days of receipt. No refunds will be issued after this period.</t>
  </si>
  <si>
    <t>3. This invoice is governed by the laws of India.</t>
  </si>
  <si>
    <t>This is a system-generated invoice and does not require a signature.</t>
  </si>
  <si>
    <t>397/24/ZICO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</si>
</sst>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&quot;₹&quot;\ #,##0.00"/>
    <numFmt numFmtId="166" formatCode="&quot;₹&quot;\ 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ptos Narrow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8" xfId="0" applyBorder="1"/>
    <xf numFmtId="14" fontId="6" fillId="0" borderId="8" xfId="0" applyNumberFormat="1" applyFont="1" applyBorder="1"/>
    <xf numFmtId="0" fontId="5" fillId="0" borderId="8" xfId="0" applyFont="1" applyBorder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top"/>
    </xf>
    <xf numFmtId="0" fontId="4" fillId="0" borderId="20" xfId="0" applyFont="1" applyBorder="1" applyAlignment="1">
      <alignment horizontal="center"/>
    </xf>
    <xf numFmtId="165" fontId="4" fillId="0" borderId="5" xfId="0" applyNumberFormat="1" applyFont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5" borderId="15" xfId="0" applyNumberFormat="1" applyFont="1" applyFill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5" borderId="5" xfId="1" applyNumberFormat="1" applyFont="1" applyFill="1" applyBorder="1" applyAlignment="1">
      <alignment horizontal="center" vertical="center"/>
    </xf>
    <xf numFmtId="165" fontId="9" fillId="6" borderId="17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4" fillId="0" borderId="7" xfId="0" applyFont="1" applyBorder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4" borderId="8" xfId="0" applyFont="1" applyFill="1" applyBorder="1"/>
    <xf numFmtId="14" fontId="14" fillId="0" borderId="0" xfId="0" applyNumberFormat="1" applyFont="1" applyAlignment="1">
      <alignment horizontal="right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15" fillId="0" borderId="7" xfId="0" applyFont="1" applyBorder="1"/>
    <xf numFmtId="0" fontId="5" fillId="4" borderId="0" xfId="0" applyFont="1" applyFill="1"/>
    <xf numFmtId="0" fontId="0" fillId="0" borderId="7" xfId="0" applyBorder="1"/>
    <xf numFmtId="166" fontId="4" fillId="0" borderId="5" xfId="0" applyNumberFormat="1" applyFont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5" borderId="15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65" fontId="4" fillId="4" borderId="12" xfId="0" applyNumberFormat="1" applyFont="1" applyFill="1" applyBorder="1" applyAlignment="1">
      <alignment horizontal="center" vertical="center"/>
    </xf>
    <xf numFmtId="165" fontId="4" fillId="4" borderId="15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165" fontId="10" fillId="6" borderId="17" xfId="0" applyNumberFormat="1" applyFont="1" applyFill="1" applyBorder="1" applyAlignment="1">
      <alignment horizontal="center" vertical="center"/>
    </xf>
    <xf numFmtId="165" fontId="10" fillId="6" borderId="1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1" fillId="7" borderId="0" xfId="0" applyFont="1" applyFill="1" applyAlignment="1">
      <alignment horizontal="left" vertical="center"/>
    </xf>
    <xf numFmtId="165" fontId="12" fillId="7" borderId="0" xfId="0" applyNumberFormat="1" applyFont="1" applyFill="1" applyAlignment="1">
      <alignment horizontal="center"/>
    </xf>
    <xf numFmtId="165" fontId="12" fillId="7" borderId="8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4" fillId="2" borderId="7" xfId="0" applyFont="1" applyFill="1" applyBorder="1"/>
    <xf numFmtId="0" fontId="4" fillId="2" borderId="0" xfId="0" applyFont="1" applyFill="1"/>
    <xf numFmtId="0" fontId="4" fillId="2" borderId="8" xfId="0" applyFont="1" applyFill="1" applyBorder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92CD-15F6-4FAD-8B9E-EE424922B1C1}">
  <sheetPr>
    <pageSetUpPr fitToPage="1"/>
  </sheetPr>
  <dimension ref="A1:I42"/>
  <sheetViews>
    <sheetView showGridLines="0" tabSelected="1" zoomScale="96" zoomScaleNormal="96" workbookViewId="0">
      <selection activeCell="K14" sqref="K14"/>
    </sheetView>
  </sheetViews>
  <sheetFormatPr defaultRowHeight="14.4" x14ac:dyDescent="0.3"/>
  <cols>
    <col min="4" max="4" width="12.33203125" customWidth="1"/>
    <col min="7" max="7" width="13.5546875" bestFit="1" customWidth="1"/>
    <col min="8" max="8" width="11.44140625" customWidth="1"/>
    <col min="9" max="9" width="22.44140625" customWidth="1"/>
  </cols>
  <sheetData>
    <row r="1" spans="1:9" ht="21" x14ac:dyDescent="0.4">
      <c r="A1" s="97" t="s">
        <v>0</v>
      </c>
      <c r="B1" s="98"/>
      <c r="C1" s="98"/>
      <c r="D1" s="98"/>
      <c r="E1" s="98"/>
      <c r="F1" s="98"/>
      <c r="G1" s="98"/>
      <c r="H1" s="98"/>
      <c r="I1" s="99"/>
    </row>
    <row r="2" spans="1:9" x14ac:dyDescent="0.3">
      <c r="A2" s="100" t="s">
        <v>1</v>
      </c>
      <c r="B2" s="101"/>
      <c r="C2" s="101"/>
      <c r="D2" s="101"/>
      <c r="E2" s="101"/>
      <c r="F2" s="101"/>
      <c r="G2" s="101"/>
      <c r="H2" s="101"/>
      <c r="I2" s="102"/>
    </row>
    <row r="3" spans="1:9" ht="18.600000000000001" customHeight="1" x14ac:dyDescent="0.3">
      <c r="A3" s="103"/>
      <c r="B3" s="104"/>
      <c r="C3" s="104"/>
      <c r="D3" s="104"/>
      <c r="E3" s="104"/>
      <c r="F3" s="104"/>
      <c r="G3" s="37" t="s">
        <v>2</v>
      </c>
      <c r="H3" t="s">
        <v>27</v>
      </c>
      <c r="I3" s="1"/>
    </row>
    <row r="4" spans="1:9" ht="15.6" customHeight="1" x14ac:dyDescent="0.3">
      <c r="A4" s="103"/>
      <c r="B4" s="104"/>
      <c r="C4" s="104"/>
      <c r="D4" s="104"/>
      <c r="E4" s="104"/>
      <c r="F4" s="104"/>
      <c r="G4" s="35" t="s">
        <v>3</v>
      </c>
      <c r="H4" s="39">
        <v>44569</v>
      </c>
      <c r="I4" s="2"/>
    </row>
    <row r="5" spans="1:9" x14ac:dyDescent="0.3">
      <c r="A5" s="105"/>
      <c r="B5" s="106"/>
      <c r="C5" s="106"/>
      <c r="D5" s="106"/>
      <c r="E5" s="106"/>
      <c r="F5" s="106"/>
      <c r="G5" s="106"/>
      <c r="H5" s="106"/>
      <c r="I5" s="107"/>
    </row>
    <row r="6" spans="1:9" ht="30" x14ac:dyDescent="0.3">
      <c r="A6" s="108" t="s">
        <v>4</v>
      </c>
      <c r="B6" s="109"/>
      <c r="C6" s="109"/>
      <c r="D6" s="109"/>
      <c r="E6" s="109"/>
      <c r="F6" s="109"/>
      <c r="G6" s="109"/>
      <c r="H6" s="109"/>
      <c r="I6" s="110"/>
    </row>
    <row r="7" spans="1:9" x14ac:dyDescent="0.3">
      <c r="A7" s="111"/>
      <c r="B7" s="112"/>
      <c r="C7" s="112"/>
      <c r="D7" s="112"/>
      <c r="E7" s="112"/>
      <c r="F7" s="112"/>
      <c r="G7" s="112"/>
      <c r="H7" s="112"/>
      <c r="I7" s="113"/>
    </row>
    <row r="8" spans="1:9" x14ac:dyDescent="0.3">
      <c r="A8" s="33" t="s">
        <v>5</v>
      </c>
      <c r="B8" s="35"/>
      <c r="C8" s="35"/>
      <c r="D8" s="35"/>
      <c r="E8" s="35"/>
      <c r="F8" s="35"/>
      <c r="G8" s="35"/>
      <c r="H8" s="35"/>
      <c r="I8" s="3"/>
    </row>
    <row r="9" spans="1:9" x14ac:dyDescent="0.3">
      <c r="A9" s="114" t="s">
        <v>6</v>
      </c>
      <c r="B9" s="115"/>
      <c r="C9" s="115"/>
      <c r="D9" s="115"/>
      <c r="E9" s="115"/>
      <c r="F9" s="115"/>
      <c r="G9" s="115"/>
      <c r="H9" s="115"/>
      <c r="I9" s="116"/>
    </row>
    <row r="10" spans="1:9" x14ac:dyDescent="0.3">
      <c r="A10" s="114" t="s">
        <v>7</v>
      </c>
      <c r="B10" s="115"/>
      <c r="C10" s="115"/>
      <c r="D10" s="115"/>
      <c r="E10" s="115"/>
      <c r="F10" s="115"/>
      <c r="G10" s="115"/>
      <c r="H10" s="115"/>
      <c r="I10" s="116"/>
    </row>
    <row r="11" spans="1:9" x14ac:dyDescent="0.3">
      <c r="A11" s="114"/>
      <c r="B11" s="115"/>
      <c r="C11" s="115"/>
      <c r="D11" s="115"/>
      <c r="E11" s="117"/>
      <c r="F11" s="117"/>
      <c r="G11" s="87"/>
      <c r="H11" s="87"/>
      <c r="I11" s="88"/>
    </row>
    <row r="12" spans="1:9" x14ac:dyDescent="0.3">
      <c r="A12" s="89"/>
      <c r="B12" s="90"/>
      <c r="C12" s="90"/>
      <c r="D12" s="90"/>
      <c r="E12" s="90"/>
      <c r="F12" s="90"/>
      <c r="G12" s="90"/>
      <c r="H12" s="90"/>
      <c r="I12" s="91"/>
    </row>
    <row r="13" spans="1:9" ht="27.6" x14ac:dyDescent="0.3">
      <c r="A13" s="4" t="s">
        <v>8</v>
      </c>
      <c r="B13" s="92" t="s">
        <v>9</v>
      </c>
      <c r="C13" s="93"/>
      <c r="D13" s="93"/>
      <c r="E13" s="94"/>
      <c r="F13" s="5" t="s">
        <v>10</v>
      </c>
      <c r="G13" s="6" t="s">
        <v>11</v>
      </c>
      <c r="H13" s="95" t="s">
        <v>12</v>
      </c>
      <c r="I13" s="96"/>
    </row>
    <row r="14" spans="1:9" x14ac:dyDescent="0.3">
      <c r="A14" s="7">
        <v>1</v>
      </c>
      <c r="B14" s="63" t="s">
        <v>13</v>
      </c>
      <c r="C14" s="64"/>
      <c r="D14" s="64"/>
      <c r="E14" s="65"/>
      <c r="F14" s="11">
        <v>2331</v>
      </c>
      <c r="G14" s="45">
        <v>1500</v>
      </c>
      <c r="H14" s="83">
        <f t="shared" ref="H14:H19" si="0">F14*G14</f>
        <v>3496500</v>
      </c>
      <c r="I14" s="84"/>
    </row>
    <row r="15" spans="1:9" x14ac:dyDescent="0.3">
      <c r="A15" s="12">
        <v>2</v>
      </c>
      <c r="B15" s="58" t="s">
        <v>14</v>
      </c>
      <c r="C15" s="59"/>
      <c r="D15" s="59"/>
      <c r="E15" s="60"/>
      <c r="F15" s="16">
        <v>2388</v>
      </c>
      <c r="G15" s="46">
        <v>2000</v>
      </c>
      <c r="H15" s="61">
        <f t="shared" si="0"/>
        <v>4776000</v>
      </c>
      <c r="I15" s="62"/>
    </row>
    <row r="16" spans="1:9" x14ac:dyDescent="0.3">
      <c r="A16" s="7">
        <v>3</v>
      </c>
      <c r="B16" s="63" t="s">
        <v>15</v>
      </c>
      <c r="C16" s="64"/>
      <c r="D16" s="64"/>
      <c r="E16" s="65"/>
      <c r="F16" s="11">
        <v>2041</v>
      </c>
      <c r="G16" s="45">
        <v>1500</v>
      </c>
      <c r="H16" s="83">
        <f t="shared" si="0"/>
        <v>3061500</v>
      </c>
      <c r="I16" s="84"/>
    </row>
    <row r="17" spans="1:9" x14ac:dyDescent="0.3">
      <c r="A17" s="12">
        <v>4</v>
      </c>
      <c r="B17" s="58" t="s">
        <v>16</v>
      </c>
      <c r="C17" s="59"/>
      <c r="D17" s="59"/>
      <c r="E17" s="60"/>
      <c r="F17" s="16">
        <v>2097</v>
      </c>
      <c r="G17" s="46">
        <v>1500</v>
      </c>
      <c r="H17" s="61">
        <f t="shared" si="0"/>
        <v>3145500</v>
      </c>
      <c r="I17" s="62"/>
    </row>
    <row r="18" spans="1:9" x14ac:dyDescent="0.3">
      <c r="A18" s="7">
        <v>5</v>
      </c>
      <c r="B18" s="63" t="s">
        <v>17</v>
      </c>
      <c r="C18" s="64"/>
      <c r="D18" s="64"/>
      <c r="E18" s="65"/>
      <c r="F18" s="11">
        <v>2211</v>
      </c>
      <c r="G18" s="45">
        <v>2000</v>
      </c>
      <c r="H18" s="83">
        <f t="shared" si="0"/>
        <v>4422000</v>
      </c>
      <c r="I18" s="84"/>
    </row>
    <row r="19" spans="1:9" x14ac:dyDescent="0.3">
      <c r="A19" s="12">
        <v>6</v>
      </c>
      <c r="B19" s="58" t="s">
        <v>18</v>
      </c>
      <c r="C19" s="59"/>
      <c r="D19" s="59"/>
      <c r="E19" s="60"/>
      <c r="F19" s="16">
        <v>2196</v>
      </c>
      <c r="G19" s="46">
        <v>1500</v>
      </c>
      <c r="H19" s="61">
        <f t="shared" si="0"/>
        <v>3294000</v>
      </c>
      <c r="I19" s="62"/>
    </row>
    <row r="20" spans="1:9" x14ac:dyDescent="0.3">
      <c r="A20" s="7"/>
      <c r="B20" s="63"/>
      <c r="C20" s="64"/>
      <c r="D20" s="64"/>
      <c r="E20" s="65"/>
      <c r="F20" s="11"/>
      <c r="G20" s="24"/>
      <c r="H20" s="85"/>
      <c r="I20" s="86"/>
    </row>
    <row r="21" spans="1:9" x14ac:dyDescent="0.3">
      <c r="A21" s="12"/>
      <c r="B21" s="13"/>
      <c r="C21" s="14"/>
      <c r="D21" s="14"/>
      <c r="E21" s="15"/>
      <c r="F21" s="16"/>
      <c r="G21" s="25"/>
      <c r="H21" s="26"/>
      <c r="I21" s="27"/>
    </row>
    <row r="22" spans="1:9" x14ac:dyDescent="0.3">
      <c r="A22" s="7"/>
      <c r="B22" s="8"/>
      <c r="C22" s="9"/>
      <c r="D22" s="9"/>
      <c r="E22" s="10"/>
      <c r="F22" s="11"/>
      <c r="G22" s="24"/>
      <c r="H22" s="28"/>
      <c r="I22" s="29"/>
    </row>
    <row r="23" spans="1:9" x14ac:dyDescent="0.3">
      <c r="A23" s="12"/>
      <c r="B23" s="58"/>
      <c r="C23" s="59"/>
      <c r="D23" s="59"/>
      <c r="E23" s="60"/>
      <c r="F23" s="16"/>
      <c r="G23" s="25"/>
      <c r="H23" s="61"/>
      <c r="I23" s="62"/>
    </row>
    <row r="24" spans="1:9" x14ac:dyDescent="0.3">
      <c r="A24" s="7"/>
      <c r="B24" s="63"/>
      <c r="C24" s="64"/>
      <c r="D24" s="64"/>
      <c r="E24" s="65"/>
      <c r="F24" s="11"/>
      <c r="G24" s="24"/>
      <c r="H24" s="85"/>
      <c r="I24" s="86"/>
    </row>
    <row r="25" spans="1:9" x14ac:dyDescent="0.3">
      <c r="A25" s="12"/>
      <c r="B25" s="13"/>
      <c r="C25" s="14"/>
      <c r="D25" s="14"/>
      <c r="E25" s="15"/>
      <c r="F25" s="16"/>
      <c r="G25" s="25"/>
      <c r="H25" s="26"/>
      <c r="I25" s="27"/>
    </row>
    <row r="26" spans="1:9" x14ac:dyDescent="0.3">
      <c r="A26" s="17"/>
      <c r="B26" s="63"/>
      <c r="C26" s="64"/>
      <c r="D26" s="64"/>
      <c r="E26" s="65"/>
      <c r="F26" s="18"/>
      <c r="G26" s="30"/>
      <c r="H26" s="66"/>
      <c r="I26" s="67"/>
    </row>
    <row r="27" spans="1:9" x14ac:dyDescent="0.3">
      <c r="A27" s="12"/>
      <c r="B27" s="58"/>
      <c r="C27" s="59"/>
      <c r="D27" s="59"/>
      <c r="E27" s="60"/>
      <c r="F27" s="16"/>
      <c r="G27" s="25"/>
      <c r="H27" s="61"/>
      <c r="I27" s="62"/>
    </row>
    <row r="28" spans="1:9" x14ac:dyDescent="0.3">
      <c r="A28" s="17"/>
      <c r="B28" s="63"/>
      <c r="C28" s="64"/>
      <c r="D28" s="64"/>
      <c r="E28" s="65"/>
      <c r="F28" s="18"/>
      <c r="G28" s="24"/>
      <c r="H28" s="66"/>
      <c r="I28" s="67"/>
    </row>
    <row r="29" spans="1:9" x14ac:dyDescent="0.3">
      <c r="A29" s="12"/>
      <c r="B29" s="19"/>
      <c r="C29" s="16"/>
      <c r="D29" s="16"/>
      <c r="E29" s="20"/>
      <c r="F29" s="16"/>
      <c r="G29" s="31"/>
      <c r="H29" s="68"/>
      <c r="I29" s="69"/>
    </row>
    <row r="30" spans="1:9" ht="21.6" thickBot="1" x14ac:dyDescent="0.35">
      <c r="A30" s="70" t="s">
        <v>19</v>
      </c>
      <c r="B30" s="71"/>
      <c r="C30" s="21"/>
      <c r="D30" s="21"/>
      <c r="E30" s="21"/>
      <c r="F30" s="21"/>
      <c r="G30" s="32"/>
      <c r="H30" s="72">
        <f>SUM(H14:I29)</f>
        <v>22195500</v>
      </c>
      <c r="I30" s="73"/>
    </row>
    <row r="31" spans="1:9" x14ac:dyDescent="0.3">
      <c r="A31" s="74"/>
      <c r="B31" s="75"/>
      <c r="C31" s="75"/>
      <c r="D31" s="75"/>
      <c r="E31" s="75"/>
      <c r="F31" s="75"/>
      <c r="G31" s="75"/>
      <c r="H31" s="75"/>
      <c r="I31" s="76"/>
    </row>
    <row r="32" spans="1:9" ht="21" x14ac:dyDescent="0.3">
      <c r="A32" s="22"/>
      <c r="B32" s="40"/>
      <c r="C32" s="40"/>
      <c r="D32" s="41"/>
      <c r="E32" s="77" t="s">
        <v>20</v>
      </c>
      <c r="F32" s="77"/>
      <c r="G32" s="77"/>
      <c r="H32" s="78">
        <f>H30</f>
        <v>22195500</v>
      </c>
      <c r="I32" s="79"/>
    </row>
    <row r="33" spans="1:9" ht="17.399999999999999" x14ac:dyDescent="0.3">
      <c r="A33" s="22"/>
      <c r="B33" s="40"/>
      <c r="C33" s="40"/>
      <c r="D33" s="41"/>
      <c r="E33" s="80" t="s">
        <v>21</v>
      </c>
      <c r="F33" s="80"/>
      <c r="G33" s="80"/>
      <c r="H33" s="81">
        <f>H32*18%</f>
        <v>3995190</v>
      </c>
      <c r="I33" s="82"/>
    </row>
    <row r="34" spans="1:9" x14ac:dyDescent="0.3">
      <c r="A34" s="22"/>
      <c r="B34" s="40"/>
      <c r="C34" s="40"/>
      <c r="D34" s="41"/>
      <c r="E34" s="50" t="s">
        <v>19</v>
      </c>
      <c r="F34" s="50"/>
      <c r="G34" s="50"/>
      <c r="H34" s="52">
        <f>H32+H33</f>
        <v>26190690</v>
      </c>
      <c r="I34" s="53"/>
    </row>
    <row r="35" spans="1:9" ht="15" thickBot="1" x14ac:dyDescent="0.35">
      <c r="A35" s="56"/>
      <c r="B35" s="57"/>
      <c r="C35" s="57"/>
      <c r="D35" s="23"/>
      <c r="E35" s="51"/>
      <c r="F35" s="51"/>
      <c r="G35" s="51"/>
      <c r="H35" s="54"/>
      <c r="I35" s="55"/>
    </row>
    <row r="36" spans="1:9" x14ac:dyDescent="0.3">
      <c r="A36" s="42" t="s">
        <v>22</v>
      </c>
      <c r="B36" s="40"/>
      <c r="C36" s="40"/>
      <c r="D36" s="41"/>
      <c r="E36" s="43"/>
      <c r="F36" s="43"/>
      <c r="G36" s="43"/>
      <c r="H36" s="43"/>
      <c r="I36" s="38"/>
    </row>
    <row r="37" spans="1:9" x14ac:dyDescent="0.3">
      <c r="A37" s="44" t="s">
        <v>23</v>
      </c>
      <c r="B37" s="40"/>
      <c r="C37" s="40"/>
      <c r="D37" s="41"/>
      <c r="E37" s="43"/>
      <c r="F37" s="43"/>
      <c r="G37" s="43"/>
      <c r="H37" s="43"/>
      <c r="I37" s="38"/>
    </row>
    <row r="38" spans="1:9" x14ac:dyDescent="0.3">
      <c r="A38" s="44" t="s">
        <v>24</v>
      </c>
      <c r="B38" s="40"/>
      <c r="C38" s="40"/>
      <c r="D38" s="41"/>
      <c r="E38" s="43"/>
      <c r="F38" s="43"/>
      <c r="G38" s="43"/>
      <c r="H38" s="43"/>
      <c r="I38" s="38"/>
    </row>
    <row r="39" spans="1:9" x14ac:dyDescent="0.3">
      <c r="A39" s="44" t="s">
        <v>25</v>
      </c>
      <c r="B39" s="36"/>
      <c r="C39" s="36"/>
      <c r="D39" s="41"/>
      <c r="E39" s="43"/>
      <c r="F39" s="43"/>
      <c r="G39" s="43"/>
      <c r="H39" s="43"/>
      <c r="I39" s="38"/>
    </row>
    <row r="40" spans="1:9" x14ac:dyDescent="0.3">
      <c r="A40" s="44"/>
      <c r="B40" s="36"/>
      <c r="C40" s="36"/>
      <c r="D40" s="41"/>
      <c r="E40" s="43"/>
      <c r="F40" s="43"/>
      <c r="G40" s="43"/>
      <c r="H40" s="43"/>
      <c r="I40" s="38"/>
    </row>
    <row r="41" spans="1:9" x14ac:dyDescent="0.3">
      <c r="A41" s="34"/>
      <c r="B41" s="36"/>
      <c r="C41" s="36"/>
      <c r="D41" s="41"/>
      <c r="E41" s="43"/>
      <c r="F41" s="43"/>
      <c r="G41" s="43"/>
      <c r="H41" s="43"/>
      <c r="I41" s="38"/>
    </row>
    <row r="42" spans="1:9" ht="15" thickBot="1" x14ac:dyDescent="0.35">
      <c r="A42" s="47" t="s">
        <v>26</v>
      </c>
      <c r="B42" s="48"/>
      <c r="C42" s="48"/>
      <c r="D42" s="48"/>
      <c r="E42" s="48"/>
      <c r="F42" s="48"/>
      <c r="G42" s="48"/>
      <c r="H42" s="48"/>
      <c r="I42" s="49"/>
    </row>
  </sheetData>
  <mergeCells count="53">
    <mergeCell ref="A6:I6"/>
    <mergeCell ref="B16:E16"/>
    <mergeCell ref="H16:I16"/>
    <mergeCell ref="B19:E19"/>
    <mergeCell ref="H19:I19"/>
    <mergeCell ref="B17:E17"/>
    <mergeCell ref="H17:I17"/>
    <mergeCell ref="B15:E15"/>
    <mergeCell ref="H15:I15"/>
    <mergeCell ref="A7:I7"/>
    <mergeCell ref="A9:D9"/>
    <mergeCell ref="E9:I9"/>
    <mergeCell ref="A10:D10"/>
    <mergeCell ref="E10:I10"/>
    <mergeCell ref="A11:D11"/>
    <mergeCell ref="E11:F11"/>
    <mergeCell ref="A1:I1"/>
    <mergeCell ref="A2:I2"/>
    <mergeCell ref="A3:F3"/>
    <mergeCell ref="A4:F4"/>
    <mergeCell ref="A5:I5"/>
    <mergeCell ref="G11:I11"/>
    <mergeCell ref="A12:I12"/>
    <mergeCell ref="B13:E13"/>
    <mergeCell ref="H13:I13"/>
    <mergeCell ref="B14:E14"/>
    <mergeCell ref="H14:I14"/>
    <mergeCell ref="B18:E18"/>
    <mergeCell ref="H18:I18"/>
    <mergeCell ref="B26:E26"/>
    <mergeCell ref="H26:I26"/>
    <mergeCell ref="B20:E20"/>
    <mergeCell ref="H20:I20"/>
    <mergeCell ref="B23:E23"/>
    <mergeCell ref="H23:I23"/>
    <mergeCell ref="B24:E24"/>
    <mergeCell ref="H24:I24"/>
    <mergeCell ref="A42:I42"/>
    <mergeCell ref="E34:G35"/>
    <mergeCell ref="H34:I35"/>
    <mergeCell ref="A35:C35"/>
    <mergeCell ref="B27:E27"/>
    <mergeCell ref="H27:I27"/>
    <mergeCell ref="B28:E28"/>
    <mergeCell ref="H28:I28"/>
    <mergeCell ref="H29:I29"/>
    <mergeCell ref="A30:B30"/>
    <mergeCell ref="H30:I30"/>
    <mergeCell ref="A31:I31"/>
    <mergeCell ref="E32:G32"/>
    <mergeCell ref="H32:I32"/>
    <mergeCell ref="E33:G33"/>
    <mergeCell ref="H33:I33"/>
  </mergeCells>
  <pageMargins left="0.7" right="0.7" top="0.75" bottom="0.75" header="0.3" footer="0.3"/>
  <pageSetup scale="8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88D92693-F515-48DF-A246-85AE1CE27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2A5B10-3DD4-470D-9806-784F51B577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44EF-1C3E-4AA6-AB87-F42B46FD9F50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397 24 ZICO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Kumar Bikkineli</dc:creator>
  <cp:keywords/>
  <dc:description/>
  <cp:lastModifiedBy>Krishna Kumar Sharma</cp:lastModifiedBy>
  <cp:revision/>
  <dcterms:created xsi:type="dcterms:W3CDTF">2015-06-05T18:17:20Z</dcterms:created>
  <dcterms:modified xsi:type="dcterms:W3CDTF">2025-03-04T11:40:32Z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