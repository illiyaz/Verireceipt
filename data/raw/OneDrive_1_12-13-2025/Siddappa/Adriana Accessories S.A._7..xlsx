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Siddappa/"/>
    </mc:Choice>
  </mc:AlternateContent>
  <xr:revisionPtr revIDLastSave="206" documentId="13_ncr:1_{EBB343E0-6F02-4D5C-93D6-EEA0DD9071C1}" xr6:coauthVersionLast="47" xr6:coauthVersionMax="47" xr10:uidLastSave="{1D30505A-0C77-4973-8953-6028DED31074}"/>
  <bookViews>
    <workbookView xWindow="-108" yWindow="-108" windowWidth="23256" windowHeight="12456" firstSheet="2" activeTab="6" xr2:uid="{00000000-000D-0000-FFFF-FFFF00000000}"/>
  </bookViews>
  <sheets>
    <sheet name="22201-24 ADAC" sheetId="3" r:id="rId1"/>
    <sheet name="33984-24 ADAC" sheetId="2" r:id="rId2"/>
    <sheet name="41953-24 ADAC" sheetId="4" r:id="rId3"/>
    <sheet name="72792-24 ADAC" sheetId="5" r:id="rId4"/>
    <sheet name="83838-24 ADAC" sheetId="6" r:id="rId5"/>
    <sheet name="13259-24 ADAC" sheetId="7" r:id="rId6"/>
    <sheet name="81864-24 ADAC" sheetId="8" r:id="rId7"/>
  </sheets>
  <definedNames>
    <definedName name="_xlnm.Print_Area" localSheetId="1">'33984-24 ADAC'!$A$1:$H$42</definedName>
    <definedName name="_xlnm.Print_Area" localSheetId="4">'83838-24 ADAC'!$A$1:$H$42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8" l="1"/>
  <c r="H40" i="7"/>
  <c r="H40" i="3"/>
  <c r="H17" i="3"/>
  <c r="H16" i="3"/>
  <c r="H40" i="2"/>
  <c r="H40" i="4"/>
  <c r="H40" i="5"/>
  <c r="H18" i="4"/>
  <c r="H17" i="4"/>
  <c r="H38" i="4"/>
  <c r="H18" i="2"/>
  <c r="H17" i="2"/>
  <c r="H16" i="8" l="1"/>
  <c r="E13" i="8"/>
  <c r="E12" i="8"/>
  <c r="E11" i="8"/>
  <c r="H17" i="7"/>
  <c r="H16" i="7"/>
  <c r="H38" i="7" s="1"/>
  <c r="E13" i="7"/>
  <c r="E12" i="7"/>
  <c r="E11" i="7"/>
  <c r="H16" i="6"/>
  <c r="E13" i="6"/>
  <c r="E12" i="6"/>
  <c r="E11" i="6"/>
  <c r="H17" i="5"/>
  <c r="H16" i="5"/>
  <c r="H38" i="5" s="1"/>
  <c r="E13" i="5"/>
  <c r="E12" i="5"/>
  <c r="E11" i="5"/>
  <c r="H16" i="4"/>
  <c r="H39" i="4" s="1"/>
  <c r="H41" i="4" s="1"/>
  <c r="E13" i="4"/>
  <c r="E12" i="4"/>
  <c r="E11" i="4"/>
  <c r="H38" i="3"/>
  <c r="H39" i="3" s="1"/>
  <c r="H41" i="3" s="1"/>
  <c r="E13" i="3"/>
  <c r="E12" i="3"/>
  <c r="E11" i="3"/>
  <c r="H16" i="2"/>
  <c r="H38" i="2" s="1"/>
  <c r="H41" i="2" s="1"/>
  <c r="E13" i="2"/>
  <c r="E12" i="2"/>
  <c r="E11" i="2"/>
  <c r="H39" i="7" l="1"/>
  <c r="H41" i="7" s="1"/>
  <c r="H38" i="8"/>
  <c r="H39" i="8" s="1"/>
  <c r="H41" i="8" s="1"/>
  <c r="H38" i="6"/>
  <c r="H39" i="6" s="1"/>
  <c r="H39" i="5"/>
  <c r="H41" i="5" s="1"/>
  <c r="H40" i="6" l="1"/>
  <c r="H4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tc={BA32219C-9AFA-46F1-9594-303919DBB62E}</author>
    <author>tc={FB5A2F33-35B8-4A60-9521-A6A67E8EDA1A}</author>
    <author>tc={80C651EF-1654-4AD1-BF90-58350A56AA0C}</author>
    <author>tc={18D5D8ED-D07C-4BAD-BB90-6C1B71365EA8}</author>
  </authors>
  <commentList>
    <comment ref="C1" authorId="0" shapeId="0" xr:uid="{BA32219C-9AFA-46F1-9594-303919DBB62E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1" shapeId="0" xr:uid="{FB5A2F33-35B8-4A60-9521-A6A67E8EDA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Precision Wheel Hub</t>
      </text>
    </comment>
    <comment ref="B17" authorId="2" shapeId="0" xr:uid="{80C651EF-1654-4AD1-BF90-58350A56AA0C}">
      <text>
        <t>[Threaded comment]
Your version of Excel allows you to read this threaded comment; however, any edits to it will get removed if the file is opened in a newer version of Excel. Learn more: https://go.microsoft.com/fwlink/?linkid=870924
Comment:
    Turbocharger</t>
      </text>
    </comment>
    <comment ref="B18" authorId="3" shapeId="0" xr:uid="{18D5D8ED-D07C-4BAD-BB90-6C1B7136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Turbocharger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tc={98A88634-6BA1-433E-B954-340B666D3647}</author>
    <author>tc={B888E915-CC31-47D7-B187-F42540CE9280}</author>
    <author>tc={4EE78022-0F97-40F3-9EAF-FDF3F040663C}</author>
    <author>tc={B62F1CD5-EE1C-4706-BF20-BD704D34A021}</author>
  </authors>
  <commentList>
    <comment ref="C1" authorId="0" shapeId="0" xr:uid="{98A88634-6BA1-433E-B954-340B666D36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1" shapeId="0" xr:uid="{B888E915-CC31-47D7-B187-F42540CE9280}">
      <text>
        <t>[Threaded comment]
Your version of Excel allows you to read this threaded comment; however, any edits to it will get removed if the file is opened in a newer version of Excel. Learn more: https://go.microsoft.com/fwlink/?linkid=870924
Comment:
    Trunk Lid</t>
      </text>
    </comment>
    <comment ref="B17" authorId="2" shapeId="0" xr:uid="{4EE78022-0F97-40F3-9EAF-FDF3F040663C}">
      <text>
        <t>[Threaded comment]
Your version of Excel allows you to read this threaded comment; however, any edits to it will get removed if the file is opened in a newer version of Excel. Learn more: https://go.microsoft.com/fwlink/?linkid=870924
Comment:
    Wheel Bearings</t>
      </text>
    </comment>
    <comment ref="B18" authorId="3" shapeId="0" xr:uid="{B62F1CD5-EE1C-4706-BF20-BD704D34A021}">
      <text>
        <t>[Threaded comment]
Your version of Excel allows you to read this threaded comment; however, any edits to it will get removed if the file is opened in a newer version of Excel. Learn more: https://go.microsoft.com/fwlink/?linkid=870924
Comment:
    Flywheel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tc={807A0076-FDF8-46E3-BF7A-C6CE8D7FD894}</author>
    <author>tc={14E55F63-8417-4E57-AE70-73F7E15F47A0}</author>
    <author>tc={B24C3F85-F5D6-451E-954A-953BC47B39A8}</author>
    <author>tc={923D9B52-3436-4983-9E86-7F0BFBD2BAFD}</author>
    <author>tc={417FF802-D18C-4272-8ED8-94BBFD05D1D1}</author>
    <author>tc={E934CB07-0568-4913-8226-BE4A592CB9B5}</author>
  </authors>
  <commentList>
    <comment ref="C1" authorId="0" shapeId="0" xr:uid="{807A0076-FDF8-46E3-BF7A-C6CE8D7FD894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14E55F63-8417-4E57-AE70-73F7E15F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B24C3F85-F5D6-451E-954A-953BC47B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Tyres</t>
      </text>
    </comment>
    <comment ref="B17" authorId="3" shapeId="0" xr:uid="{923D9B52-3436-4983-9E86-7F0BFBD2BAFD}">
      <text>
        <t>[Threaded comment]
Your version of Excel allows you to read this threaded comment; however, any edits to it will get removed if the file is opened in a newer version of Excel. Learn more: https://go.microsoft.com/fwlink/?linkid=870924
Comment:
    Aluminium Wheels</t>
      </text>
    </comment>
    <comment ref="B18" authorId="4" shapeId="0" xr:uid="{417FF802-D18C-4272-8ED8-94BBFD05D1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Hood</t>
      </text>
    </comment>
    <comment ref="B19" authorId="5" shapeId="0" xr:uid="{E934CB07-0568-4913-8226-BE4A592CB9B5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Scheme Incentives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tc={FF20389F-E173-405A-9F17-35545373C10D}</author>
    <author>tc={EEA74693-BA9A-43D9-AC90-07FD0DC47ED0}</author>
    <author>tc={B457B923-E823-4A7C-B205-A24A3D778348}</author>
    <author>tc={9A00698E-5319-40A0-8F6B-64C029F1D01A}</author>
    <author>tc={C1548B72-C0D2-489C-87CE-7999561083E2}</author>
  </authors>
  <commentList>
    <comment ref="C1" authorId="0" shapeId="0" xr:uid="{FF20389F-E173-405A-9F17-35545373C10D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EEA74693-BA9A-43D9-AC90-07FD0DC47ED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B457B923-E823-4A7C-B205-A24A3D778348}">
      <text>
        <t>[Threaded comment]
Your version of Excel allows you to read this threaded comment; however, any edits to it will get removed if the file is opened in a newer version of Excel. Learn more: https://go.microsoft.com/fwlink/?linkid=870924
Comment:
    Timing Belt</t>
      </text>
    </comment>
    <comment ref="B17" authorId="3" shapeId="0" xr:uid="{9A00698E-5319-40A0-8F6B-64C029F1D01A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Scheme discount</t>
      </text>
    </comment>
    <comment ref="B18" authorId="4" shapeId="0" xr:uid="{C1548B72-C0D2-489C-87CE-7999561083E2}">
      <text>
        <t>[Threaded comment]
Your version of Excel allows you to read this threaded comment; however, any edits to it will get removed if the file is opened in a newer version of Excel. Learn more: https://go.microsoft.com/fwlink/?linkid=870924
Comment:
    Scheme discount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tc={7CFBE45C-207E-4386-96DF-0D66001C41FF}</author>
    <author>tc={E250434A-ADD7-4278-9EC2-5BE23440DDA8}</author>
    <author>tc={1EA24127-1CC4-446F-B89A-9B119757C030}</author>
    <author>tc={44E48743-B814-49C9-9FAD-25708030CCBD}</author>
  </authors>
  <commentList>
    <comment ref="C1" authorId="0" shapeId="0" xr:uid="{7CFBE45C-207E-4386-96DF-0D66001C41FF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E250434A-ADD7-4278-9EC2-5BE23440DDA8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1EA24127-1CC4-446F-B89A-9B119757C03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Seals</t>
      </text>
    </comment>
    <comment ref="B17" authorId="3" shapeId="0" xr:uid="{44E48743-B814-49C9-9FAD-25708030CC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Bulk Purchase Discount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tc={647D6927-2A6C-4510-AD21-68F8E14A91D2}</author>
    <author>tc={E9DAA407-908F-46A7-B2B5-3903F595EA79}</author>
    <author>tc={A9BBC55B-16CD-45DB-8229-1D47724F6AF0}</author>
    <author>tc={BA80796A-B092-4DE3-8B17-57F1AF37E9A6}</author>
    <author>tc={67062503-88C3-4488-8731-FFFC1DB03742}</author>
  </authors>
  <commentList>
    <comment ref="C1" authorId="0" shapeId="0" xr:uid="{647D6927-2A6C-4510-AD21-68F8E14A91D2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E9DAA407-908F-46A7-B2B5-3903F595EA79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A9BBC55B-16CD-45DB-8229-1D47724F6AF0}">
      <text>
        <t>[Threaded comment]
Your version of Excel allows you to read this threaded comment; however, any edits to it will get removed if the file is opened in a newer version of Excel. Learn more: https://go.microsoft.com/fwlink/?linkid=870924
Comment:
    Crankshaft</t>
      </text>
    </comment>
    <comment ref="B17" authorId="3" shapeId="0" xr:uid="{BA80796A-B092-4DE3-8B17-57F1AF37E9A6}">
      <text>
        <t>[Threaded comment]
Your version of Excel allows you to read this threaded comment; however, any edits to it will get removed if the file is opened in a newer version of Excel. Learn more: https://go.microsoft.com/fwlink/?linkid=870924
Comment:
    Flywheel</t>
      </text>
    </comment>
    <comment ref="B18" authorId="4" shapeId="0" xr:uid="{67062503-88C3-4488-8731-FFFC1DB037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Rebate Schemes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tc={F5263EF7-E8FD-4D1A-BA54-2D2608D073A8}</author>
    <author>tc={0683D7CC-9E3E-4CA2-B94A-A652BE910AD3}</author>
    <author>tc={5B457B42-A55C-440A-A0B6-B6A69DC7D7B4}</author>
    <author>tc={B471187B-6779-44E7-9834-2B6687F6256E}</author>
  </authors>
  <commentList>
    <comment ref="C1" authorId="0" shapeId="0" xr:uid="{F5263EF7-E8FD-4D1A-BA54-2D2608D0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D1" authorId="1" shapeId="0" xr:uid="{0683D7CC-9E3E-4CA2-B94A-A652BE910AD3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</t>
      </text>
    </comment>
    <comment ref="B16" authorId="2" shapeId="0" xr:uid="{5B457B42-A55C-440A-A0B6-B6A69DC7D7B4}">
      <text>
        <t>[Threaded comment]
Your version of Excel allows you to read this threaded comment; however, any edits to it will get removed if the file is opened in a newer version of Excel. Learn more: https://go.microsoft.com/fwlink/?linkid=870924
Comment:
    Carpet</t>
      </text>
    </comment>
    <comment ref="B17" authorId="3" shapeId="0" xr:uid="{B471187B-6779-44E7-9834-2B6687F625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Multi-Buy Discount </t>
      </text>
    </comment>
  </commentList>
</comments>
</file>

<file path=xl/sharedStrings.xml><?xml version="1.0" encoding="utf-8"?>
<sst xmlns="http://schemas.openxmlformats.org/spreadsheetml/2006/main" count="155" uniqueCount="48">
  <si>
    <t>FACTURA</t>
  </si>
  <si>
    <t>Factura No.:</t>
  </si>
  <si>
    <t>22201-AASA-FY24</t>
  </si>
  <si>
    <t>Date:</t>
  </si>
  <si>
    <t>Adriana Accessories S.A.</t>
  </si>
  <si>
    <t>Callejón Campeche 335 Edif. 641 , Depto. 620, Vieja Belarús, Quintana Roo, Mexico, 75663-5807</t>
  </si>
  <si>
    <t>Dirección de Envio:</t>
  </si>
  <si>
    <t>Dirección de envío:</t>
  </si>
  <si>
    <t>Steel Horse Auto Assembly Chennai Ltd</t>
  </si>
  <si>
    <t>House No 249,Road No 11,Rajiv Gandhi Nagar,</t>
  </si>
  <si>
    <t>Chennai,Tamil Nadu,India</t>
  </si>
  <si>
    <t>Sl.No.</t>
  </si>
  <si>
    <t>Nombre del artículo</t>
  </si>
  <si>
    <t xml:space="preserve">Cantidad </t>
  </si>
  <si>
    <t>Precio/
Unidad</t>
  </si>
  <si>
    <t>Cantidad (MXN $)</t>
  </si>
  <si>
    <t>Cubo de rueda de precisión</t>
  </si>
  <si>
    <t>turbocompresor</t>
  </si>
  <si>
    <t>Total:</t>
  </si>
  <si>
    <t>Total parcial:</t>
  </si>
  <si>
    <t>Impuesto</t>
  </si>
  <si>
    <t>Total</t>
  </si>
  <si>
    <t>33984-AASA-FY24</t>
  </si>
  <si>
    <t>Steel Horse Auto Inc</t>
  </si>
  <si>
    <t xml:space="preserve">265 Lopez Orchard, East John, Michigan, </t>
  </si>
  <si>
    <t>Unidaded States, 43306</t>
  </si>
  <si>
    <t>Tapa del maletero</t>
  </si>
  <si>
    <t>Cojinetes de rueda</t>
  </si>
  <si>
    <t>Volante</t>
  </si>
  <si>
    <t>Descuento</t>
  </si>
  <si>
    <t>41953-AASA-FY24</t>
  </si>
  <si>
    <t>Llantas</t>
  </si>
  <si>
    <t>Ruedas de aluminio</t>
  </si>
  <si>
    <t>Capucha</t>
  </si>
  <si>
    <t>72792-AASA-FY24</t>
  </si>
  <si>
    <t>Correa de distribución</t>
  </si>
  <si>
    <t>83838-AASA-FY24</t>
  </si>
  <si>
    <t>Steel Horse Auto Assembly Anantpur Ltd</t>
  </si>
  <si>
    <t xml:space="preserve">123 MG Road, Anantapur, </t>
  </si>
  <si>
    <t>Andhra Pradesh 515001, India</t>
  </si>
  <si>
    <t>Sellos de válvula</t>
  </si>
  <si>
    <t>13259-AASA-FY24</t>
  </si>
  <si>
    <t>Cigüeñal</t>
  </si>
  <si>
    <t>81864-AASA-FY24</t>
  </si>
  <si>
    <t>Steel Horse Auto Assembly NJ Inc</t>
  </si>
  <si>
    <t xml:space="preserve">0015 Angela Mission, Kathyborough, </t>
  </si>
  <si>
    <t>New Jersey, Unidaded States</t>
  </si>
  <si>
    <t>Alfombra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</si>
</sst>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[$₹-4009]\ * #,##0.00_ ;_ [$₹-4009]\ * \-#,##0.00_ ;_ [$₹-4009]\ * &quot;-&quot;??_ ;_ @_ "/>
    <numFmt numFmtId="165" formatCode="[$MXN]\ #,##0.00"/>
    <numFmt numFmtId="166" formatCode="[$$-80A]#,##0.00"/>
    <numFmt numFmtId="167" formatCode="&quot;$&quot;#,##0.00"/>
    <numFmt numFmtId="168" formatCode="_([$$-409]* #,##0.00_);_([$$-409]* \(#,##0.00\);_([$$-409]* &quot;-&quot;??_);_(@_)"/>
    <numFmt numFmtId="169" formatCode="0.00000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202124"/>
      <name val="Arial"/>
      <family val="2"/>
    </font>
    <font>
      <b/>
      <sz val="16"/>
      <name val="Arial"/>
      <family val="2"/>
    </font>
    <font>
      <b/>
      <sz val="20"/>
      <color theme="1"/>
      <name val="Arial"/>
      <family val="2"/>
    </font>
    <font>
      <b/>
      <sz val="16"/>
      <color rgb="FF000000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8" borderId="1" xfId="0" applyFont="1" applyFill="1" applyBorder="1"/>
    <xf numFmtId="0" fontId="2" fillId="8" borderId="8" xfId="0" applyFont="1" applyFill="1" applyBorder="1"/>
    <xf numFmtId="0" fontId="2" fillId="8" borderId="9" xfId="0" applyFont="1" applyFill="1" applyBorder="1"/>
    <xf numFmtId="0" fontId="7" fillId="0" borderId="6" xfId="0" applyFont="1" applyBorder="1"/>
    <xf numFmtId="0" fontId="0" fillId="0" borderId="7" xfId="0" applyBorder="1"/>
    <xf numFmtId="0" fontId="2" fillId="0" borderId="0" xfId="0" applyFont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6" fontId="2" fillId="2" borderId="7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6" fontId="9" fillId="4" borderId="7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vertical="top"/>
    </xf>
    <xf numFmtId="166" fontId="9" fillId="3" borderId="7" xfId="0" applyNumberFormat="1" applyFont="1" applyFill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7" borderId="4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5" fillId="4" borderId="15" xfId="0" applyFont="1" applyFill="1" applyBorder="1" applyAlignment="1">
      <alignment horizontal="center" vertical="center"/>
    </xf>
    <xf numFmtId="168" fontId="9" fillId="4" borderId="7" xfId="0" applyNumberFormat="1" applyFont="1" applyFill="1" applyBorder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  <xf numFmtId="167" fontId="0" fillId="2" borderId="0" xfId="0" applyNumberFormat="1" applyFill="1"/>
    <xf numFmtId="0" fontId="5" fillId="4" borderId="6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10" fillId="5" borderId="7" xfId="0" applyFont="1" applyFill="1" applyBorder="1" applyAlignment="1">
      <alignment horizontal="center" vertical="center" wrapText="1"/>
    </xf>
    <xf numFmtId="169" fontId="0" fillId="0" borderId="0" xfId="0" applyNumberFormat="1"/>
    <xf numFmtId="0" fontId="6" fillId="7" borderId="17" xfId="0" applyFont="1" applyFill="1" applyBorder="1" applyAlignment="1">
      <alignment vertical="center"/>
    </xf>
    <xf numFmtId="0" fontId="2" fillId="8" borderId="20" xfId="0" applyFont="1" applyFill="1" applyBorder="1"/>
    <xf numFmtId="0" fontId="2" fillId="8" borderId="21" xfId="0" applyFont="1" applyFill="1" applyBorder="1"/>
    <xf numFmtId="0" fontId="7" fillId="0" borderId="15" xfId="0" applyFont="1" applyBorder="1"/>
    <xf numFmtId="0" fontId="0" fillId="0" borderId="19" xfId="0" applyBorder="1"/>
    <xf numFmtId="0" fontId="1" fillId="5" borderId="15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166" fontId="2" fillId="0" borderId="19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166" fontId="2" fillId="2" borderId="19" xfId="0" applyNumberFormat="1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166" fontId="9" fillId="4" borderId="19" xfId="0" applyNumberFormat="1" applyFont="1" applyFill="1" applyBorder="1" applyAlignment="1">
      <alignment horizontal="center" vertical="center"/>
    </xf>
    <xf numFmtId="166" fontId="9" fillId="3" borderId="19" xfId="0" applyNumberFormat="1" applyFont="1" applyFill="1" applyBorder="1" applyAlignment="1">
      <alignment horizontal="center"/>
    </xf>
    <xf numFmtId="0" fontId="1" fillId="0" borderId="15" xfId="0" applyFont="1" applyBorder="1" applyAlignment="1">
      <alignment vertical="top"/>
    </xf>
    <xf numFmtId="166" fontId="2" fillId="0" borderId="19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7" borderId="3" xfId="0" applyFont="1" applyFill="1" applyBorder="1"/>
    <xf numFmtId="0" fontId="2" fillId="7" borderId="4" xfId="0" applyFont="1" applyFill="1" applyBorder="1"/>
    <xf numFmtId="0" fontId="2" fillId="7" borderId="6" xfId="0" applyFont="1" applyFill="1" applyBorder="1"/>
    <xf numFmtId="0" fontId="2" fillId="7" borderId="0" xfId="0" applyFont="1" applyFill="1"/>
    <xf numFmtId="0" fontId="1" fillId="7" borderId="0" xfId="0" applyFont="1" applyFill="1" applyAlignment="1">
      <alignment horizontal="right"/>
    </xf>
    <xf numFmtId="0" fontId="2" fillId="7" borderId="0" xfId="0" applyFont="1" applyFill="1" applyAlignment="1">
      <alignment horizontal="center"/>
    </xf>
    <xf numFmtId="0" fontId="2" fillId="7" borderId="7" xfId="0" applyFont="1" applyFill="1" applyBorder="1" applyAlignment="1">
      <alignment horizontal="center"/>
    </xf>
    <xf numFmtId="14" fontId="2" fillId="7" borderId="0" xfId="0" applyNumberFormat="1" applyFont="1" applyFill="1" applyAlignment="1">
      <alignment horizontal="center"/>
    </xf>
    <xf numFmtId="14" fontId="2" fillId="7" borderId="7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6" borderId="6" xfId="0" applyFont="1" applyFill="1" applyBorder="1"/>
    <xf numFmtId="0" fontId="2" fillId="6" borderId="0" xfId="0" applyFont="1" applyFill="1"/>
    <xf numFmtId="0" fontId="2" fillId="6" borderId="7" xfId="0" applyFont="1" applyFill="1" applyBorder="1"/>
    <xf numFmtId="166" fontId="1" fillId="0" borderId="10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7" borderId="16" xfId="0" applyFont="1" applyFill="1" applyBorder="1"/>
    <xf numFmtId="0" fontId="2" fillId="7" borderId="17" xfId="0" applyFont="1" applyFill="1" applyBorder="1"/>
    <xf numFmtId="0" fontId="2" fillId="7" borderId="15" xfId="0" applyFont="1" applyFill="1" applyBorder="1"/>
    <xf numFmtId="0" fontId="2" fillId="7" borderId="19" xfId="0" applyFont="1" applyFill="1" applyBorder="1" applyAlignment="1">
      <alignment horizontal="center"/>
    </xf>
    <xf numFmtId="14" fontId="2" fillId="7" borderId="19" xfId="0" applyNumberFormat="1" applyFont="1" applyFill="1" applyBorder="1" applyAlignment="1">
      <alignment horizontal="center"/>
    </xf>
    <xf numFmtId="0" fontId="6" fillId="7" borderId="17" xfId="0" applyFont="1" applyFill="1" applyBorder="1" applyAlignment="1">
      <alignment horizontal="left" vertical="center"/>
    </xf>
    <xf numFmtId="0" fontId="6" fillId="7" borderId="18" xfId="0" applyFont="1" applyFill="1" applyBorder="1" applyAlignment="1">
      <alignment horizontal="left" vertical="center"/>
    </xf>
    <xf numFmtId="0" fontId="6" fillId="7" borderId="19" xfId="0" applyFont="1" applyFill="1" applyBorder="1" applyAlignment="1">
      <alignment horizontal="left" vertical="center"/>
    </xf>
    <xf numFmtId="0" fontId="8" fillId="0" borderId="15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2" fillId="0" borderId="1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5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2" fillId="0" borderId="15" xfId="0" applyFont="1" applyBorder="1"/>
    <xf numFmtId="0" fontId="2" fillId="0" borderId="19" xfId="0" applyFont="1" applyBorder="1" applyAlignment="1">
      <alignment horizontal="left" wrapText="1"/>
    </xf>
    <xf numFmtId="0" fontId="2" fillId="6" borderId="15" xfId="0" applyFont="1" applyFill="1" applyBorder="1"/>
    <xf numFmtId="0" fontId="2" fillId="6" borderId="19" xfId="0" applyFont="1" applyFill="1" applyBorder="1"/>
    <xf numFmtId="0" fontId="3" fillId="0" borderId="24" xfId="0" applyFont="1" applyBorder="1" applyAlignment="1">
      <alignment horizontal="left" vertical="center"/>
    </xf>
    <xf numFmtId="166" fontId="1" fillId="0" borderId="2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5" fillId="4" borderId="15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/>
    </xf>
    <xf numFmtId="14" fontId="2" fillId="7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38100</xdr:rowOff>
    </xdr:from>
    <xdr:to>
      <xdr:col>1</xdr:col>
      <xdr:colOff>299084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24491-C45F-7EE3-2881-84BC06D8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38100"/>
          <a:ext cx="822959" cy="65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</xdr:colOff>
      <xdr:row>0</xdr:row>
      <xdr:rowOff>34290</xdr:rowOff>
    </xdr:from>
    <xdr:to>
      <xdr:col>1</xdr:col>
      <xdr:colOff>272414</xdr:colOff>
      <xdr:row>3</xdr:row>
      <xdr:rowOff>139065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E1A3ED-3245-4277-A06C-4B1DF37F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" y="34290"/>
          <a:ext cx="822959" cy="657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</xdr:colOff>
      <xdr:row>0</xdr:row>
      <xdr:rowOff>51435</xdr:rowOff>
    </xdr:from>
    <xdr:to>
      <xdr:col>1</xdr:col>
      <xdr:colOff>272414</xdr:colOff>
      <xdr:row>3</xdr:row>
      <xdr:rowOff>156210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73EAD2-BD85-4E25-A7D2-8212303F4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" y="51435"/>
          <a:ext cx="822959" cy="657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251459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189F2-F866-48ED-A338-88D76D9D6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822959" cy="6572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</xdr:colOff>
      <xdr:row>0</xdr:row>
      <xdr:rowOff>38100</xdr:rowOff>
    </xdr:from>
    <xdr:to>
      <xdr:col>1</xdr:col>
      <xdr:colOff>264794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30946A-6D04-45A1-8410-7DDE4D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" y="38100"/>
          <a:ext cx="822959" cy="6572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</xdr:colOff>
      <xdr:row>0</xdr:row>
      <xdr:rowOff>49530</xdr:rowOff>
    </xdr:from>
    <xdr:to>
      <xdr:col>1</xdr:col>
      <xdr:colOff>268604</xdr:colOff>
      <xdr:row>3</xdr:row>
      <xdr:rowOff>154305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7D38DB-F3CD-41AC-A005-71DD47DCD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" y="49530"/>
          <a:ext cx="822959" cy="6572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</xdr:colOff>
      <xdr:row>0</xdr:row>
      <xdr:rowOff>49530</xdr:rowOff>
    </xdr:from>
    <xdr:to>
      <xdr:col>1</xdr:col>
      <xdr:colOff>268604</xdr:colOff>
      <xdr:row>3</xdr:row>
      <xdr:rowOff>154305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775BC-EF87-4320-942D-BC66875F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" y="49530"/>
          <a:ext cx="822959" cy="657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BF6CA00D-3CFB-416F-9D62-C874F0082181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BA32219C-9AFA-46F1-9594-303919DBB62E}">
    <text>Invoice</text>
  </threadedComment>
  <threadedComment ref="B16" dT="2024-10-03T05:44:34.00" personId="{BF6CA00D-3CFB-416F-9D62-C874F0082181}" id="{FB5A2F33-35B8-4A60-9521-A6A67E8EDA1A}">
    <text>Precision Wheel Hub</text>
  </threadedComment>
  <threadedComment ref="B17" dT="2024-10-03T05:47:22.40" personId="{BF6CA00D-3CFB-416F-9D62-C874F0082181}" id="{80C651EF-1654-4AD1-BF90-58350A56AA0C}">
    <text>Turbocharger</text>
  </threadedComment>
  <threadedComment ref="B18" dT="2024-10-03T05:47:22.40" personId="{BF6CA00D-3CFB-416F-9D62-C874F0082181}" id="{18D5D8ED-D07C-4BAD-BB90-6C1B71365EA8}">
    <text>Turbocharger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98A88634-6BA1-433E-B954-340B666D3647}">
    <text>Invoice</text>
  </threadedComment>
  <threadedComment ref="B16" dT="2024-09-24T10:42:39.04" personId="{BF6CA00D-3CFB-416F-9D62-C874F0082181}" id="{B888E915-CC31-47D7-B187-F42540CE9280}">
    <text>Trunk Lid</text>
  </threadedComment>
  <threadedComment ref="B17" dT="2024-10-03T05:53:09.91" personId="{BF6CA00D-3CFB-416F-9D62-C874F0082181}" id="{4EE78022-0F97-40F3-9EAF-FDF3F040663C}">
    <text>Wheel Bearings</text>
  </threadedComment>
  <threadedComment ref="B18" dT="2024-10-03T05:54:20.59" personId="{BF6CA00D-3CFB-416F-9D62-C874F0082181}" id="{B62F1CD5-EE1C-4706-BF20-BD704D34A021}">
    <text>Flywheel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807A0076-FDF8-46E3-BF7A-C6CE8D7FD894}">
    <text>Invoice</text>
  </threadedComment>
  <threadedComment ref="D1" dT="2024-09-24T10:44:31.93" personId="{BF6CA00D-3CFB-416F-9D62-C874F0082181}" id="{14E55F63-8417-4E57-AE70-73F7E15F47A0}">
    <text>Invoice</text>
  </threadedComment>
  <threadedComment ref="B16" dT="2024-09-24T10:42:39.04" personId="{BF6CA00D-3CFB-416F-9D62-C874F0082181}" id="{B24C3F85-F5D6-451E-954A-953BC47B39A8}">
    <text>Tyres</text>
  </threadedComment>
  <threadedComment ref="B17" dT="2024-09-24T11:36:12.47" personId="{BF6CA00D-3CFB-416F-9D62-C874F0082181}" id="{923D9B52-3436-4983-9E86-7F0BFBD2BAFD}">
    <text>Aluminium Wheels</text>
  </threadedComment>
  <threadedComment ref="B18" dT="2024-10-03T05:59:38.69" personId="{BF6CA00D-3CFB-416F-9D62-C874F0082181}" id="{417FF802-D18C-4272-8ED8-94BBFD05D1D1}">
    <text>Hood</text>
  </threadedComment>
  <threadedComment ref="B19" dT="2024-09-24T11:36:12.47" personId="{BF6CA00D-3CFB-416F-9D62-C874F0082181}" id="{E934CB07-0568-4913-8226-BE4A592CB9B5}">
    <text>Scheme Incentives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FF20389F-E173-405A-9F17-35545373C10D}">
    <text>Invoice</text>
  </threadedComment>
  <threadedComment ref="D1" dT="2024-09-24T10:44:31.93" personId="{BF6CA00D-3CFB-416F-9D62-C874F0082181}" id="{EEA74693-BA9A-43D9-AC90-07FD0DC47ED0}">
    <text>Invoice</text>
  </threadedComment>
  <threadedComment ref="B16" dT="2024-09-24T10:42:39.04" personId="{BF6CA00D-3CFB-416F-9D62-C874F0082181}" id="{B457B923-E823-4A7C-B205-A24A3D778348}">
    <text>Timing Belt</text>
  </threadedComment>
  <threadedComment ref="B17" dT="2024-09-24T11:07:26.09" personId="{BF6CA00D-3CFB-416F-9D62-C874F0082181}" id="{9A00698E-5319-40A0-8F6B-64C029F1D01A}">
    <text>Scheme discount</text>
  </threadedComment>
  <threadedComment ref="B18" dT="2024-09-24T11:07:26.09" personId="{BF6CA00D-3CFB-416F-9D62-C874F0082181}" id="{C1548B72-C0D2-489C-87CE-7999561083E2}">
    <text>Scheme discount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7CFBE45C-207E-4386-96DF-0D66001C41FF}">
    <text>Invoice</text>
  </threadedComment>
  <threadedComment ref="D1" dT="2024-09-24T10:44:31.93" personId="{BF6CA00D-3CFB-416F-9D62-C874F0082181}" id="{E250434A-ADD7-4278-9EC2-5BE23440DDA8}">
    <text>Invoice</text>
  </threadedComment>
  <threadedComment ref="B16" dT="2024-09-24T10:42:39.04" personId="{BF6CA00D-3CFB-416F-9D62-C874F0082181}" id="{1EA24127-1CC4-446F-B89A-9B119757C030}">
    <text>Valve Seals</text>
  </threadedComment>
  <threadedComment ref="B17" dT="2024-09-24T11:07:26.09" personId="{BF6CA00D-3CFB-416F-9D62-C874F0082181}" id="{44E48743-B814-49C9-9FAD-25708030CCBD}">
    <text xml:space="preserve">Bulk Purchase Discount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647D6927-2A6C-4510-AD21-68F8E14A91D2}">
    <text>Invoice</text>
  </threadedComment>
  <threadedComment ref="D1" dT="2024-09-24T10:44:31.93" personId="{BF6CA00D-3CFB-416F-9D62-C874F0082181}" id="{E9DAA407-908F-46A7-B2B5-3903F595EA79}">
    <text>Invoice</text>
  </threadedComment>
  <threadedComment ref="B16" dT="2024-09-24T10:42:39.04" personId="{BF6CA00D-3CFB-416F-9D62-C874F0082181}" id="{A9BBC55B-16CD-45DB-8229-1D47724F6AF0}">
    <text>Crankshaft</text>
  </threadedComment>
  <threadedComment ref="B17" dT="2024-09-24T11:07:26.09" personId="{BF6CA00D-3CFB-416F-9D62-C874F0082181}" id="{BA80796A-B092-4DE3-8B17-57F1AF37E9A6}">
    <text>Flywheel</text>
  </threadedComment>
  <threadedComment ref="B18" dT="2024-09-24T11:07:26.09" personId="{BF6CA00D-3CFB-416F-9D62-C874F0082181}" id="{67062503-88C3-4488-8731-FFFC1DB03742}">
    <text xml:space="preserve">Rebate Schemes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" dT="2024-09-24T10:44:31.93" personId="{BF6CA00D-3CFB-416F-9D62-C874F0082181}" id="{F5263EF7-E8FD-4D1A-BA54-2D2608D073A8}">
    <text>Invoice</text>
  </threadedComment>
  <threadedComment ref="D1" dT="2024-09-24T10:44:31.93" personId="{BF6CA00D-3CFB-416F-9D62-C874F0082181}" id="{0683D7CC-9E3E-4CA2-B94A-A652BE910AD3}">
    <text>Invoice</text>
  </threadedComment>
  <threadedComment ref="B16" dT="2024-09-24T10:42:39.04" personId="{BF6CA00D-3CFB-416F-9D62-C874F0082181}" id="{5B457B42-A55C-440A-A0B6-B6A69DC7D7B4}">
    <text>Carpet</text>
  </threadedComment>
  <threadedComment ref="B17" dT="2024-09-24T11:07:26.09" personId="{BF6CA00D-3CFB-416F-9D62-C874F0082181}" id="{B471187B-6779-44E7-9834-2B6687F6256E}">
    <text xml:space="preserve">Multi-Buy Discount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C337-5C54-40F9-8B35-EC25296E4841}">
  <sheetPr>
    <pageSetUpPr fitToPage="1"/>
  </sheetPr>
  <dimension ref="A1:H42"/>
  <sheetViews>
    <sheetView showGridLines="0" workbookViewId="0">
      <selection activeCell="J22" sqref="J22"/>
    </sheetView>
  </sheetViews>
  <sheetFormatPr defaultRowHeight="14.4" x14ac:dyDescent="0.3"/>
  <cols>
    <col min="3" max="3" width="15.33203125" customWidth="1"/>
    <col min="4" max="4" width="10.88671875" customWidth="1"/>
    <col min="5" max="5" width="6" customWidth="1"/>
    <col min="7" max="7" width="9.44140625" customWidth="1"/>
    <col min="8" max="8" width="21.33203125" customWidth="1"/>
  </cols>
  <sheetData>
    <row r="1" spans="1:8" ht="14.4" customHeight="1" x14ac:dyDescent="0.3">
      <c r="A1" s="58"/>
      <c r="B1" s="59"/>
      <c r="C1" s="29"/>
      <c r="D1" s="67" t="s">
        <v>0</v>
      </c>
      <c r="E1" s="67"/>
      <c r="F1" s="67"/>
      <c r="G1" s="67"/>
      <c r="H1" s="68"/>
    </row>
    <row r="2" spans="1:8" ht="14.4" customHeight="1" x14ac:dyDescent="0.3">
      <c r="A2" s="60"/>
      <c r="B2" s="61"/>
      <c r="C2" s="30"/>
      <c r="D2" s="69"/>
      <c r="E2" s="69"/>
      <c r="F2" s="69"/>
      <c r="G2" s="69"/>
      <c r="H2" s="70"/>
    </row>
    <row r="3" spans="1:8" x14ac:dyDescent="0.3">
      <c r="A3" s="60"/>
      <c r="B3" s="61"/>
      <c r="C3" s="62" t="s">
        <v>1</v>
      </c>
      <c r="D3" s="62"/>
      <c r="E3" s="62"/>
      <c r="F3" s="62"/>
      <c r="G3" s="63" t="s">
        <v>2</v>
      </c>
      <c r="H3" s="64"/>
    </row>
    <row r="4" spans="1:8" x14ac:dyDescent="0.3">
      <c r="A4" s="60"/>
      <c r="B4" s="61"/>
      <c r="C4" s="62" t="s">
        <v>3</v>
      </c>
      <c r="D4" s="62"/>
      <c r="E4" s="62"/>
      <c r="F4" s="62"/>
      <c r="G4" s="65">
        <v>45419</v>
      </c>
      <c r="H4" s="66"/>
    </row>
    <row r="5" spans="1:8" ht="3.6" customHeight="1" x14ac:dyDescent="0.3">
      <c r="A5" s="2"/>
      <c r="B5" s="1"/>
      <c r="C5" s="1"/>
      <c r="D5" s="1"/>
      <c r="E5" s="1"/>
      <c r="F5" s="1"/>
      <c r="G5" s="1"/>
      <c r="H5" s="3"/>
    </row>
    <row r="6" spans="1:8" ht="21" x14ac:dyDescent="0.4">
      <c r="A6" s="4" t="s">
        <v>4</v>
      </c>
      <c r="H6" s="5"/>
    </row>
    <row r="7" spans="1:8" x14ac:dyDescent="0.3">
      <c r="A7" s="72" t="s">
        <v>5</v>
      </c>
      <c r="B7" s="73"/>
      <c r="C7" s="73"/>
      <c r="D7" s="73"/>
      <c r="E7" s="73"/>
      <c r="F7" s="73"/>
      <c r="G7" s="73"/>
      <c r="H7" s="74"/>
    </row>
    <row r="8" spans="1:8" x14ac:dyDescent="0.3">
      <c r="A8" s="75"/>
      <c r="B8" s="76"/>
      <c r="C8" s="76"/>
      <c r="D8" s="76"/>
      <c r="E8" s="76"/>
      <c r="F8" s="76"/>
      <c r="G8" s="76"/>
      <c r="H8" s="77"/>
    </row>
    <row r="9" spans="1:8" x14ac:dyDescent="0.3">
      <c r="A9" s="78"/>
      <c r="B9" s="79"/>
      <c r="C9" s="79"/>
      <c r="D9" s="79"/>
      <c r="E9" s="79"/>
      <c r="F9" s="79"/>
      <c r="G9" s="79"/>
      <c r="H9" s="80"/>
    </row>
    <row r="10" spans="1:8" x14ac:dyDescent="0.3">
      <c r="A10" s="81" t="s">
        <v>6</v>
      </c>
      <c r="B10" s="82"/>
      <c r="C10" s="82"/>
      <c r="D10" s="82"/>
      <c r="E10" s="82" t="s">
        <v>7</v>
      </c>
      <c r="F10" s="82"/>
      <c r="G10" s="82"/>
      <c r="H10" s="83"/>
    </row>
    <row r="11" spans="1:8" ht="14.4" customHeight="1" x14ac:dyDescent="0.3">
      <c r="A11" s="84" t="s">
        <v>8</v>
      </c>
      <c r="B11" s="85"/>
      <c r="C11" s="85"/>
      <c r="D11" s="85"/>
      <c r="E11" s="85" t="str">
        <f>A11</f>
        <v>Steel Horse Auto Assembly Chennai Ltd</v>
      </c>
      <c r="F11" s="85"/>
      <c r="G11" s="85"/>
      <c r="H11" s="86"/>
    </row>
    <row r="12" spans="1:8" x14ac:dyDescent="0.3">
      <c r="A12" s="87" t="s">
        <v>9</v>
      </c>
      <c r="B12" s="88"/>
      <c r="C12" s="88"/>
      <c r="D12" s="88"/>
      <c r="E12" s="89" t="str">
        <f t="shared" ref="E12:E13" si="0">A12</f>
        <v>House No 249,Road No 11,Rajiv Gandhi Nagar,</v>
      </c>
      <c r="F12" s="89"/>
      <c r="G12" s="89"/>
      <c r="H12" s="90"/>
    </row>
    <row r="13" spans="1:8" x14ac:dyDescent="0.3">
      <c r="A13" s="87" t="s">
        <v>10</v>
      </c>
      <c r="B13" s="88"/>
      <c r="C13" s="88"/>
      <c r="D13" s="88"/>
      <c r="E13" s="89" t="str">
        <f t="shared" si="0"/>
        <v>Chennai,Tamil Nadu,India</v>
      </c>
      <c r="F13" s="89"/>
      <c r="G13" s="89"/>
      <c r="H13" s="90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ht="27.6" x14ac:dyDescent="0.3">
      <c r="A15" s="7" t="s">
        <v>11</v>
      </c>
      <c r="B15" s="71" t="s">
        <v>12</v>
      </c>
      <c r="C15" s="71"/>
      <c r="D15" s="71"/>
      <c r="E15" s="71"/>
      <c r="F15" s="8" t="s">
        <v>13</v>
      </c>
      <c r="G15" s="9" t="s">
        <v>14</v>
      </c>
      <c r="H15" s="10" t="s">
        <v>15</v>
      </c>
    </row>
    <row r="16" spans="1:8" ht="14.4" customHeight="1" x14ac:dyDescent="0.3">
      <c r="A16" s="15">
        <v>1</v>
      </c>
      <c r="B16" s="98" t="s">
        <v>16</v>
      </c>
      <c r="C16" s="98"/>
      <c r="D16" s="98"/>
      <c r="E16" s="98"/>
      <c r="F16" s="16">
        <v>1942</v>
      </c>
      <c r="G16" s="17">
        <v>2000</v>
      </c>
      <c r="H16" s="18">
        <f>F16*G16</f>
        <v>3884000</v>
      </c>
    </row>
    <row r="17" spans="1:8" x14ac:dyDescent="0.3">
      <c r="A17" s="15">
        <v>2</v>
      </c>
      <c r="B17" s="98" t="s">
        <v>17</v>
      </c>
      <c r="C17" s="98"/>
      <c r="D17" s="98"/>
      <c r="E17" s="98"/>
      <c r="F17" s="16">
        <v>2231</v>
      </c>
      <c r="G17" s="17">
        <v>1000</v>
      </c>
      <c r="H17" s="18">
        <f>F17*G17</f>
        <v>2231000</v>
      </c>
    </row>
    <row r="18" spans="1:8" x14ac:dyDescent="0.3">
      <c r="A18" s="15"/>
      <c r="B18" s="98"/>
      <c r="C18" s="98"/>
      <c r="D18" s="98"/>
      <c r="E18" s="98"/>
      <c r="F18" s="16"/>
      <c r="G18" s="17"/>
      <c r="H18" s="18"/>
    </row>
    <row r="19" spans="1:8" x14ac:dyDescent="0.3">
      <c r="A19" s="15"/>
      <c r="B19" s="16"/>
      <c r="C19" s="16"/>
      <c r="D19" s="16"/>
      <c r="E19" s="16"/>
      <c r="F19" s="16"/>
      <c r="G19" s="19"/>
      <c r="H19" s="18"/>
    </row>
    <row r="20" spans="1:8" x14ac:dyDescent="0.3">
      <c r="A20" s="15"/>
      <c r="B20" s="16"/>
      <c r="C20" s="16"/>
      <c r="D20" s="16"/>
      <c r="E20" s="16"/>
      <c r="F20" s="16"/>
      <c r="G20" s="19"/>
      <c r="H20" s="18"/>
    </row>
    <row r="21" spans="1:8" x14ac:dyDescent="0.3">
      <c r="A21" s="15"/>
      <c r="B21" s="16"/>
      <c r="C21" s="16"/>
      <c r="D21" s="16"/>
      <c r="E21" s="16"/>
      <c r="F21" s="16"/>
      <c r="G21" s="19"/>
      <c r="H21" s="18"/>
    </row>
    <row r="22" spans="1:8" x14ac:dyDescent="0.3">
      <c r="A22" s="15"/>
      <c r="B22" s="16"/>
      <c r="C22" s="16"/>
      <c r="D22" s="16"/>
      <c r="E22" s="16"/>
      <c r="F22" s="16"/>
      <c r="G22" s="19"/>
      <c r="H22" s="18"/>
    </row>
    <row r="23" spans="1:8" x14ac:dyDescent="0.3">
      <c r="A23" s="15"/>
      <c r="B23" s="16"/>
      <c r="C23" s="16"/>
      <c r="D23" s="16"/>
      <c r="E23" s="16"/>
      <c r="F23" s="16"/>
      <c r="G23" s="19"/>
      <c r="H23" s="18"/>
    </row>
    <row r="24" spans="1:8" x14ac:dyDescent="0.3">
      <c r="A24" s="15"/>
      <c r="B24" s="16"/>
      <c r="C24" s="16"/>
      <c r="D24" s="16"/>
      <c r="E24" s="16"/>
      <c r="F24" s="16"/>
      <c r="G24" s="19"/>
      <c r="H24" s="18"/>
    </row>
    <row r="25" spans="1:8" x14ac:dyDescent="0.3">
      <c r="A25" s="15"/>
      <c r="B25" s="16"/>
      <c r="C25" s="16"/>
      <c r="D25" s="16"/>
      <c r="E25" s="16"/>
      <c r="F25" s="16"/>
      <c r="G25" s="19"/>
      <c r="H25" s="18"/>
    </row>
    <row r="26" spans="1:8" x14ac:dyDescent="0.3">
      <c r="A26" s="15"/>
      <c r="B26" s="16"/>
      <c r="C26" s="16"/>
      <c r="D26" s="16"/>
      <c r="E26" s="16"/>
      <c r="F26" s="16"/>
      <c r="G26" s="19"/>
      <c r="H26" s="18"/>
    </row>
    <row r="27" spans="1:8" x14ac:dyDescent="0.3">
      <c r="A27" s="15"/>
      <c r="B27" s="16"/>
      <c r="C27" s="16"/>
      <c r="D27" s="16"/>
      <c r="E27" s="16"/>
      <c r="F27" s="16"/>
      <c r="G27" s="19"/>
      <c r="H27" s="20"/>
    </row>
    <row r="28" spans="1:8" x14ac:dyDescent="0.3">
      <c r="A28" s="15"/>
      <c r="B28" s="16"/>
      <c r="C28" s="16"/>
      <c r="D28" s="16"/>
      <c r="E28" s="16"/>
      <c r="F28" s="16"/>
      <c r="G28" s="19"/>
      <c r="H28" s="20"/>
    </row>
    <row r="29" spans="1:8" x14ac:dyDescent="0.3">
      <c r="A29" s="15"/>
      <c r="B29" s="16"/>
      <c r="C29" s="16"/>
      <c r="D29" s="16"/>
      <c r="E29" s="16"/>
      <c r="F29" s="16"/>
      <c r="G29" s="19"/>
      <c r="H29" s="20"/>
    </row>
    <row r="30" spans="1:8" x14ac:dyDescent="0.3">
      <c r="A30" s="15"/>
      <c r="B30" s="16"/>
      <c r="C30" s="16"/>
      <c r="D30" s="16"/>
      <c r="E30" s="16"/>
      <c r="F30" s="16"/>
      <c r="G30" s="19"/>
      <c r="H30" s="20"/>
    </row>
    <row r="31" spans="1:8" x14ac:dyDescent="0.3">
      <c r="A31" s="15"/>
      <c r="B31" s="16"/>
      <c r="C31" s="16"/>
      <c r="D31" s="16"/>
      <c r="E31" s="16"/>
      <c r="F31" s="16"/>
      <c r="G31" s="19"/>
      <c r="H31" s="20"/>
    </row>
    <row r="32" spans="1:8" x14ac:dyDescent="0.3">
      <c r="A32" s="15"/>
      <c r="B32" s="16"/>
      <c r="C32" s="16"/>
      <c r="D32" s="16"/>
      <c r="E32" s="16"/>
      <c r="F32" s="16"/>
      <c r="G32" s="19"/>
      <c r="H32" s="20"/>
    </row>
    <row r="33" spans="1:8" x14ac:dyDescent="0.3">
      <c r="A33" s="15"/>
      <c r="B33" s="16"/>
      <c r="C33" s="16"/>
      <c r="D33" s="16"/>
      <c r="E33" s="16"/>
      <c r="F33" s="16"/>
      <c r="G33" s="19"/>
      <c r="H33" s="20"/>
    </row>
    <row r="34" spans="1:8" x14ac:dyDescent="0.3">
      <c r="A34" s="15"/>
      <c r="B34" s="16"/>
      <c r="C34" s="16"/>
      <c r="D34" s="16"/>
      <c r="E34" s="16"/>
      <c r="F34" s="16"/>
      <c r="G34" s="19"/>
      <c r="H34" s="20"/>
    </row>
    <row r="35" spans="1:8" x14ac:dyDescent="0.3">
      <c r="A35" s="15"/>
      <c r="B35" s="98"/>
      <c r="C35" s="98"/>
      <c r="D35" s="98"/>
      <c r="E35" s="98"/>
      <c r="F35" s="16"/>
      <c r="G35" s="19"/>
      <c r="H35" s="20"/>
    </row>
    <row r="36" spans="1:8" x14ac:dyDescent="0.3">
      <c r="A36" s="15"/>
      <c r="B36" s="99"/>
      <c r="C36" s="99"/>
      <c r="D36" s="99"/>
      <c r="E36" s="99"/>
      <c r="F36" s="13"/>
      <c r="G36" s="21"/>
      <c r="H36" s="20"/>
    </row>
    <row r="37" spans="1:8" x14ac:dyDescent="0.3">
      <c r="A37" s="15"/>
      <c r="B37" s="98"/>
      <c r="C37" s="98"/>
      <c r="D37" s="98"/>
      <c r="E37" s="98"/>
      <c r="F37" s="16"/>
      <c r="G37" s="19"/>
      <c r="H37" s="20"/>
    </row>
    <row r="38" spans="1:8" ht="21" customHeight="1" x14ac:dyDescent="0.3">
      <c r="A38" s="100"/>
      <c r="B38" s="101"/>
      <c r="C38" s="22"/>
      <c r="D38" s="22"/>
      <c r="E38" s="106" t="s">
        <v>18</v>
      </c>
      <c r="F38" s="106"/>
      <c r="G38" s="106"/>
      <c r="H38" s="23">
        <f>SUM(H16:H36)</f>
        <v>6115000</v>
      </c>
    </row>
    <row r="39" spans="1:8" ht="21" x14ac:dyDescent="0.3">
      <c r="A39" s="31"/>
      <c r="B39" s="22"/>
      <c r="C39" s="22"/>
      <c r="D39" s="22"/>
      <c r="E39" s="102" t="s">
        <v>19</v>
      </c>
      <c r="F39" s="102"/>
      <c r="G39" s="102"/>
      <c r="H39" s="26">
        <f>H38</f>
        <v>6115000</v>
      </c>
    </row>
    <row r="40" spans="1:8" ht="18.600000000000001" customHeight="1" x14ac:dyDescent="0.3">
      <c r="A40" s="24"/>
      <c r="B40" s="25"/>
      <c r="C40" s="25"/>
      <c r="D40" s="6"/>
      <c r="E40" s="103" t="s">
        <v>20</v>
      </c>
      <c r="F40" s="103"/>
      <c r="G40" s="103"/>
      <c r="H40" s="27">
        <f>H39*18%</f>
        <v>1100700</v>
      </c>
    </row>
    <row r="41" spans="1:8" x14ac:dyDescent="0.3">
      <c r="A41" s="24"/>
      <c r="B41" s="25"/>
      <c r="C41" s="25"/>
      <c r="D41" s="6"/>
      <c r="E41" s="104" t="s">
        <v>21</v>
      </c>
      <c r="F41" s="104"/>
      <c r="G41" s="104"/>
      <c r="H41" s="94">
        <f>H39+H40</f>
        <v>7215700</v>
      </c>
    </row>
    <row r="42" spans="1:8" ht="15" thickBot="1" x14ac:dyDescent="0.35">
      <c r="A42" s="96"/>
      <c r="B42" s="97"/>
      <c r="C42" s="97"/>
      <c r="D42" s="28"/>
      <c r="E42" s="105"/>
      <c r="F42" s="105"/>
      <c r="G42" s="105"/>
      <c r="H42" s="95"/>
    </row>
  </sheetData>
  <mergeCells count="32">
    <mergeCell ref="H41:H42"/>
    <mergeCell ref="A42:C42"/>
    <mergeCell ref="B16:E16"/>
    <mergeCell ref="B17:E17"/>
    <mergeCell ref="B35:E35"/>
    <mergeCell ref="B36:E36"/>
    <mergeCell ref="A38:B38"/>
    <mergeCell ref="E39:G39"/>
    <mergeCell ref="E40:G40"/>
    <mergeCell ref="E41:G42"/>
    <mergeCell ref="B37:E37"/>
    <mergeCell ref="B18:E18"/>
    <mergeCell ref="E38:G38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33CD-966D-46A6-AC9D-E1CC5EA27AD1}">
  <sheetPr>
    <pageSetUpPr fitToPage="1"/>
  </sheetPr>
  <dimension ref="A1:K42"/>
  <sheetViews>
    <sheetView showGridLines="0" workbookViewId="0">
      <selection activeCell="K20" sqref="K20"/>
    </sheetView>
  </sheetViews>
  <sheetFormatPr defaultRowHeight="14.4" x14ac:dyDescent="0.3"/>
  <cols>
    <col min="3" max="3" width="15.33203125" customWidth="1"/>
    <col min="4" max="4" width="13.44140625" customWidth="1"/>
    <col min="5" max="5" width="6" customWidth="1"/>
    <col min="7" max="7" width="9.44140625" customWidth="1"/>
    <col min="8" max="8" width="19" customWidth="1"/>
    <col min="11" max="11" width="13.6640625" bestFit="1" customWidth="1"/>
  </cols>
  <sheetData>
    <row r="1" spans="1:8" ht="14.4" customHeight="1" x14ac:dyDescent="0.3">
      <c r="A1" s="58"/>
      <c r="B1" s="59"/>
      <c r="C1" s="29"/>
      <c r="D1" s="67" t="s">
        <v>0</v>
      </c>
      <c r="E1" s="67"/>
      <c r="F1" s="67"/>
      <c r="G1" s="67"/>
      <c r="H1" s="68"/>
    </row>
    <row r="2" spans="1:8" ht="14.4" customHeight="1" x14ac:dyDescent="0.3">
      <c r="A2" s="60"/>
      <c r="B2" s="61"/>
      <c r="C2" s="30"/>
      <c r="D2" s="69"/>
      <c r="E2" s="69"/>
      <c r="F2" s="69"/>
      <c r="G2" s="69"/>
      <c r="H2" s="70"/>
    </row>
    <row r="3" spans="1:8" x14ac:dyDescent="0.3">
      <c r="A3" s="60"/>
      <c r="B3" s="61"/>
      <c r="C3" s="62" t="s">
        <v>1</v>
      </c>
      <c r="D3" s="62"/>
      <c r="E3" s="62"/>
      <c r="F3" s="62"/>
      <c r="G3" s="63" t="s">
        <v>22</v>
      </c>
      <c r="H3" s="64"/>
    </row>
    <row r="4" spans="1:8" x14ac:dyDescent="0.3">
      <c r="A4" s="60"/>
      <c r="B4" s="61"/>
      <c r="C4" s="62" t="s">
        <v>3</v>
      </c>
      <c r="D4" s="62"/>
      <c r="E4" s="62"/>
      <c r="F4" s="62"/>
      <c r="G4" s="65">
        <v>45456</v>
      </c>
      <c r="H4" s="66"/>
    </row>
    <row r="5" spans="1:8" ht="3.6" customHeight="1" x14ac:dyDescent="0.3">
      <c r="A5" s="2"/>
      <c r="B5" s="1"/>
      <c r="C5" s="1"/>
      <c r="D5" s="1"/>
      <c r="E5" s="1"/>
      <c r="F5" s="1"/>
      <c r="G5" s="1"/>
      <c r="H5" s="3"/>
    </row>
    <row r="6" spans="1:8" ht="21" x14ac:dyDescent="0.4">
      <c r="A6" s="4" t="s">
        <v>4</v>
      </c>
      <c r="H6" s="5"/>
    </row>
    <row r="7" spans="1:8" x14ac:dyDescent="0.3">
      <c r="A7" s="72" t="s">
        <v>5</v>
      </c>
      <c r="B7" s="73"/>
      <c r="C7" s="73"/>
      <c r="D7" s="73"/>
      <c r="E7" s="73"/>
      <c r="F7" s="73"/>
      <c r="G7" s="73"/>
      <c r="H7" s="74"/>
    </row>
    <row r="8" spans="1:8" x14ac:dyDescent="0.3">
      <c r="A8" s="75"/>
      <c r="B8" s="76"/>
      <c r="C8" s="76"/>
      <c r="D8" s="76"/>
      <c r="E8" s="76"/>
      <c r="F8" s="76"/>
      <c r="G8" s="76"/>
      <c r="H8" s="77"/>
    </row>
    <row r="9" spans="1:8" x14ac:dyDescent="0.3">
      <c r="A9" s="78"/>
      <c r="B9" s="79"/>
      <c r="C9" s="79"/>
      <c r="D9" s="79"/>
      <c r="E9" s="79"/>
      <c r="F9" s="79"/>
      <c r="G9" s="79"/>
      <c r="H9" s="80"/>
    </row>
    <row r="10" spans="1:8" x14ac:dyDescent="0.3">
      <c r="A10" s="81" t="s">
        <v>6</v>
      </c>
      <c r="B10" s="82"/>
      <c r="C10" s="82"/>
      <c r="D10" s="82"/>
      <c r="E10" s="82" t="s">
        <v>7</v>
      </c>
      <c r="F10" s="82"/>
      <c r="G10" s="82"/>
      <c r="H10" s="83"/>
    </row>
    <row r="11" spans="1:8" ht="14.4" customHeight="1" x14ac:dyDescent="0.3">
      <c r="A11" s="84" t="s">
        <v>23</v>
      </c>
      <c r="B11" s="85"/>
      <c r="C11" s="85"/>
      <c r="D11" s="85"/>
      <c r="E11" s="85" t="str">
        <f>A11</f>
        <v>Steel Horse Auto Inc</v>
      </c>
      <c r="F11" s="85"/>
      <c r="G11" s="85"/>
      <c r="H11" s="86"/>
    </row>
    <row r="12" spans="1:8" x14ac:dyDescent="0.3">
      <c r="A12" s="87" t="s">
        <v>24</v>
      </c>
      <c r="B12" s="88"/>
      <c r="C12" s="88"/>
      <c r="D12" s="88"/>
      <c r="E12" s="89" t="str">
        <f t="shared" ref="E12:E13" si="0">A12</f>
        <v xml:space="preserve">265 Lopez Orchard, East John, Michigan, </v>
      </c>
      <c r="F12" s="89"/>
      <c r="G12" s="89"/>
      <c r="H12" s="90"/>
    </row>
    <row r="13" spans="1:8" x14ac:dyDescent="0.3">
      <c r="A13" s="87" t="s">
        <v>25</v>
      </c>
      <c r="B13" s="88"/>
      <c r="C13" s="88"/>
      <c r="D13" s="88"/>
      <c r="E13" s="89" t="str">
        <f t="shared" si="0"/>
        <v>Unidaded States, 43306</v>
      </c>
      <c r="F13" s="89"/>
      <c r="G13" s="89"/>
      <c r="H13" s="90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ht="27.6" x14ac:dyDescent="0.3">
      <c r="A15" s="7" t="s">
        <v>11</v>
      </c>
      <c r="B15" s="71" t="s">
        <v>12</v>
      </c>
      <c r="C15" s="71"/>
      <c r="D15" s="71"/>
      <c r="E15" s="71"/>
      <c r="F15" s="8" t="s">
        <v>13</v>
      </c>
      <c r="G15" s="9" t="s">
        <v>14</v>
      </c>
      <c r="H15" s="10" t="s">
        <v>15</v>
      </c>
    </row>
    <row r="16" spans="1:8" x14ac:dyDescent="0.3">
      <c r="A16" s="11">
        <v>1</v>
      </c>
      <c r="B16" s="99" t="s">
        <v>26</v>
      </c>
      <c r="C16" s="99"/>
      <c r="D16" s="99"/>
      <c r="E16" s="99"/>
      <c r="F16" s="13">
        <v>1000</v>
      </c>
      <c r="G16" s="13">
        <v>2040</v>
      </c>
      <c r="H16" s="14">
        <f>+F16*G16</f>
        <v>2040000</v>
      </c>
    </row>
    <row r="17" spans="1:11" x14ac:dyDescent="0.3">
      <c r="A17" s="15">
        <v>2</v>
      </c>
      <c r="B17" s="99" t="s">
        <v>27</v>
      </c>
      <c r="C17" s="99"/>
      <c r="D17" s="99"/>
      <c r="E17" s="99"/>
      <c r="F17" s="13">
        <v>2288</v>
      </c>
      <c r="G17" s="13">
        <v>1000</v>
      </c>
      <c r="H17" s="14">
        <f>+F17*G17</f>
        <v>2288000</v>
      </c>
    </row>
    <row r="18" spans="1:11" x14ac:dyDescent="0.3">
      <c r="A18" s="15">
        <v>3</v>
      </c>
      <c r="B18" s="99" t="s">
        <v>28</v>
      </c>
      <c r="C18" s="99"/>
      <c r="D18" s="99"/>
      <c r="E18" s="99"/>
      <c r="F18" s="13">
        <v>2308</v>
      </c>
      <c r="G18" s="13">
        <v>2000</v>
      </c>
      <c r="H18" s="14">
        <f>+F18*G18</f>
        <v>4616000</v>
      </c>
    </row>
    <row r="19" spans="1:11" x14ac:dyDescent="0.3">
      <c r="A19" s="15"/>
      <c r="B19" s="12"/>
      <c r="C19" s="12"/>
      <c r="D19" s="12"/>
      <c r="E19" s="12"/>
      <c r="F19" s="13"/>
      <c r="G19" s="21"/>
      <c r="H19" s="18"/>
    </row>
    <row r="20" spans="1:11" x14ac:dyDescent="0.3">
      <c r="A20" s="15"/>
      <c r="B20" s="12"/>
      <c r="C20" s="12"/>
      <c r="D20" s="12"/>
      <c r="E20" s="12"/>
      <c r="F20" s="13"/>
      <c r="G20" s="21"/>
      <c r="H20" s="18"/>
    </row>
    <row r="21" spans="1:11" x14ac:dyDescent="0.3">
      <c r="A21" s="15"/>
      <c r="B21" s="12"/>
      <c r="C21" s="12"/>
      <c r="D21" s="12"/>
      <c r="E21" s="12"/>
      <c r="F21" s="13"/>
      <c r="G21" s="21"/>
      <c r="H21" s="18"/>
    </row>
    <row r="22" spans="1:11" x14ac:dyDescent="0.3">
      <c r="A22" s="15"/>
      <c r="B22" s="12"/>
      <c r="C22" s="12"/>
      <c r="D22" s="12"/>
      <c r="E22" s="12"/>
      <c r="F22" s="13"/>
      <c r="G22" s="21"/>
      <c r="H22" s="18"/>
    </row>
    <row r="23" spans="1:11" x14ac:dyDescent="0.3">
      <c r="A23" s="15"/>
      <c r="B23" s="12"/>
      <c r="C23" s="12"/>
      <c r="D23" s="12"/>
      <c r="E23" s="12"/>
      <c r="F23" s="13"/>
      <c r="G23" s="21"/>
      <c r="H23" s="18"/>
    </row>
    <row r="24" spans="1:11" x14ac:dyDescent="0.3">
      <c r="A24" s="15"/>
      <c r="B24" s="12"/>
      <c r="C24" s="12"/>
      <c r="D24" s="12"/>
      <c r="E24" s="12"/>
      <c r="F24" s="13"/>
      <c r="G24" s="21"/>
      <c r="H24" s="18"/>
    </row>
    <row r="25" spans="1:11" x14ac:dyDescent="0.3">
      <c r="A25" s="15"/>
      <c r="B25" s="12"/>
      <c r="C25" s="12"/>
      <c r="D25" s="12"/>
      <c r="E25" s="12"/>
      <c r="F25" s="13"/>
      <c r="G25" s="21"/>
      <c r="H25" s="18"/>
    </row>
    <row r="26" spans="1:11" x14ac:dyDescent="0.3">
      <c r="A26" s="15"/>
      <c r="B26" s="12"/>
      <c r="C26" s="12"/>
      <c r="D26" s="12"/>
      <c r="E26" s="12"/>
      <c r="F26" s="13"/>
      <c r="G26" s="21"/>
      <c r="H26" s="18"/>
    </row>
    <row r="27" spans="1:11" x14ac:dyDescent="0.3">
      <c r="A27" s="15"/>
      <c r="B27" s="12"/>
      <c r="C27" s="12"/>
      <c r="D27" s="12"/>
      <c r="E27" s="12"/>
      <c r="F27" s="13"/>
      <c r="G27" s="21"/>
      <c r="H27" s="20"/>
    </row>
    <row r="28" spans="1:11" ht="15.6" x14ac:dyDescent="0.3">
      <c r="A28" s="15"/>
      <c r="B28" s="12"/>
      <c r="C28" s="12"/>
      <c r="D28" s="12"/>
      <c r="E28" s="12"/>
      <c r="F28" s="13"/>
      <c r="G28" s="21"/>
      <c r="H28" s="20"/>
      <c r="K28" s="33"/>
    </row>
    <row r="29" spans="1:11" x14ac:dyDescent="0.3">
      <c r="A29" s="15"/>
      <c r="B29" s="12"/>
      <c r="C29" s="12"/>
      <c r="D29" s="12"/>
      <c r="E29" s="12"/>
      <c r="F29" s="13"/>
      <c r="G29" s="21"/>
      <c r="H29" s="20"/>
      <c r="K29" s="34"/>
    </row>
    <row r="30" spans="1:11" x14ac:dyDescent="0.3">
      <c r="A30" s="15"/>
      <c r="B30" s="12"/>
      <c r="C30" s="12"/>
      <c r="D30" s="12"/>
      <c r="E30" s="12"/>
      <c r="F30" s="13"/>
      <c r="G30" s="21"/>
      <c r="H30" s="20"/>
    </row>
    <row r="31" spans="1:11" x14ac:dyDescent="0.3">
      <c r="A31" s="15"/>
      <c r="B31" s="12"/>
      <c r="C31" s="12"/>
      <c r="D31" s="12"/>
      <c r="E31" s="12"/>
      <c r="F31" s="13"/>
      <c r="G31" s="21"/>
      <c r="H31" s="20"/>
    </row>
    <row r="32" spans="1:11" x14ac:dyDescent="0.3">
      <c r="A32" s="15"/>
      <c r="B32" s="12"/>
      <c r="C32" s="12"/>
      <c r="D32" s="12"/>
      <c r="E32" s="12"/>
      <c r="F32" s="13"/>
      <c r="G32" s="21"/>
      <c r="H32" s="20"/>
    </row>
    <row r="33" spans="1:8" x14ac:dyDescent="0.3">
      <c r="A33" s="15"/>
      <c r="B33" s="12"/>
      <c r="C33" s="12"/>
      <c r="D33" s="12"/>
      <c r="E33" s="12"/>
      <c r="F33" s="13"/>
      <c r="G33" s="21"/>
      <c r="H33" s="20"/>
    </row>
    <row r="34" spans="1:8" x14ac:dyDescent="0.3">
      <c r="A34" s="15"/>
      <c r="B34" s="12"/>
      <c r="C34" s="12"/>
      <c r="D34" s="12"/>
      <c r="E34" s="12"/>
      <c r="F34" s="13"/>
      <c r="G34" s="21"/>
      <c r="H34" s="20"/>
    </row>
    <row r="35" spans="1:8" x14ac:dyDescent="0.3">
      <c r="A35" s="15"/>
      <c r="B35" s="12"/>
      <c r="C35" s="12"/>
      <c r="D35" s="12"/>
      <c r="E35" s="12"/>
      <c r="F35" s="13"/>
      <c r="G35" s="21"/>
      <c r="H35" s="20"/>
    </row>
    <row r="36" spans="1:8" x14ac:dyDescent="0.3">
      <c r="A36" s="15"/>
      <c r="B36" s="12"/>
      <c r="C36" s="12"/>
      <c r="D36" s="12"/>
      <c r="E36" s="12"/>
      <c r="F36" s="13"/>
      <c r="G36" s="21"/>
      <c r="H36" s="20"/>
    </row>
    <row r="37" spans="1:8" ht="21" customHeight="1" x14ac:dyDescent="0.3">
      <c r="A37" s="100"/>
      <c r="B37" s="101"/>
      <c r="C37" s="22"/>
      <c r="D37" s="22"/>
      <c r="E37" s="106" t="s">
        <v>18</v>
      </c>
      <c r="F37" s="106"/>
      <c r="G37" s="106"/>
      <c r="H37" s="32">
        <v>8944000</v>
      </c>
    </row>
    <row r="38" spans="1:8" ht="21" x14ac:dyDescent="0.3">
      <c r="A38" s="31"/>
      <c r="B38" s="22"/>
      <c r="C38" s="22"/>
      <c r="D38" s="22"/>
      <c r="E38" s="102" t="s">
        <v>19</v>
      </c>
      <c r="F38" s="102"/>
      <c r="G38" s="102"/>
      <c r="H38" s="26">
        <f>H37</f>
        <v>8944000</v>
      </c>
    </row>
    <row r="39" spans="1:8" ht="21" x14ac:dyDescent="0.3">
      <c r="A39" s="24"/>
      <c r="B39" s="25"/>
      <c r="C39" s="25"/>
      <c r="D39" s="6"/>
      <c r="E39" s="102" t="s">
        <v>29</v>
      </c>
      <c r="F39" s="102"/>
      <c r="G39" s="102"/>
      <c r="H39" s="26">
        <v>0</v>
      </c>
    </row>
    <row r="40" spans="1:8" ht="18.600000000000001" customHeight="1" x14ac:dyDescent="0.3">
      <c r="A40" s="24"/>
      <c r="B40" s="25"/>
      <c r="C40" s="25"/>
      <c r="D40" s="6"/>
      <c r="E40" s="103" t="s">
        <v>20</v>
      </c>
      <c r="F40" s="103"/>
      <c r="G40" s="103"/>
      <c r="H40" s="27">
        <f>H38*18%</f>
        <v>1609920</v>
      </c>
    </row>
    <row r="41" spans="1:8" x14ac:dyDescent="0.3">
      <c r="A41" s="24"/>
      <c r="B41" s="25"/>
      <c r="C41" s="25"/>
      <c r="D41" s="6"/>
      <c r="E41" s="104" t="s">
        <v>21</v>
      </c>
      <c r="F41" s="104"/>
      <c r="G41" s="104"/>
      <c r="H41" s="94">
        <f>H38-H39+H40</f>
        <v>10553920</v>
      </c>
    </row>
    <row r="42" spans="1:8" ht="15" thickBot="1" x14ac:dyDescent="0.35">
      <c r="A42" s="96"/>
      <c r="B42" s="97"/>
      <c r="C42" s="97"/>
      <c r="D42" s="28"/>
      <c r="E42" s="105"/>
      <c r="F42" s="105"/>
      <c r="G42" s="105"/>
      <c r="H42" s="95"/>
    </row>
  </sheetData>
  <mergeCells count="30">
    <mergeCell ref="B18:E18"/>
    <mergeCell ref="E40:G40"/>
    <mergeCell ref="E41:G42"/>
    <mergeCell ref="H41:H42"/>
    <mergeCell ref="A42:C42"/>
    <mergeCell ref="A37:B37"/>
    <mergeCell ref="E38:G38"/>
    <mergeCell ref="E39:G39"/>
    <mergeCell ref="E37:G37"/>
    <mergeCell ref="A14:H14"/>
    <mergeCell ref="B15:E15"/>
    <mergeCell ref="B16:E16"/>
    <mergeCell ref="B17:E17"/>
    <mergeCell ref="A11:D11"/>
    <mergeCell ref="E11:H11"/>
    <mergeCell ref="A12:D12"/>
    <mergeCell ref="E12:H12"/>
    <mergeCell ref="A13:D13"/>
    <mergeCell ref="E13:H13"/>
    <mergeCell ref="A7:H7"/>
    <mergeCell ref="A8:H8"/>
    <mergeCell ref="A9:H9"/>
    <mergeCell ref="A10:D10"/>
    <mergeCell ref="E10:H10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245-2F63-451B-95DC-6DC6FD2B3990}">
  <dimension ref="A1:H42"/>
  <sheetViews>
    <sheetView showGridLines="0" workbookViewId="0">
      <selection activeCell="M9" sqref="M9"/>
    </sheetView>
  </sheetViews>
  <sheetFormatPr defaultRowHeight="14.4" x14ac:dyDescent="0.3"/>
  <cols>
    <col min="3" max="3" width="15.33203125" customWidth="1"/>
    <col min="4" max="4" width="11.88671875" customWidth="1"/>
    <col min="5" max="5" width="6" customWidth="1"/>
    <col min="7" max="7" width="9.44140625" customWidth="1"/>
    <col min="8" max="8" width="17.33203125" bestFit="1" customWidth="1"/>
  </cols>
  <sheetData>
    <row r="1" spans="1:8" ht="14.4" customHeight="1" x14ac:dyDescent="0.3">
      <c r="A1" s="58"/>
      <c r="B1" s="59"/>
      <c r="C1" s="29"/>
      <c r="D1" s="67" t="s">
        <v>0</v>
      </c>
      <c r="E1" s="67"/>
      <c r="F1" s="67"/>
      <c r="G1" s="67"/>
      <c r="H1" s="68"/>
    </row>
    <row r="2" spans="1:8" ht="14.4" customHeight="1" x14ac:dyDescent="0.3">
      <c r="A2" s="60"/>
      <c r="B2" s="61"/>
      <c r="C2" s="30"/>
      <c r="D2" s="69"/>
      <c r="E2" s="69"/>
      <c r="F2" s="69"/>
      <c r="G2" s="69"/>
      <c r="H2" s="70"/>
    </row>
    <row r="3" spans="1:8" x14ac:dyDescent="0.3">
      <c r="A3" s="60"/>
      <c r="B3" s="61"/>
      <c r="C3" s="62" t="s">
        <v>1</v>
      </c>
      <c r="D3" s="62"/>
      <c r="E3" s="62"/>
      <c r="F3" s="62"/>
      <c r="G3" s="63" t="s">
        <v>30</v>
      </c>
      <c r="H3" s="64"/>
    </row>
    <row r="4" spans="1:8" x14ac:dyDescent="0.3">
      <c r="A4" s="60"/>
      <c r="B4" s="61"/>
      <c r="C4" s="62" t="s">
        <v>3</v>
      </c>
      <c r="D4" s="62"/>
      <c r="E4" s="62"/>
      <c r="F4" s="62"/>
      <c r="G4" s="65">
        <v>45504</v>
      </c>
      <c r="H4" s="66"/>
    </row>
    <row r="5" spans="1:8" ht="3.6" customHeight="1" x14ac:dyDescent="0.3">
      <c r="A5" s="2"/>
      <c r="B5" s="1"/>
      <c r="C5" s="1"/>
      <c r="D5" s="1"/>
      <c r="E5" s="1"/>
      <c r="F5" s="1"/>
      <c r="G5" s="1"/>
      <c r="H5" s="3"/>
    </row>
    <row r="6" spans="1:8" ht="21" x14ac:dyDescent="0.4">
      <c r="A6" s="4" t="s">
        <v>4</v>
      </c>
      <c r="H6" s="5"/>
    </row>
    <row r="7" spans="1:8" x14ac:dyDescent="0.3">
      <c r="A7" s="72" t="s">
        <v>5</v>
      </c>
      <c r="B7" s="73"/>
      <c r="C7" s="73"/>
      <c r="D7" s="73"/>
      <c r="E7" s="73"/>
      <c r="F7" s="73"/>
      <c r="G7" s="73"/>
      <c r="H7" s="74"/>
    </row>
    <row r="8" spans="1:8" x14ac:dyDescent="0.3">
      <c r="A8" s="75"/>
      <c r="B8" s="76"/>
      <c r="C8" s="76"/>
      <c r="D8" s="76"/>
      <c r="E8" s="76"/>
      <c r="F8" s="76"/>
      <c r="G8" s="76"/>
      <c r="H8" s="77"/>
    </row>
    <row r="9" spans="1:8" x14ac:dyDescent="0.3">
      <c r="A9" s="78"/>
      <c r="B9" s="79"/>
      <c r="C9" s="79"/>
      <c r="D9" s="79"/>
      <c r="E9" s="79"/>
      <c r="F9" s="79"/>
      <c r="G9" s="79"/>
      <c r="H9" s="80"/>
    </row>
    <row r="10" spans="1:8" x14ac:dyDescent="0.3">
      <c r="A10" s="81" t="s">
        <v>6</v>
      </c>
      <c r="B10" s="82"/>
      <c r="C10" s="82"/>
      <c r="D10" s="82"/>
      <c r="E10" s="82" t="s">
        <v>7</v>
      </c>
      <c r="F10" s="82"/>
      <c r="G10" s="82"/>
      <c r="H10" s="83"/>
    </row>
    <row r="11" spans="1:8" ht="14.4" customHeight="1" x14ac:dyDescent="0.3">
      <c r="A11" s="84" t="s">
        <v>8</v>
      </c>
      <c r="B11" s="85"/>
      <c r="C11" s="85"/>
      <c r="D11" s="85"/>
      <c r="E11" s="85" t="str">
        <f>A11</f>
        <v>Steel Horse Auto Assembly Chennai Ltd</v>
      </c>
      <c r="F11" s="85"/>
      <c r="G11" s="85"/>
      <c r="H11" s="86"/>
    </row>
    <row r="12" spans="1:8" x14ac:dyDescent="0.3">
      <c r="A12" s="87" t="s">
        <v>9</v>
      </c>
      <c r="B12" s="88"/>
      <c r="C12" s="88"/>
      <c r="D12" s="88"/>
      <c r="E12" s="89" t="str">
        <f t="shared" ref="E12:E13" si="0">A12</f>
        <v>House No 249,Road No 11,Rajiv Gandhi Nagar,</v>
      </c>
      <c r="F12" s="89"/>
      <c r="G12" s="89"/>
      <c r="H12" s="90"/>
    </row>
    <row r="13" spans="1:8" x14ac:dyDescent="0.3">
      <c r="A13" s="87" t="s">
        <v>10</v>
      </c>
      <c r="B13" s="88"/>
      <c r="C13" s="88"/>
      <c r="D13" s="88"/>
      <c r="E13" s="89" t="str">
        <f t="shared" si="0"/>
        <v>Chennai,Tamil Nadu,India</v>
      </c>
      <c r="F13" s="89"/>
      <c r="G13" s="89"/>
      <c r="H13" s="90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ht="27.6" x14ac:dyDescent="0.3">
      <c r="A15" s="7" t="s">
        <v>11</v>
      </c>
      <c r="B15" s="71" t="s">
        <v>12</v>
      </c>
      <c r="C15" s="71"/>
      <c r="D15" s="71"/>
      <c r="E15" s="71"/>
      <c r="F15" s="8" t="s">
        <v>13</v>
      </c>
      <c r="G15" s="9" t="s">
        <v>14</v>
      </c>
      <c r="H15" s="37" t="s">
        <v>15</v>
      </c>
    </row>
    <row r="16" spans="1:8" x14ac:dyDescent="0.3">
      <c r="A16" s="11">
        <v>1</v>
      </c>
      <c r="B16" s="99" t="s">
        <v>31</v>
      </c>
      <c r="C16" s="99"/>
      <c r="D16" s="99"/>
      <c r="E16" s="99"/>
      <c r="F16" s="13">
        <v>2379</v>
      </c>
      <c r="G16" s="13">
        <v>2000</v>
      </c>
      <c r="H16" s="14">
        <f>+F16*G16</f>
        <v>4758000</v>
      </c>
    </row>
    <row r="17" spans="1:8" x14ac:dyDescent="0.3">
      <c r="A17" s="15">
        <v>2</v>
      </c>
      <c r="B17" s="98" t="s">
        <v>32</v>
      </c>
      <c r="C17" s="98"/>
      <c r="D17" s="98"/>
      <c r="E17" s="98"/>
      <c r="F17" s="16">
        <v>2315</v>
      </c>
      <c r="G17" s="13">
        <v>2000</v>
      </c>
      <c r="H17" s="14">
        <f>+F17*G17</f>
        <v>4630000</v>
      </c>
    </row>
    <row r="18" spans="1:8" x14ac:dyDescent="0.3">
      <c r="A18" s="15">
        <v>3</v>
      </c>
      <c r="B18" s="98" t="s">
        <v>33</v>
      </c>
      <c r="C18" s="98"/>
      <c r="D18" s="98"/>
      <c r="E18" s="98"/>
      <c r="F18" s="16">
        <v>1780</v>
      </c>
      <c r="G18" s="13">
        <v>500</v>
      </c>
      <c r="H18" s="14">
        <f>+F18*G18</f>
        <v>890000</v>
      </c>
    </row>
    <row r="19" spans="1:8" x14ac:dyDescent="0.3">
      <c r="A19" s="15"/>
      <c r="B19" s="98"/>
      <c r="C19" s="98"/>
      <c r="D19" s="98"/>
      <c r="E19" s="98"/>
      <c r="F19" s="16"/>
      <c r="G19" s="19"/>
      <c r="H19" s="18"/>
    </row>
    <row r="20" spans="1:8" x14ac:dyDescent="0.3">
      <c r="A20" s="15"/>
      <c r="B20" s="12"/>
      <c r="C20" s="12"/>
      <c r="D20" s="12"/>
      <c r="E20" s="12"/>
      <c r="F20" s="13"/>
      <c r="G20" s="21"/>
      <c r="H20" s="18"/>
    </row>
    <row r="21" spans="1:8" x14ac:dyDescent="0.3">
      <c r="A21" s="15"/>
      <c r="B21" s="12"/>
      <c r="C21" s="12"/>
      <c r="D21" s="12"/>
      <c r="E21" s="12"/>
      <c r="F21" s="13"/>
      <c r="G21" s="21"/>
      <c r="H21" s="18"/>
    </row>
    <row r="22" spans="1:8" x14ac:dyDescent="0.3">
      <c r="A22" s="15"/>
      <c r="B22" s="12"/>
      <c r="C22" s="12"/>
      <c r="D22" s="12"/>
      <c r="E22" s="12"/>
      <c r="F22" s="13"/>
      <c r="G22" s="21"/>
      <c r="H22" s="18"/>
    </row>
    <row r="23" spans="1:8" x14ac:dyDescent="0.3">
      <c r="A23" s="15"/>
      <c r="B23" s="12"/>
      <c r="C23" s="12"/>
      <c r="D23" s="12"/>
      <c r="E23" s="12"/>
      <c r="F23" s="13"/>
      <c r="G23" s="21"/>
      <c r="H23" s="18"/>
    </row>
    <row r="24" spans="1:8" x14ac:dyDescent="0.3">
      <c r="A24" s="15"/>
      <c r="B24" s="12"/>
      <c r="C24" s="12"/>
      <c r="D24" s="12"/>
      <c r="E24" s="12"/>
      <c r="F24" s="13"/>
      <c r="G24" s="21"/>
      <c r="H24" s="18"/>
    </row>
    <row r="25" spans="1:8" x14ac:dyDescent="0.3">
      <c r="A25" s="15"/>
      <c r="B25" s="12"/>
      <c r="C25" s="12"/>
      <c r="D25" s="12"/>
      <c r="E25" s="12"/>
      <c r="F25" s="13"/>
      <c r="G25" s="21"/>
      <c r="H25" s="18"/>
    </row>
    <row r="26" spans="1:8" x14ac:dyDescent="0.3">
      <c r="A26" s="15"/>
      <c r="B26" s="12"/>
      <c r="C26" s="12"/>
      <c r="D26" s="12"/>
      <c r="E26" s="12"/>
      <c r="F26" s="13"/>
      <c r="G26" s="21"/>
      <c r="H26" s="18"/>
    </row>
    <row r="27" spans="1:8" x14ac:dyDescent="0.3">
      <c r="A27" s="15"/>
      <c r="B27" s="12"/>
      <c r="C27" s="12"/>
      <c r="D27" s="12"/>
      <c r="E27" s="12"/>
      <c r="F27" s="13"/>
      <c r="G27" s="21"/>
      <c r="H27" s="20"/>
    </row>
    <row r="28" spans="1:8" x14ac:dyDescent="0.3">
      <c r="A28" s="15"/>
      <c r="B28" s="12"/>
      <c r="C28" s="12"/>
      <c r="D28" s="12"/>
      <c r="E28" s="12"/>
      <c r="F28" s="13"/>
      <c r="G28" s="21"/>
      <c r="H28" s="20"/>
    </row>
    <row r="29" spans="1:8" x14ac:dyDescent="0.3">
      <c r="A29" s="15"/>
      <c r="B29" s="12"/>
      <c r="C29" s="12"/>
      <c r="D29" s="12"/>
      <c r="E29" s="12"/>
      <c r="F29" s="13"/>
      <c r="G29" s="21"/>
      <c r="H29" s="20"/>
    </row>
    <row r="30" spans="1:8" x14ac:dyDescent="0.3">
      <c r="A30" s="15"/>
      <c r="B30" s="12"/>
      <c r="C30" s="12"/>
      <c r="D30" s="12"/>
      <c r="E30" s="12"/>
      <c r="F30" s="13"/>
      <c r="G30" s="21"/>
      <c r="H30" s="20"/>
    </row>
    <row r="31" spans="1:8" x14ac:dyDescent="0.3">
      <c r="A31" s="15"/>
      <c r="B31" s="12"/>
      <c r="C31" s="12"/>
      <c r="D31" s="12"/>
      <c r="E31" s="12"/>
      <c r="F31" s="13"/>
      <c r="G31" s="21"/>
      <c r="H31" s="20"/>
    </row>
    <row r="32" spans="1:8" x14ac:dyDescent="0.3">
      <c r="A32" s="15"/>
      <c r="B32" s="12"/>
      <c r="C32" s="12"/>
      <c r="D32" s="12"/>
      <c r="E32" s="12"/>
      <c r="F32" s="13"/>
      <c r="G32" s="21"/>
      <c r="H32" s="20"/>
    </row>
    <row r="33" spans="1:8" x14ac:dyDescent="0.3">
      <c r="A33" s="15"/>
      <c r="B33" s="12"/>
      <c r="C33" s="12"/>
      <c r="D33" s="12"/>
      <c r="E33" s="12"/>
      <c r="F33" s="13"/>
      <c r="G33" s="21"/>
      <c r="H33" s="20"/>
    </row>
    <row r="34" spans="1:8" x14ac:dyDescent="0.3">
      <c r="A34" s="15"/>
      <c r="B34" s="12"/>
      <c r="C34" s="12"/>
      <c r="D34" s="12"/>
      <c r="E34" s="12"/>
      <c r="F34" s="13"/>
      <c r="G34" s="21"/>
      <c r="H34" s="20"/>
    </row>
    <row r="35" spans="1:8" x14ac:dyDescent="0.3">
      <c r="A35" s="15"/>
      <c r="B35" s="12"/>
      <c r="C35" s="12"/>
      <c r="D35" s="12"/>
      <c r="E35" s="12"/>
      <c r="F35" s="13"/>
      <c r="G35" s="21"/>
      <c r="H35" s="20"/>
    </row>
    <row r="36" spans="1:8" x14ac:dyDescent="0.3">
      <c r="A36" s="15"/>
      <c r="B36" s="12"/>
      <c r="C36" s="12"/>
      <c r="D36" s="12"/>
      <c r="E36" s="12"/>
      <c r="F36" s="13"/>
      <c r="G36" s="21"/>
      <c r="H36" s="20"/>
    </row>
    <row r="37" spans="1:8" x14ac:dyDescent="0.3">
      <c r="A37" s="15"/>
      <c r="B37" s="12"/>
      <c r="C37" s="12"/>
      <c r="D37" s="12"/>
      <c r="E37" s="12"/>
      <c r="F37" s="13"/>
      <c r="G37" s="21"/>
      <c r="H37" s="20"/>
    </row>
    <row r="38" spans="1:8" ht="21" customHeight="1" x14ac:dyDescent="0.3">
      <c r="A38" s="100"/>
      <c r="B38" s="101"/>
      <c r="C38" s="22"/>
      <c r="D38" s="22"/>
      <c r="E38" s="106" t="s">
        <v>18</v>
      </c>
      <c r="F38" s="106"/>
      <c r="G38" s="106"/>
      <c r="H38" s="23">
        <f>SUM(H16:H18)-H19</f>
        <v>10278000</v>
      </c>
    </row>
    <row r="39" spans="1:8" ht="21" x14ac:dyDescent="0.3">
      <c r="A39" s="31"/>
      <c r="B39" s="22"/>
      <c r="C39" s="22"/>
      <c r="D39" s="22"/>
      <c r="E39" s="102" t="s">
        <v>19</v>
      </c>
      <c r="F39" s="102"/>
      <c r="G39" s="102"/>
      <c r="H39" s="26">
        <f>H38</f>
        <v>10278000</v>
      </c>
    </row>
    <row r="40" spans="1:8" ht="18.600000000000001" customHeight="1" x14ac:dyDescent="0.3">
      <c r="A40" s="24"/>
      <c r="B40" s="25"/>
      <c r="C40" s="25"/>
      <c r="D40" s="6"/>
      <c r="E40" s="103" t="s">
        <v>20</v>
      </c>
      <c r="F40" s="103"/>
      <c r="G40" s="103"/>
      <c r="H40" s="27">
        <f>H39*18%</f>
        <v>1850040</v>
      </c>
    </row>
    <row r="41" spans="1:8" x14ac:dyDescent="0.3">
      <c r="A41" s="24"/>
      <c r="B41" s="25"/>
      <c r="C41" s="25"/>
      <c r="D41" s="6"/>
      <c r="E41" s="104" t="s">
        <v>21</v>
      </c>
      <c r="F41" s="104"/>
      <c r="G41" s="104"/>
      <c r="H41" s="94">
        <f>H39+H40</f>
        <v>12128040</v>
      </c>
    </row>
    <row r="42" spans="1:8" ht="15" thickBot="1" x14ac:dyDescent="0.35">
      <c r="A42" s="96"/>
      <c r="B42" s="97"/>
      <c r="C42" s="97"/>
      <c r="D42" s="28"/>
      <c r="E42" s="105"/>
      <c r="F42" s="105"/>
      <c r="G42" s="105"/>
      <c r="H42" s="95"/>
    </row>
  </sheetData>
  <mergeCells count="30">
    <mergeCell ref="E40:G40"/>
    <mergeCell ref="E41:G42"/>
    <mergeCell ref="H41:H42"/>
    <mergeCell ref="A42:C42"/>
    <mergeCell ref="B16:E16"/>
    <mergeCell ref="B17:E17"/>
    <mergeCell ref="B18:E18"/>
    <mergeCell ref="B19:E19"/>
    <mergeCell ref="A38:B38"/>
    <mergeCell ref="E39:G39"/>
    <mergeCell ref="E38:G38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2286-FE79-41E1-8094-258C6D95F83F}">
  <sheetPr>
    <pageSetUpPr fitToPage="1"/>
  </sheetPr>
  <dimension ref="A1:H42"/>
  <sheetViews>
    <sheetView showGridLines="0" workbookViewId="0">
      <selection activeCell="J13" sqref="J13"/>
    </sheetView>
  </sheetViews>
  <sheetFormatPr defaultRowHeight="14.4" x14ac:dyDescent="0.3"/>
  <cols>
    <col min="3" max="3" width="15.33203125" customWidth="1"/>
    <col min="4" max="4" width="13" customWidth="1"/>
    <col min="5" max="5" width="6" customWidth="1"/>
    <col min="7" max="7" width="9.44140625" customWidth="1"/>
    <col min="8" max="8" width="17.109375" customWidth="1"/>
  </cols>
  <sheetData>
    <row r="1" spans="1:8" ht="14.4" customHeight="1" x14ac:dyDescent="0.3">
      <c r="A1" s="58"/>
      <c r="B1" s="59"/>
      <c r="C1" s="29"/>
      <c r="D1" s="67" t="s">
        <v>0</v>
      </c>
      <c r="E1" s="67"/>
      <c r="F1" s="67"/>
      <c r="G1" s="67"/>
      <c r="H1" s="68"/>
    </row>
    <row r="2" spans="1:8" ht="14.4" customHeight="1" x14ac:dyDescent="0.3">
      <c r="A2" s="60"/>
      <c r="B2" s="61"/>
      <c r="C2" s="30"/>
      <c r="D2" s="69"/>
      <c r="E2" s="69"/>
      <c r="F2" s="69"/>
      <c r="G2" s="69"/>
      <c r="H2" s="70"/>
    </row>
    <row r="3" spans="1:8" x14ac:dyDescent="0.3">
      <c r="A3" s="60"/>
      <c r="B3" s="61"/>
      <c r="C3" s="62" t="s">
        <v>1</v>
      </c>
      <c r="D3" s="62"/>
      <c r="E3" s="62"/>
      <c r="F3" s="62"/>
      <c r="G3" s="63" t="s">
        <v>34</v>
      </c>
      <c r="H3" s="64"/>
    </row>
    <row r="4" spans="1:8" x14ac:dyDescent="0.3">
      <c r="A4" s="60"/>
      <c r="B4" s="61"/>
      <c r="C4" s="62" t="s">
        <v>3</v>
      </c>
      <c r="D4" s="62"/>
      <c r="E4" s="62"/>
      <c r="F4" s="62"/>
      <c r="G4" s="65">
        <v>45609</v>
      </c>
      <c r="H4" s="66"/>
    </row>
    <row r="5" spans="1:8" ht="3.6" customHeight="1" x14ac:dyDescent="0.3">
      <c r="A5" s="2"/>
      <c r="B5" s="1"/>
      <c r="C5" s="1"/>
      <c r="D5" s="1"/>
      <c r="E5" s="1"/>
      <c r="F5" s="1"/>
      <c r="G5" s="1"/>
      <c r="H5" s="3"/>
    </row>
    <row r="6" spans="1:8" ht="21" x14ac:dyDescent="0.4">
      <c r="A6" s="4" t="s">
        <v>4</v>
      </c>
      <c r="H6" s="5"/>
    </row>
    <row r="7" spans="1:8" x14ac:dyDescent="0.3">
      <c r="A7" s="72" t="s">
        <v>5</v>
      </c>
      <c r="B7" s="73"/>
      <c r="C7" s="73"/>
      <c r="D7" s="73"/>
      <c r="E7" s="73"/>
      <c r="F7" s="73"/>
      <c r="G7" s="73"/>
      <c r="H7" s="74"/>
    </row>
    <row r="8" spans="1:8" x14ac:dyDescent="0.3">
      <c r="A8" s="75"/>
      <c r="B8" s="76"/>
      <c r="C8" s="76"/>
      <c r="D8" s="76"/>
      <c r="E8" s="76"/>
      <c r="F8" s="76"/>
      <c r="G8" s="76"/>
      <c r="H8" s="77"/>
    </row>
    <row r="9" spans="1:8" x14ac:dyDescent="0.3">
      <c r="A9" s="78"/>
      <c r="B9" s="79"/>
      <c r="C9" s="79"/>
      <c r="D9" s="79"/>
      <c r="E9" s="79"/>
      <c r="F9" s="79"/>
      <c r="G9" s="79"/>
      <c r="H9" s="80"/>
    </row>
    <row r="10" spans="1:8" x14ac:dyDescent="0.3">
      <c r="A10" s="81" t="s">
        <v>6</v>
      </c>
      <c r="B10" s="82"/>
      <c r="C10" s="82"/>
      <c r="D10" s="82"/>
      <c r="E10" s="82" t="s">
        <v>7</v>
      </c>
      <c r="F10" s="82"/>
      <c r="G10" s="82"/>
      <c r="H10" s="83"/>
    </row>
    <row r="11" spans="1:8" ht="14.4" customHeight="1" x14ac:dyDescent="0.3">
      <c r="A11" s="84" t="s">
        <v>8</v>
      </c>
      <c r="B11" s="85"/>
      <c r="C11" s="85"/>
      <c r="D11" s="85"/>
      <c r="E11" s="85" t="str">
        <f>A11</f>
        <v>Steel Horse Auto Assembly Chennai Ltd</v>
      </c>
      <c r="F11" s="85"/>
      <c r="G11" s="85"/>
      <c r="H11" s="86"/>
    </row>
    <row r="12" spans="1:8" x14ac:dyDescent="0.3">
      <c r="A12" s="87" t="s">
        <v>9</v>
      </c>
      <c r="B12" s="88"/>
      <c r="C12" s="88"/>
      <c r="D12" s="88"/>
      <c r="E12" s="89" t="str">
        <f t="shared" ref="E12:E13" si="0">A12</f>
        <v>House No 249,Road No 11,Rajiv Gandhi Nagar,</v>
      </c>
      <c r="F12" s="89"/>
      <c r="G12" s="89"/>
      <c r="H12" s="90"/>
    </row>
    <row r="13" spans="1:8" x14ac:dyDescent="0.3">
      <c r="A13" s="87" t="s">
        <v>10</v>
      </c>
      <c r="B13" s="88"/>
      <c r="C13" s="88"/>
      <c r="D13" s="88"/>
      <c r="E13" s="89" t="str">
        <f t="shared" si="0"/>
        <v>Chennai,Tamil Nadu,India</v>
      </c>
      <c r="F13" s="89"/>
      <c r="G13" s="89"/>
      <c r="H13" s="90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ht="27.6" x14ac:dyDescent="0.3">
      <c r="A15" s="7" t="s">
        <v>11</v>
      </c>
      <c r="B15" s="71" t="s">
        <v>12</v>
      </c>
      <c r="C15" s="71"/>
      <c r="D15" s="71"/>
      <c r="E15" s="71"/>
      <c r="F15" s="8" t="s">
        <v>13</v>
      </c>
      <c r="G15" s="9" t="s">
        <v>14</v>
      </c>
      <c r="H15" s="37" t="s">
        <v>15</v>
      </c>
    </row>
    <row r="16" spans="1:8" x14ac:dyDescent="0.3">
      <c r="A16" s="11">
        <v>1</v>
      </c>
      <c r="B16" s="107" t="s">
        <v>35</v>
      </c>
      <c r="C16" s="107"/>
      <c r="D16" s="107"/>
      <c r="E16" s="107"/>
      <c r="F16" s="13">
        <v>1000</v>
      </c>
      <c r="G16" s="13">
        <v>2280</v>
      </c>
      <c r="H16" s="14">
        <f>+F16*G16</f>
        <v>2280000</v>
      </c>
    </row>
    <row r="17" spans="1:8" x14ac:dyDescent="0.3">
      <c r="A17" s="15">
        <v>2</v>
      </c>
      <c r="B17" s="108" t="s">
        <v>16</v>
      </c>
      <c r="C17" s="108"/>
      <c r="D17" s="108"/>
      <c r="E17" s="108"/>
      <c r="F17" s="16">
        <v>1942</v>
      </c>
      <c r="G17" s="16">
        <v>2000</v>
      </c>
      <c r="H17" s="18">
        <f>F17*G17</f>
        <v>3884000</v>
      </c>
    </row>
    <row r="18" spans="1:8" x14ac:dyDescent="0.3">
      <c r="A18" s="15"/>
      <c r="B18" s="108"/>
      <c r="C18" s="108"/>
      <c r="D18" s="108"/>
      <c r="E18" s="108"/>
      <c r="F18" s="16"/>
      <c r="G18" s="16"/>
      <c r="H18" s="18"/>
    </row>
    <row r="19" spans="1:8" x14ac:dyDescent="0.3">
      <c r="A19" s="15"/>
      <c r="B19" s="99"/>
      <c r="C19" s="99"/>
      <c r="D19" s="99"/>
      <c r="E19" s="99"/>
      <c r="F19" s="13"/>
      <c r="G19" s="21"/>
      <c r="H19" s="18"/>
    </row>
    <row r="20" spans="1:8" x14ac:dyDescent="0.3">
      <c r="A20" s="15"/>
      <c r="B20" s="12"/>
      <c r="C20" s="12"/>
      <c r="D20" s="12"/>
      <c r="E20" s="12"/>
      <c r="F20" s="13"/>
      <c r="G20" s="21"/>
      <c r="H20" s="18"/>
    </row>
    <row r="21" spans="1:8" x14ac:dyDescent="0.3">
      <c r="A21" s="15"/>
      <c r="B21" s="12"/>
      <c r="C21" s="12"/>
      <c r="D21" s="12"/>
      <c r="E21" s="12"/>
      <c r="F21" s="13"/>
      <c r="G21" s="21"/>
      <c r="H21" s="18"/>
    </row>
    <row r="22" spans="1:8" x14ac:dyDescent="0.3">
      <c r="A22" s="15"/>
      <c r="B22" s="12"/>
      <c r="C22" s="12"/>
      <c r="D22" s="12"/>
      <c r="E22" s="12"/>
      <c r="F22" s="13"/>
      <c r="G22" s="21"/>
      <c r="H22" s="18"/>
    </row>
    <row r="23" spans="1:8" x14ac:dyDescent="0.3">
      <c r="A23" s="15"/>
      <c r="B23" s="12"/>
      <c r="C23" s="12"/>
      <c r="D23" s="12"/>
      <c r="E23" s="12"/>
      <c r="F23" s="13"/>
      <c r="G23" s="21"/>
      <c r="H23" s="18"/>
    </row>
    <row r="24" spans="1:8" x14ac:dyDescent="0.3">
      <c r="A24" s="15"/>
      <c r="B24" s="12"/>
      <c r="C24" s="12"/>
      <c r="D24" s="12"/>
      <c r="E24" s="12"/>
      <c r="F24" s="13"/>
      <c r="G24" s="21"/>
      <c r="H24" s="18"/>
    </row>
    <row r="25" spans="1:8" x14ac:dyDescent="0.3">
      <c r="A25" s="15"/>
      <c r="B25" s="12"/>
      <c r="C25" s="12"/>
      <c r="D25" s="12"/>
      <c r="E25" s="12"/>
      <c r="F25" s="13"/>
      <c r="G25" s="21"/>
      <c r="H25" s="18"/>
    </row>
    <row r="26" spans="1:8" x14ac:dyDescent="0.3">
      <c r="A26" s="15"/>
      <c r="B26" s="12"/>
      <c r="C26" s="12"/>
      <c r="D26" s="12"/>
      <c r="E26" s="12"/>
      <c r="F26" s="13"/>
      <c r="G26" s="21"/>
      <c r="H26" s="18"/>
    </row>
    <row r="27" spans="1:8" x14ac:dyDescent="0.3">
      <c r="A27" s="15"/>
      <c r="B27" s="12"/>
      <c r="C27" s="12"/>
      <c r="D27" s="12"/>
      <c r="E27" s="12"/>
      <c r="F27" s="13"/>
      <c r="G27" s="21"/>
      <c r="H27" s="20"/>
    </row>
    <row r="28" spans="1:8" x14ac:dyDescent="0.3">
      <c r="A28" s="15"/>
      <c r="B28" s="12"/>
      <c r="C28" s="12"/>
      <c r="D28" s="12"/>
      <c r="E28" s="12"/>
      <c r="F28" s="13"/>
      <c r="G28" s="21"/>
      <c r="H28" s="20"/>
    </row>
    <row r="29" spans="1:8" x14ac:dyDescent="0.3">
      <c r="A29" s="15"/>
      <c r="B29" s="12"/>
      <c r="C29" s="12"/>
      <c r="D29" s="12"/>
      <c r="E29" s="12"/>
      <c r="F29" s="13"/>
      <c r="G29" s="21"/>
      <c r="H29" s="20"/>
    </row>
    <row r="30" spans="1:8" x14ac:dyDescent="0.3">
      <c r="A30" s="15"/>
      <c r="B30" s="12"/>
      <c r="C30" s="12"/>
      <c r="D30" s="12"/>
      <c r="E30" s="12"/>
      <c r="F30" s="13"/>
      <c r="G30" s="21"/>
      <c r="H30" s="20"/>
    </row>
    <row r="31" spans="1:8" x14ac:dyDescent="0.3">
      <c r="A31" s="15"/>
      <c r="B31" s="12"/>
      <c r="C31" s="12"/>
      <c r="D31" s="12"/>
      <c r="E31" s="12"/>
      <c r="F31" s="13"/>
      <c r="G31" s="21"/>
      <c r="H31" s="20"/>
    </row>
    <row r="32" spans="1:8" x14ac:dyDescent="0.3">
      <c r="A32" s="15"/>
      <c r="B32" s="12"/>
      <c r="C32" s="12"/>
      <c r="D32" s="12"/>
      <c r="E32" s="12"/>
      <c r="F32" s="13"/>
      <c r="G32" s="21"/>
      <c r="H32" s="20"/>
    </row>
    <row r="33" spans="1:8" x14ac:dyDescent="0.3">
      <c r="A33" s="15"/>
      <c r="B33" s="12"/>
      <c r="C33" s="12"/>
      <c r="D33" s="12"/>
      <c r="E33" s="12"/>
      <c r="F33" s="13"/>
      <c r="G33" s="21"/>
      <c r="H33" s="20"/>
    </row>
    <row r="34" spans="1:8" x14ac:dyDescent="0.3">
      <c r="A34" s="15"/>
      <c r="B34" s="12"/>
      <c r="C34" s="12"/>
      <c r="D34" s="12"/>
      <c r="E34" s="12"/>
      <c r="F34" s="13"/>
      <c r="G34" s="21"/>
      <c r="H34" s="20"/>
    </row>
    <row r="35" spans="1:8" x14ac:dyDescent="0.3">
      <c r="A35" s="15"/>
      <c r="B35" s="12"/>
      <c r="C35" s="12"/>
      <c r="D35" s="12"/>
      <c r="E35" s="12"/>
      <c r="F35" s="13"/>
      <c r="G35" s="21"/>
      <c r="H35" s="20"/>
    </row>
    <row r="36" spans="1:8" x14ac:dyDescent="0.3">
      <c r="A36" s="15"/>
      <c r="B36" s="12"/>
      <c r="C36" s="12"/>
      <c r="D36" s="12"/>
      <c r="E36" s="12"/>
      <c r="F36" s="13"/>
      <c r="G36" s="21"/>
      <c r="H36" s="20"/>
    </row>
    <row r="37" spans="1:8" x14ac:dyDescent="0.3">
      <c r="A37" s="15"/>
      <c r="B37" s="12"/>
      <c r="C37" s="12"/>
      <c r="D37" s="12"/>
      <c r="E37" s="12"/>
      <c r="F37" s="13"/>
      <c r="G37" s="21"/>
      <c r="H37" s="20"/>
    </row>
    <row r="38" spans="1:8" ht="21" customHeight="1" x14ac:dyDescent="0.3">
      <c r="A38" s="100"/>
      <c r="B38" s="101"/>
      <c r="C38" s="22"/>
      <c r="D38" s="22"/>
      <c r="E38" s="106" t="s">
        <v>18</v>
      </c>
      <c r="F38" s="106"/>
      <c r="G38" s="106"/>
      <c r="H38" s="23">
        <f>H16+H17-H18</f>
        <v>6164000</v>
      </c>
    </row>
    <row r="39" spans="1:8" ht="21" x14ac:dyDescent="0.3">
      <c r="A39" s="100"/>
      <c r="B39" s="101"/>
      <c r="C39" s="22"/>
      <c r="D39" s="22"/>
      <c r="E39" s="102" t="s">
        <v>19</v>
      </c>
      <c r="F39" s="102"/>
      <c r="G39" s="102"/>
      <c r="H39" s="26">
        <f>H38</f>
        <v>6164000</v>
      </c>
    </row>
    <row r="40" spans="1:8" ht="18.600000000000001" customHeight="1" x14ac:dyDescent="0.3">
      <c r="A40" s="24"/>
      <c r="B40" s="25"/>
      <c r="C40" s="25"/>
      <c r="D40" s="6"/>
      <c r="E40" s="103" t="s">
        <v>20</v>
      </c>
      <c r="F40" s="103"/>
      <c r="G40" s="103"/>
      <c r="H40" s="27">
        <f>H39*18%</f>
        <v>1109520</v>
      </c>
    </row>
    <row r="41" spans="1:8" x14ac:dyDescent="0.3">
      <c r="A41" s="24"/>
      <c r="B41" s="25"/>
      <c r="C41" s="25"/>
      <c r="D41" s="6"/>
      <c r="E41" s="104" t="s">
        <v>21</v>
      </c>
      <c r="F41" s="104"/>
      <c r="G41" s="104"/>
      <c r="H41" s="94">
        <f>H39+H40</f>
        <v>7273520</v>
      </c>
    </row>
    <row r="42" spans="1:8" ht="15" thickBot="1" x14ac:dyDescent="0.35">
      <c r="A42" s="96"/>
      <c r="B42" s="97"/>
      <c r="C42" s="97"/>
      <c r="D42" s="28"/>
      <c r="E42" s="105"/>
      <c r="F42" s="105"/>
      <c r="G42" s="105"/>
      <c r="H42" s="95"/>
    </row>
  </sheetData>
  <mergeCells count="31">
    <mergeCell ref="E40:G40"/>
    <mergeCell ref="E41:G42"/>
    <mergeCell ref="H41:H42"/>
    <mergeCell ref="A42:C42"/>
    <mergeCell ref="B16:E16"/>
    <mergeCell ref="B17:E17"/>
    <mergeCell ref="B18:E18"/>
    <mergeCell ref="B19:E19"/>
    <mergeCell ref="A38:B38"/>
    <mergeCell ref="E39:G39"/>
    <mergeCell ref="E38:G38"/>
    <mergeCell ref="A39:B39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043D-531F-4672-A34B-4EB50D1D72EF}">
  <sheetPr>
    <pageSetUpPr fitToPage="1"/>
  </sheetPr>
  <dimension ref="A1:I42"/>
  <sheetViews>
    <sheetView showGridLines="0" workbookViewId="0">
      <selection activeCell="L9" sqref="L9"/>
    </sheetView>
  </sheetViews>
  <sheetFormatPr defaultRowHeight="14.4" x14ac:dyDescent="0.3"/>
  <cols>
    <col min="3" max="3" width="15.33203125" customWidth="1"/>
    <col min="4" max="4" width="16.5546875" customWidth="1"/>
    <col min="5" max="5" width="6" customWidth="1"/>
    <col min="7" max="7" width="9.44140625" customWidth="1"/>
    <col min="8" max="8" width="17.88671875" customWidth="1"/>
    <col min="9" max="9" width="13.6640625" bestFit="1" customWidth="1"/>
  </cols>
  <sheetData>
    <row r="1" spans="1:8" ht="14.4" customHeight="1" x14ac:dyDescent="0.3">
      <c r="A1" s="109"/>
      <c r="B1" s="110"/>
      <c r="C1" s="39"/>
      <c r="D1" s="114" t="s">
        <v>0</v>
      </c>
      <c r="E1" s="114"/>
      <c r="F1" s="114"/>
      <c r="G1" s="114"/>
      <c r="H1" s="115"/>
    </row>
    <row r="2" spans="1:8" ht="14.4" customHeight="1" x14ac:dyDescent="0.3">
      <c r="A2" s="111"/>
      <c r="B2" s="61"/>
      <c r="C2" s="30"/>
      <c r="D2" s="69"/>
      <c r="E2" s="69"/>
      <c r="F2" s="69"/>
      <c r="G2" s="69"/>
      <c r="H2" s="116"/>
    </row>
    <row r="3" spans="1:8" x14ac:dyDescent="0.3">
      <c r="A3" s="111"/>
      <c r="B3" s="61"/>
      <c r="C3" s="62" t="s">
        <v>1</v>
      </c>
      <c r="D3" s="62"/>
      <c r="E3" s="62"/>
      <c r="F3" s="62"/>
      <c r="G3" s="63" t="s">
        <v>36</v>
      </c>
      <c r="H3" s="112"/>
    </row>
    <row r="4" spans="1:8" x14ac:dyDescent="0.3">
      <c r="A4" s="111"/>
      <c r="B4" s="61"/>
      <c r="C4" s="62" t="s">
        <v>3</v>
      </c>
      <c r="D4" s="62"/>
      <c r="E4" s="62"/>
      <c r="F4" s="62"/>
      <c r="G4" s="65">
        <v>45645</v>
      </c>
      <c r="H4" s="113"/>
    </row>
    <row r="5" spans="1:8" ht="3.6" customHeight="1" x14ac:dyDescent="0.3">
      <c r="A5" s="40"/>
      <c r="B5" s="1"/>
      <c r="C5" s="1"/>
      <c r="D5" s="1"/>
      <c r="E5" s="1"/>
      <c r="F5" s="1"/>
      <c r="G5" s="1"/>
      <c r="H5" s="41"/>
    </row>
    <row r="6" spans="1:8" ht="21" x14ac:dyDescent="0.4">
      <c r="A6" s="42" t="s">
        <v>4</v>
      </c>
      <c r="H6" s="43"/>
    </row>
    <row r="7" spans="1:8" x14ac:dyDescent="0.3">
      <c r="A7" s="117" t="s">
        <v>5</v>
      </c>
      <c r="B7" s="73"/>
      <c r="C7" s="73"/>
      <c r="D7" s="73"/>
      <c r="E7" s="73"/>
      <c r="F7" s="73"/>
      <c r="G7" s="73"/>
      <c r="H7" s="118"/>
    </row>
    <row r="8" spans="1:8" x14ac:dyDescent="0.3">
      <c r="A8" s="119"/>
      <c r="B8" s="76"/>
      <c r="C8" s="76"/>
      <c r="D8" s="76"/>
      <c r="E8" s="76"/>
      <c r="F8" s="76"/>
      <c r="G8" s="76"/>
      <c r="H8" s="120"/>
    </row>
    <row r="9" spans="1:8" x14ac:dyDescent="0.3">
      <c r="A9" s="121"/>
      <c r="B9" s="79"/>
      <c r="C9" s="79"/>
      <c r="D9" s="79"/>
      <c r="E9" s="79"/>
      <c r="F9" s="79"/>
      <c r="G9" s="79"/>
      <c r="H9" s="122"/>
    </row>
    <row r="10" spans="1:8" x14ac:dyDescent="0.3">
      <c r="A10" s="123" t="s">
        <v>6</v>
      </c>
      <c r="B10" s="82"/>
      <c r="C10" s="82"/>
      <c r="D10" s="82"/>
      <c r="E10" s="82" t="s">
        <v>7</v>
      </c>
      <c r="F10" s="82"/>
      <c r="G10" s="82"/>
      <c r="H10" s="124"/>
    </row>
    <row r="11" spans="1:8" ht="14.4" customHeight="1" x14ac:dyDescent="0.3">
      <c r="A11" s="125" t="s">
        <v>37</v>
      </c>
      <c r="B11" s="85"/>
      <c r="C11" s="85"/>
      <c r="D11" s="85"/>
      <c r="E11" s="85" t="str">
        <f>A11</f>
        <v>Steel Horse Auto Assembly Anantpur Ltd</v>
      </c>
      <c r="F11" s="85"/>
      <c r="G11" s="85"/>
      <c r="H11" s="126"/>
    </row>
    <row r="12" spans="1:8" x14ac:dyDescent="0.3">
      <c r="A12" s="127" t="s">
        <v>38</v>
      </c>
      <c r="B12" s="88"/>
      <c r="C12" s="88"/>
      <c r="D12" s="88"/>
      <c r="E12" s="89" t="str">
        <f t="shared" ref="E12:E13" si="0">A12</f>
        <v xml:space="preserve">123 MG Road, Anantapur, </v>
      </c>
      <c r="F12" s="89"/>
      <c r="G12" s="89"/>
      <c r="H12" s="128"/>
    </row>
    <row r="13" spans="1:8" x14ac:dyDescent="0.3">
      <c r="A13" s="127" t="s">
        <v>39</v>
      </c>
      <c r="B13" s="88"/>
      <c r="C13" s="88"/>
      <c r="D13" s="88"/>
      <c r="E13" s="89" t="str">
        <f t="shared" si="0"/>
        <v>Andhra Pradesh 515001, India</v>
      </c>
      <c r="F13" s="89"/>
      <c r="G13" s="89"/>
      <c r="H13" s="128"/>
    </row>
    <row r="14" spans="1:8" x14ac:dyDescent="0.3">
      <c r="A14" s="129"/>
      <c r="B14" s="92"/>
      <c r="C14" s="92"/>
      <c r="D14" s="92"/>
      <c r="E14" s="92"/>
      <c r="F14" s="92"/>
      <c r="G14" s="92"/>
      <c r="H14" s="130"/>
    </row>
    <row r="15" spans="1:8" ht="27.6" x14ac:dyDescent="0.3">
      <c r="A15" s="44" t="s">
        <v>11</v>
      </c>
      <c r="B15" s="71" t="s">
        <v>12</v>
      </c>
      <c r="C15" s="71"/>
      <c r="D15" s="71"/>
      <c r="E15" s="71"/>
      <c r="F15" s="8" t="s">
        <v>13</v>
      </c>
      <c r="G15" s="9" t="s">
        <v>14</v>
      </c>
      <c r="H15" s="45" t="s">
        <v>15</v>
      </c>
    </row>
    <row r="16" spans="1:8" x14ac:dyDescent="0.3">
      <c r="A16" s="46">
        <v>1</v>
      </c>
      <c r="B16" s="107" t="s">
        <v>40</v>
      </c>
      <c r="C16" s="107"/>
      <c r="D16" s="107"/>
      <c r="E16" s="107"/>
      <c r="F16" s="13">
        <v>500</v>
      </c>
      <c r="G16" s="13">
        <v>1958</v>
      </c>
      <c r="H16" s="47">
        <f>+F16*G16</f>
        <v>979000</v>
      </c>
    </row>
    <row r="17" spans="1:8" ht="14.4" customHeight="1" x14ac:dyDescent="0.3">
      <c r="A17" s="48"/>
      <c r="B17" s="12"/>
      <c r="C17" s="12"/>
      <c r="D17" s="12"/>
      <c r="E17" s="13"/>
      <c r="F17" s="21"/>
      <c r="G17" s="12"/>
      <c r="H17" s="49"/>
    </row>
    <row r="18" spans="1:8" ht="14.4" customHeight="1" x14ac:dyDescent="0.3">
      <c r="A18" s="48"/>
      <c r="B18" s="12"/>
      <c r="C18" s="12"/>
      <c r="D18" s="12"/>
      <c r="E18" s="13"/>
      <c r="F18" s="21"/>
      <c r="G18" s="12"/>
      <c r="H18" s="49"/>
    </row>
    <row r="19" spans="1:8" x14ac:dyDescent="0.3">
      <c r="A19" s="50"/>
      <c r="B19" s="99"/>
      <c r="C19" s="99"/>
      <c r="D19" s="99"/>
      <c r="E19" s="99"/>
      <c r="F19" s="13"/>
      <c r="G19" s="21"/>
      <c r="H19" s="51"/>
    </row>
    <row r="20" spans="1:8" x14ac:dyDescent="0.3">
      <c r="A20" s="50"/>
      <c r="B20" s="12"/>
      <c r="C20" s="12"/>
      <c r="D20" s="12"/>
      <c r="E20" s="12"/>
      <c r="F20" s="13"/>
      <c r="G20" s="21"/>
      <c r="H20" s="51"/>
    </row>
    <row r="21" spans="1:8" x14ac:dyDescent="0.3">
      <c r="A21" s="50"/>
      <c r="B21" s="12"/>
      <c r="C21" s="12"/>
      <c r="D21" s="12"/>
      <c r="E21" s="12"/>
      <c r="F21" s="13"/>
      <c r="G21" s="21"/>
      <c r="H21" s="51"/>
    </row>
    <row r="22" spans="1:8" x14ac:dyDescent="0.3">
      <c r="A22" s="50"/>
      <c r="B22" s="12"/>
      <c r="C22" s="12"/>
      <c r="D22" s="12"/>
      <c r="E22" s="12"/>
      <c r="F22" s="13"/>
      <c r="G22" s="21"/>
      <c r="H22" s="51"/>
    </row>
    <row r="23" spans="1:8" x14ac:dyDescent="0.3">
      <c r="A23" s="50"/>
      <c r="B23" s="12"/>
      <c r="C23" s="12"/>
      <c r="D23" s="12"/>
      <c r="E23" s="12"/>
      <c r="F23" s="13"/>
      <c r="G23" s="21"/>
      <c r="H23" s="51"/>
    </row>
    <row r="24" spans="1:8" x14ac:dyDescent="0.3">
      <c r="A24" s="50"/>
      <c r="B24" s="12"/>
      <c r="C24" s="12"/>
      <c r="D24" s="12"/>
      <c r="E24" s="12"/>
      <c r="F24" s="13"/>
      <c r="G24" s="21"/>
      <c r="H24" s="51"/>
    </row>
    <row r="25" spans="1:8" x14ac:dyDescent="0.3">
      <c r="A25" s="50"/>
      <c r="B25" s="12"/>
      <c r="C25" s="12"/>
      <c r="D25" s="12"/>
      <c r="E25" s="12"/>
      <c r="F25" s="13"/>
      <c r="G25" s="21"/>
      <c r="H25" s="51"/>
    </row>
    <row r="26" spans="1:8" x14ac:dyDescent="0.3">
      <c r="A26" s="50"/>
      <c r="B26" s="12"/>
      <c r="C26" s="12"/>
      <c r="D26" s="12"/>
      <c r="E26" s="12"/>
      <c r="F26" s="13"/>
      <c r="G26" s="21"/>
      <c r="H26" s="51"/>
    </row>
    <row r="27" spans="1:8" x14ac:dyDescent="0.3">
      <c r="A27" s="50"/>
      <c r="B27" s="12"/>
      <c r="C27" s="12"/>
      <c r="D27" s="12"/>
      <c r="E27" s="12"/>
      <c r="F27" s="13"/>
      <c r="G27" s="21"/>
      <c r="H27" s="52"/>
    </row>
    <row r="28" spans="1:8" x14ac:dyDescent="0.3">
      <c r="A28" s="50"/>
      <c r="B28" s="12"/>
      <c r="C28" s="12"/>
      <c r="D28" s="12"/>
      <c r="E28" s="12"/>
      <c r="F28" s="13"/>
      <c r="G28" s="21"/>
      <c r="H28" s="52"/>
    </row>
    <row r="29" spans="1:8" x14ac:dyDescent="0.3">
      <c r="A29" s="50"/>
      <c r="B29" s="12"/>
      <c r="C29" s="12"/>
      <c r="D29" s="12"/>
      <c r="E29" s="12"/>
      <c r="F29" s="13"/>
      <c r="G29" s="21"/>
      <c r="H29" s="52"/>
    </row>
    <row r="30" spans="1:8" x14ac:dyDescent="0.3">
      <c r="A30" s="50"/>
      <c r="B30" s="12"/>
      <c r="C30" s="12"/>
      <c r="D30" s="12"/>
      <c r="E30" s="12"/>
      <c r="F30" s="13"/>
      <c r="G30" s="21"/>
      <c r="H30" s="52"/>
    </row>
    <row r="31" spans="1:8" x14ac:dyDescent="0.3">
      <c r="A31" s="50"/>
      <c r="B31" s="12"/>
      <c r="C31" s="12"/>
      <c r="D31" s="12"/>
      <c r="E31" s="12"/>
      <c r="F31" s="13"/>
      <c r="G31" s="21"/>
      <c r="H31" s="52"/>
    </row>
    <row r="32" spans="1:8" x14ac:dyDescent="0.3">
      <c r="A32" s="50"/>
      <c r="B32" s="12"/>
      <c r="C32" s="12"/>
      <c r="D32" s="12"/>
      <c r="E32" s="12"/>
      <c r="F32" s="13"/>
      <c r="G32" s="21"/>
      <c r="H32" s="52"/>
    </row>
    <row r="33" spans="1:9" x14ac:dyDescent="0.3">
      <c r="A33" s="50"/>
      <c r="B33" s="12"/>
      <c r="C33" s="12"/>
      <c r="D33" s="12"/>
      <c r="E33" s="12"/>
      <c r="F33" s="13"/>
      <c r="G33" s="21"/>
      <c r="H33" s="52"/>
    </row>
    <row r="34" spans="1:9" x14ac:dyDescent="0.3">
      <c r="A34" s="50"/>
      <c r="B34" s="12"/>
      <c r="C34" s="12"/>
      <c r="D34" s="12"/>
      <c r="E34" s="12"/>
      <c r="F34" s="13"/>
      <c r="G34" s="21"/>
      <c r="H34" s="52"/>
    </row>
    <row r="35" spans="1:9" x14ac:dyDescent="0.3">
      <c r="A35" s="50"/>
      <c r="B35" s="12"/>
      <c r="C35" s="12"/>
      <c r="D35" s="12"/>
      <c r="E35" s="12"/>
      <c r="F35" s="13"/>
      <c r="G35" s="21"/>
      <c r="H35" s="52"/>
    </row>
    <row r="36" spans="1:9" x14ac:dyDescent="0.3">
      <c r="A36" s="50"/>
      <c r="B36" s="12"/>
      <c r="C36" s="12"/>
      <c r="D36" s="12"/>
      <c r="E36" s="12"/>
      <c r="F36" s="13"/>
      <c r="G36" s="21"/>
      <c r="H36" s="52"/>
    </row>
    <row r="37" spans="1:9" x14ac:dyDescent="0.3">
      <c r="A37" s="50"/>
      <c r="B37" s="12"/>
      <c r="C37" s="12"/>
      <c r="D37" s="12"/>
      <c r="E37" s="12"/>
      <c r="F37" s="13"/>
      <c r="G37" s="21"/>
      <c r="H37" s="52"/>
    </row>
    <row r="38" spans="1:9" ht="21" customHeight="1" x14ac:dyDescent="0.3">
      <c r="A38" s="136"/>
      <c r="B38" s="101"/>
      <c r="C38" s="22"/>
      <c r="D38" s="22"/>
      <c r="E38" s="106" t="s">
        <v>18</v>
      </c>
      <c r="F38" s="106"/>
      <c r="G38" s="106"/>
      <c r="H38" s="53">
        <f>H16-H17</f>
        <v>979000</v>
      </c>
    </row>
    <row r="39" spans="1:9" ht="21" x14ac:dyDescent="0.3">
      <c r="A39" s="136"/>
      <c r="B39" s="101"/>
      <c r="C39" s="22"/>
      <c r="D39" s="22"/>
      <c r="E39" s="102" t="s">
        <v>19</v>
      </c>
      <c r="F39" s="102"/>
      <c r="G39" s="102"/>
      <c r="H39" s="54">
        <f>H38</f>
        <v>979000</v>
      </c>
    </row>
    <row r="40" spans="1:9" ht="18.600000000000001" customHeight="1" x14ac:dyDescent="0.3">
      <c r="A40" s="55"/>
      <c r="B40" s="25"/>
      <c r="C40" s="25"/>
      <c r="D40" s="6"/>
      <c r="E40" s="103" t="s">
        <v>20</v>
      </c>
      <c r="F40" s="103"/>
      <c r="G40" s="103"/>
      <c r="H40" s="56">
        <f>H39*18%</f>
        <v>176220</v>
      </c>
      <c r="I40" s="38"/>
    </row>
    <row r="41" spans="1:9" x14ac:dyDescent="0.3">
      <c r="A41" s="55"/>
      <c r="B41" s="25"/>
      <c r="C41" s="25"/>
      <c r="D41" s="6"/>
      <c r="E41" s="104" t="s">
        <v>21</v>
      </c>
      <c r="F41" s="104"/>
      <c r="G41" s="104"/>
      <c r="H41" s="132">
        <f>H39+H40</f>
        <v>1155220</v>
      </c>
      <c r="I41" s="38"/>
    </row>
    <row r="42" spans="1:9" ht="15" thickBot="1" x14ac:dyDescent="0.35">
      <c r="A42" s="134"/>
      <c r="B42" s="135"/>
      <c r="C42" s="135"/>
      <c r="D42" s="57"/>
      <c r="E42" s="131"/>
      <c r="F42" s="131"/>
      <c r="G42" s="131"/>
      <c r="H42" s="133"/>
    </row>
  </sheetData>
  <mergeCells count="29">
    <mergeCell ref="E40:G40"/>
    <mergeCell ref="E41:G42"/>
    <mergeCell ref="H41:H42"/>
    <mergeCell ref="A42:C42"/>
    <mergeCell ref="B16:E16"/>
    <mergeCell ref="B19:E19"/>
    <mergeCell ref="A38:B38"/>
    <mergeCell ref="E39:G39"/>
    <mergeCell ref="E38:G38"/>
    <mergeCell ref="A39:B39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913A-2738-47EC-A40F-869DE93ABB2D}">
  <sheetPr>
    <pageSetUpPr fitToPage="1"/>
  </sheetPr>
  <dimension ref="A1:H42"/>
  <sheetViews>
    <sheetView showGridLines="0" topLeftCell="D1" workbookViewId="0">
      <selection activeCell="E11" sqref="E11:H11"/>
    </sheetView>
  </sheetViews>
  <sheetFormatPr defaultRowHeight="14.4" x14ac:dyDescent="0.3"/>
  <cols>
    <col min="3" max="3" width="15.33203125" customWidth="1"/>
    <col min="4" max="4" width="16.5546875" customWidth="1"/>
    <col min="5" max="5" width="6" customWidth="1"/>
    <col min="7" max="7" width="9.44140625" customWidth="1"/>
    <col min="8" max="8" width="18" customWidth="1"/>
  </cols>
  <sheetData>
    <row r="1" spans="1:8" ht="14.4" customHeight="1" x14ac:dyDescent="0.3">
      <c r="A1" s="58"/>
      <c r="B1" s="59"/>
      <c r="C1" s="29"/>
      <c r="D1" s="67" t="s">
        <v>0</v>
      </c>
      <c r="E1" s="67"/>
      <c r="F1" s="67"/>
      <c r="G1" s="67"/>
      <c r="H1" s="68"/>
    </row>
    <row r="2" spans="1:8" ht="14.4" customHeight="1" x14ac:dyDescent="0.3">
      <c r="A2" s="60"/>
      <c r="B2" s="61"/>
      <c r="C2" s="30"/>
      <c r="D2" s="69"/>
      <c r="E2" s="69"/>
      <c r="F2" s="69"/>
      <c r="G2" s="69"/>
      <c r="H2" s="70"/>
    </row>
    <row r="3" spans="1:8" x14ac:dyDescent="0.3">
      <c r="A3" s="60"/>
      <c r="B3" s="61"/>
      <c r="C3" s="62" t="s">
        <v>1</v>
      </c>
      <c r="D3" s="62"/>
      <c r="E3" s="62"/>
      <c r="F3" s="62"/>
      <c r="G3" s="63" t="s">
        <v>41</v>
      </c>
      <c r="H3" s="64"/>
    </row>
    <row r="4" spans="1:8" x14ac:dyDescent="0.3">
      <c r="A4" s="60"/>
      <c r="B4" s="61"/>
      <c r="C4" s="62" t="s">
        <v>3</v>
      </c>
      <c r="D4" s="62"/>
      <c r="E4" s="62"/>
      <c r="F4" s="62"/>
      <c r="G4" s="137">
        <v>45363</v>
      </c>
      <c r="H4" s="138"/>
    </row>
    <row r="5" spans="1:8" ht="3.6" customHeight="1" x14ac:dyDescent="0.3">
      <c r="A5" s="2"/>
      <c r="B5" s="1"/>
      <c r="C5" s="1"/>
      <c r="D5" s="1"/>
      <c r="E5" s="1"/>
      <c r="F5" s="1"/>
      <c r="G5" s="1"/>
      <c r="H5" s="3"/>
    </row>
    <row r="6" spans="1:8" ht="21" x14ac:dyDescent="0.4">
      <c r="A6" s="4" t="s">
        <v>4</v>
      </c>
      <c r="H6" s="5"/>
    </row>
    <row r="7" spans="1:8" x14ac:dyDescent="0.3">
      <c r="A7" s="72" t="s">
        <v>5</v>
      </c>
      <c r="B7" s="73"/>
      <c r="C7" s="73"/>
      <c r="D7" s="73"/>
      <c r="E7" s="73"/>
      <c r="F7" s="73"/>
      <c r="G7" s="73"/>
      <c r="H7" s="74"/>
    </row>
    <row r="8" spans="1:8" x14ac:dyDescent="0.3">
      <c r="A8" s="75"/>
      <c r="B8" s="76"/>
      <c r="C8" s="76"/>
      <c r="D8" s="76"/>
      <c r="E8" s="76"/>
      <c r="F8" s="76"/>
      <c r="G8" s="76"/>
      <c r="H8" s="77"/>
    </row>
    <row r="9" spans="1:8" x14ac:dyDescent="0.3">
      <c r="A9" s="78"/>
      <c r="B9" s="79"/>
      <c r="C9" s="79"/>
      <c r="D9" s="79"/>
      <c r="E9" s="79"/>
      <c r="F9" s="79"/>
      <c r="G9" s="79"/>
      <c r="H9" s="80"/>
    </row>
    <row r="10" spans="1:8" x14ac:dyDescent="0.3">
      <c r="A10" s="81" t="s">
        <v>6</v>
      </c>
      <c r="B10" s="82"/>
      <c r="C10" s="82"/>
      <c r="D10" s="82"/>
      <c r="E10" s="82" t="s">
        <v>7</v>
      </c>
      <c r="F10" s="82"/>
      <c r="G10" s="82"/>
      <c r="H10" s="83"/>
    </row>
    <row r="11" spans="1:8" ht="14.4" customHeight="1" x14ac:dyDescent="0.3">
      <c r="A11" s="84" t="s">
        <v>37</v>
      </c>
      <c r="B11" s="85"/>
      <c r="C11" s="85"/>
      <c r="D11" s="85"/>
      <c r="E11" s="85" t="str">
        <f>A11</f>
        <v>Steel Horse Auto Assembly Anantpur Ltd</v>
      </c>
      <c r="F11" s="85"/>
      <c r="G11" s="85"/>
      <c r="H11" s="86"/>
    </row>
    <row r="12" spans="1:8" x14ac:dyDescent="0.3">
      <c r="A12" s="87" t="s">
        <v>38</v>
      </c>
      <c r="B12" s="88"/>
      <c r="C12" s="88"/>
      <c r="D12" s="88"/>
      <c r="E12" s="89" t="str">
        <f t="shared" ref="E12:E13" si="0">A12</f>
        <v xml:space="preserve">123 MG Road, Anantapur, </v>
      </c>
      <c r="F12" s="89"/>
      <c r="G12" s="89"/>
      <c r="H12" s="90"/>
    </row>
    <row r="13" spans="1:8" x14ac:dyDescent="0.3">
      <c r="A13" s="87" t="s">
        <v>39</v>
      </c>
      <c r="B13" s="88"/>
      <c r="C13" s="88"/>
      <c r="D13" s="88"/>
      <c r="E13" s="89" t="str">
        <f t="shared" si="0"/>
        <v>Andhra Pradesh 515001, India</v>
      </c>
      <c r="F13" s="89"/>
      <c r="G13" s="89"/>
      <c r="H13" s="90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ht="27.6" x14ac:dyDescent="0.3">
      <c r="A15" s="7" t="s">
        <v>11</v>
      </c>
      <c r="B15" s="71" t="s">
        <v>12</v>
      </c>
      <c r="C15" s="71"/>
      <c r="D15" s="71"/>
      <c r="E15" s="71"/>
      <c r="F15" s="8" t="s">
        <v>13</v>
      </c>
      <c r="G15" s="9" t="s">
        <v>14</v>
      </c>
      <c r="H15" s="37" t="s">
        <v>15</v>
      </c>
    </row>
    <row r="16" spans="1:8" x14ac:dyDescent="0.3">
      <c r="A16" s="11">
        <v>1</v>
      </c>
      <c r="B16" s="107" t="s">
        <v>42</v>
      </c>
      <c r="C16" s="107"/>
      <c r="D16" s="107"/>
      <c r="E16" s="107"/>
      <c r="F16" s="13">
        <v>1000</v>
      </c>
      <c r="G16" s="13">
        <v>2522</v>
      </c>
      <c r="H16" s="14">
        <f>+F16*G16</f>
        <v>2522000</v>
      </c>
    </row>
    <row r="17" spans="1:8" x14ac:dyDescent="0.3">
      <c r="A17" s="15">
        <v>2</v>
      </c>
      <c r="B17" s="108" t="s">
        <v>28</v>
      </c>
      <c r="C17" s="108"/>
      <c r="D17" s="108"/>
      <c r="E17" s="108"/>
      <c r="F17" s="16">
        <v>2171</v>
      </c>
      <c r="G17" s="16">
        <v>1500</v>
      </c>
      <c r="H17" s="18">
        <f>F17*G17</f>
        <v>3256500</v>
      </c>
    </row>
    <row r="18" spans="1:8" x14ac:dyDescent="0.3">
      <c r="A18" s="15"/>
      <c r="B18" s="108"/>
      <c r="C18" s="108"/>
      <c r="D18" s="108"/>
      <c r="E18" s="108"/>
      <c r="F18" s="16"/>
      <c r="G18" s="16"/>
      <c r="H18" s="18"/>
    </row>
    <row r="19" spans="1:8" x14ac:dyDescent="0.3">
      <c r="A19" s="15"/>
      <c r="B19" s="99"/>
      <c r="C19" s="99"/>
      <c r="D19" s="99"/>
      <c r="E19" s="99"/>
      <c r="F19" s="13"/>
      <c r="G19" s="21"/>
      <c r="H19" s="18"/>
    </row>
    <row r="20" spans="1:8" x14ac:dyDescent="0.3">
      <c r="A20" s="15"/>
      <c r="B20" s="12"/>
      <c r="C20" s="12"/>
      <c r="D20" s="12"/>
      <c r="E20" s="12"/>
      <c r="F20" s="13"/>
      <c r="G20" s="21"/>
      <c r="H20" s="18"/>
    </row>
    <row r="21" spans="1:8" x14ac:dyDescent="0.3">
      <c r="A21" s="15"/>
      <c r="B21" s="12"/>
      <c r="C21" s="12"/>
      <c r="D21" s="12"/>
      <c r="E21" s="12"/>
      <c r="F21" s="13"/>
      <c r="G21" s="21"/>
      <c r="H21" s="18"/>
    </row>
    <row r="22" spans="1:8" x14ac:dyDescent="0.3">
      <c r="A22" s="15"/>
      <c r="B22" s="12"/>
      <c r="C22" s="12"/>
      <c r="D22" s="12"/>
      <c r="E22" s="12"/>
      <c r="F22" s="13"/>
      <c r="G22" s="21"/>
      <c r="H22" s="18"/>
    </row>
    <row r="23" spans="1:8" x14ac:dyDescent="0.3">
      <c r="A23" s="15"/>
      <c r="B23" s="12"/>
      <c r="C23" s="12"/>
      <c r="D23" s="12"/>
      <c r="E23" s="12"/>
      <c r="F23" s="13"/>
      <c r="G23" s="21"/>
      <c r="H23" s="18"/>
    </row>
    <row r="24" spans="1:8" x14ac:dyDescent="0.3">
      <c r="A24" s="15"/>
      <c r="B24" s="12"/>
      <c r="C24" s="12"/>
      <c r="D24" s="12"/>
      <c r="E24" s="12"/>
      <c r="F24" s="13"/>
      <c r="G24" s="21"/>
      <c r="H24" s="18"/>
    </row>
    <row r="25" spans="1:8" x14ac:dyDescent="0.3">
      <c r="A25" s="15"/>
      <c r="B25" s="12"/>
      <c r="C25" s="12"/>
      <c r="D25" s="12"/>
      <c r="E25" s="12"/>
      <c r="F25" s="13"/>
      <c r="G25" s="21"/>
      <c r="H25" s="18"/>
    </row>
    <row r="26" spans="1:8" x14ac:dyDescent="0.3">
      <c r="A26" s="15"/>
      <c r="B26" s="12"/>
      <c r="C26" s="12"/>
      <c r="D26" s="12"/>
      <c r="E26" s="12"/>
      <c r="F26" s="13"/>
      <c r="G26" s="21"/>
      <c r="H26" s="18"/>
    </row>
    <row r="27" spans="1:8" x14ac:dyDescent="0.3">
      <c r="A27" s="15"/>
      <c r="B27" s="12"/>
      <c r="C27" s="12"/>
      <c r="D27" s="12"/>
      <c r="E27" s="12"/>
      <c r="F27" s="13"/>
      <c r="G27" s="21"/>
      <c r="H27" s="20"/>
    </row>
    <row r="28" spans="1:8" x14ac:dyDescent="0.3">
      <c r="A28" s="15"/>
      <c r="B28" s="12"/>
      <c r="C28" s="12"/>
      <c r="D28" s="12"/>
      <c r="E28" s="12"/>
      <c r="F28" s="13"/>
      <c r="G28" s="21"/>
      <c r="H28" s="20"/>
    </row>
    <row r="29" spans="1:8" x14ac:dyDescent="0.3">
      <c r="A29" s="15"/>
      <c r="B29" s="12"/>
      <c r="C29" s="12"/>
      <c r="D29" s="12"/>
      <c r="E29" s="12"/>
      <c r="F29" s="13"/>
      <c r="G29" s="21"/>
      <c r="H29" s="20"/>
    </row>
    <row r="30" spans="1:8" x14ac:dyDescent="0.3">
      <c r="A30" s="15"/>
      <c r="B30" s="12"/>
      <c r="C30" s="12"/>
      <c r="D30" s="12"/>
      <c r="E30" s="12"/>
      <c r="F30" s="13"/>
      <c r="G30" s="21"/>
      <c r="H30" s="20"/>
    </row>
    <row r="31" spans="1:8" x14ac:dyDescent="0.3">
      <c r="A31" s="15"/>
      <c r="B31" s="12"/>
      <c r="C31" s="12"/>
      <c r="D31" s="12"/>
      <c r="E31" s="12"/>
      <c r="F31" s="13"/>
      <c r="G31" s="21"/>
      <c r="H31" s="20"/>
    </row>
    <row r="32" spans="1:8" x14ac:dyDescent="0.3">
      <c r="A32" s="15"/>
      <c r="B32" s="12"/>
      <c r="C32" s="12"/>
      <c r="D32" s="12"/>
      <c r="E32" s="12"/>
      <c r="F32" s="13"/>
      <c r="G32" s="21"/>
      <c r="H32" s="20"/>
    </row>
    <row r="33" spans="1:8" x14ac:dyDescent="0.3">
      <c r="A33" s="15"/>
      <c r="B33" s="12"/>
      <c r="C33" s="12"/>
      <c r="D33" s="12"/>
      <c r="E33" s="12"/>
      <c r="F33" s="13"/>
      <c r="G33" s="21"/>
      <c r="H33" s="20"/>
    </row>
    <row r="34" spans="1:8" x14ac:dyDescent="0.3">
      <c r="A34" s="15"/>
      <c r="B34" s="12"/>
      <c r="C34" s="12"/>
      <c r="D34" s="12"/>
      <c r="E34" s="12"/>
      <c r="F34" s="13"/>
      <c r="G34" s="21"/>
      <c r="H34" s="20"/>
    </row>
    <row r="35" spans="1:8" x14ac:dyDescent="0.3">
      <c r="A35" s="15"/>
      <c r="B35" s="12"/>
      <c r="C35" s="12"/>
      <c r="D35" s="12"/>
      <c r="E35" s="12"/>
      <c r="F35" s="13"/>
      <c r="G35" s="21"/>
      <c r="H35" s="20"/>
    </row>
    <row r="36" spans="1:8" x14ac:dyDescent="0.3">
      <c r="A36" s="15"/>
      <c r="B36" s="12"/>
      <c r="C36" s="12"/>
      <c r="D36" s="12"/>
      <c r="E36" s="12"/>
      <c r="F36" s="13"/>
      <c r="G36" s="21"/>
      <c r="H36" s="20"/>
    </row>
    <row r="37" spans="1:8" x14ac:dyDescent="0.3">
      <c r="A37" s="15"/>
      <c r="B37" s="99"/>
      <c r="C37" s="99"/>
      <c r="D37" s="99"/>
      <c r="E37" s="99"/>
      <c r="F37" s="13"/>
      <c r="G37" s="21"/>
      <c r="H37" s="20"/>
    </row>
    <row r="38" spans="1:8" ht="21" customHeight="1" x14ac:dyDescent="0.3">
      <c r="A38" s="100"/>
      <c r="B38" s="101"/>
      <c r="C38" s="22"/>
      <c r="D38" s="22"/>
      <c r="E38" s="106" t="s">
        <v>18</v>
      </c>
      <c r="F38" s="106"/>
      <c r="G38" s="106"/>
      <c r="H38" s="23">
        <f>H16+H17-H18</f>
        <v>5778500</v>
      </c>
    </row>
    <row r="39" spans="1:8" ht="21" x14ac:dyDescent="0.3">
      <c r="A39" s="100"/>
      <c r="B39" s="101"/>
      <c r="C39" s="22"/>
      <c r="D39" s="22"/>
      <c r="E39" s="102" t="s">
        <v>19</v>
      </c>
      <c r="F39" s="102"/>
      <c r="G39" s="102"/>
      <c r="H39" s="26">
        <f>H38</f>
        <v>5778500</v>
      </c>
    </row>
    <row r="40" spans="1:8" ht="18.600000000000001" customHeight="1" x14ac:dyDescent="0.3">
      <c r="A40" s="24"/>
      <c r="B40" s="25"/>
      <c r="C40" s="25"/>
      <c r="D40" s="6"/>
      <c r="E40" s="103" t="s">
        <v>20</v>
      </c>
      <c r="F40" s="103"/>
      <c r="G40" s="103"/>
      <c r="H40" s="27">
        <f>H39*18%</f>
        <v>1040130</v>
      </c>
    </row>
    <row r="41" spans="1:8" x14ac:dyDescent="0.3">
      <c r="A41" s="24"/>
      <c r="B41" s="25"/>
      <c r="C41" s="25"/>
      <c r="D41" s="6"/>
      <c r="E41" s="104" t="s">
        <v>21</v>
      </c>
      <c r="F41" s="104"/>
      <c r="G41" s="104"/>
      <c r="H41" s="94">
        <f>H39+H40</f>
        <v>6818630</v>
      </c>
    </row>
    <row r="42" spans="1:8" ht="15" thickBot="1" x14ac:dyDescent="0.35">
      <c r="A42" s="96"/>
      <c r="B42" s="97"/>
      <c r="C42" s="97"/>
      <c r="D42" s="28"/>
      <c r="E42" s="105"/>
      <c r="F42" s="105"/>
      <c r="G42" s="105"/>
      <c r="H42" s="95"/>
    </row>
  </sheetData>
  <mergeCells count="32">
    <mergeCell ref="E40:G40"/>
    <mergeCell ref="E41:G42"/>
    <mergeCell ref="H41:H42"/>
    <mergeCell ref="A42:C42"/>
    <mergeCell ref="B16:E16"/>
    <mergeCell ref="B17:E17"/>
    <mergeCell ref="B18:E18"/>
    <mergeCell ref="B19:E19"/>
    <mergeCell ref="A38:B38"/>
    <mergeCell ref="E39:G39"/>
    <mergeCell ref="B37:E37"/>
    <mergeCell ref="E38:G38"/>
    <mergeCell ref="A39:B39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18C1-52A2-40F5-8B8A-15CED8923618}">
  <sheetPr>
    <pageSetUpPr fitToPage="1"/>
  </sheetPr>
  <dimension ref="A1:H42"/>
  <sheetViews>
    <sheetView showGridLines="0" tabSelected="1" workbookViewId="0">
      <selection activeCell="M19" sqref="M19"/>
    </sheetView>
  </sheetViews>
  <sheetFormatPr defaultRowHeight="14.4" x14ac:dyDescent="0.3"/>
  <cols>
    <col min="3" max="3" width="15.33203125" customWidth="1"/>
    <col min="4" max="4" width="16.5546875" customWidth="1"/>
    <col min="5" max="5" width="6" customWidth="1"/>
    <col min="7" max="7" width="9.44140625" customWidth="1"/>
    <col min="8" max="8" width="17" customWidth="1"/>
  </cols>
  <sheetData>
    <row r="1" spans="1:8" ht="14.4" customHeight="1" x14ac:dyDescent="0.3">
      <c r="A1" s="58"/>
      <c r="B1" s="59"/>
      <c r="C1" s="29"/>
      <c r="D1" s="67" t="s">
        <v>0</v>
      </c>
      <c r="E1" s="67"/>
      <c r="F1" s="67"/>
      <c r="G1" s="67"/>
      <c r="H1" s="68"/>
    </row>
    <row r="2" spans="1:8" ht="14.4" customHeight="1" x14ac:dyDescent="0.3">
      <c r="A2" s="60"/>
      <c r="B2" s="61"/>
      <c r="C2" s="30"/>
      <c r="D2" s="69"/>
      <c r="E2" s="69"/>
      <c r="F2" s="69"/>
      <c r="G2" s="69"/>
      <c r="H2" s="70"/>
    </row>
    <row r="3" spans="1:8" x14ac:dyDescent="0.3">
      <c r="A3" s="60"/>
      <c r="B3" s="61"/>
      <c r="C3" s="62" t="s">
        <v>1</v>
      </c>
      <c r="D3" s="62"/>
      <c r="E3" s="62"/>
      <c r="F3" s="62"/>
      <c r="G3" s="63" t="s">
        <v>43</v>
      </c>
      <c r="H3" s="64"/>
    </row>
    <row r="4" spans="1:8" x14ac:dyDescent="0.3">
      <c r="A4" s="60"/>
      <c r="B4" s="61"/>
      <c r="C4" s="62" t="s">
        <v>3</v>
      </c>
      <c r="D4" s="62"/>
      <c r="E4" s="62"/>
      <c r="F4" s="62"/>
      <c r="G4" s="65">
        <v>45625</v>
      </c>
      <c r="H4" s="66"/>
    </row>
    <row r="5" spans="1:8" ht="3.6" customHeight="1" x14ac:dyDescent="0.3">
      <c r="A5" s="2"/>
      <c r="B5" s="1"/>
      <c r="C5" s="1"/>
      <c r="D5" s="1"/>
      <c r="E5" s="1"/>
      <c r="F5" s="1"/>
      <c r="G5" s="1"/>
      <c r="H5" s="3"/>
    </row>
    <row r="6" spans="1:8" ht="21" x14ac:dyDescent="0.4">
      <c r="A6" s="4" t="s">
        <v>4</v>
      </c>
      <c r="H6" s="5"/>
    </row>
    <row r="7" spans="1:8" x14ac:dyDescent="0.3">
      <c r="A7" s="72" t="s">
        <v>5</v>
      </c>
      <c r="B7" s="73"/>
      <c r="C7" s="73"/>
      <c r="D7" s="73"/>
      <c r="E7" s="73"/>
      <c r="F7" s="73"/>
      <c r="G7" s="73"/>
      <c r="H7" s="74"/>
    </row>
    <row r="8" spans="1:8" x14ac:dyDescent="0.3">
      <c r="A8" s="75"/>
      <c r="B8" s="76"/>
      <c r="C8" s="76"/>
      <c r="D8" s="76"/>
      <c r="E8" s="76"/>
      <c r="F8" s="76"/>
      <c r="G8" s="76"/>
      <c r="H8" s="77"/>
    </row>
    <row r="9" spans="1:8" x14ac:dyDescent="0.3">
      <c r="A9" s="78"/>
      <c r="B9" s="79"/>
      <c r="C9" s="79"/>
      <c r="D9" s="79"/>
      <c r="E9" s="79"/>
      <c r="F9" s="79"/>
      <c r="G9" s="79"/>
      <c r="H9" s="80"/>
    </row>
    <row r="10" spans="1:8" x14ac:dyDescent="0.3">
      <c r="A10" s="81" t="s">
        <v>6</v>
      </c>
      <c r="B10" s="82"/>
      <c r="C10" s="82"/>
      <c r="D10" s="82"/>
      <c r="E10" s="82" t="s">
        <v>7</v>
      </c>
      <c r="F10" s="82"/>
      <c r="G10" s="82"/>
      <c r="H10" s="83"/>
    </row>
    <row r="11" spans="1:8" ht="14.4" customHeight="1" x14ac:dyDescent="0.3">
      <c r="A11" s="84" t="s">
        <v>44</v>
      </c>
      <c r="B11" s="85"/>
      <c r="C11" s="85"/>
      <c r="D11" s="85"/>
      <c r="E11" s="85" t="str">
        <f>A11</f>
        <v>Steel Horse Auto Assembly NJ Inc</v>
      </c>
      <c r="F11" s="85"/>
      <c r="G11" s="85"/>
      <c r="H11" s="86"/>
    </row>
    <row r="12" spans="1:8" x14ac:dyDescent="0.3">
      <c r="A12" s="87" t="s">
        <v>45</v>
      </c>
      <c r="B12" s="88"/>
      <c r="C12" s="88"/>
      <c r="D12" s="88"/>
      <c r="E12" s="89" t="str">
        <f t="shared" ref="E12:E13" si="0">A12</f>
        <v xml:space="preserve">0015 Angela Mission, Kathyborough, </v>
      </c>
      <c r="F12" s="89"/>
      <c r="G12" s="89"/>
      <c r="H12" s="90"/>
    </row>
    <row r="13" spans="1:8" x14ac:dyDescent="0.3">
      <c r="A13" s="87" t="s">
        <v>46</v>
      </c>
      <c r="B13" s="88"/>
      <c r="C13" s="88"/>
      <c r="D13" s="88"/>
      <c r="E13" s="89" t="str">
        <f t="shared" si="0"/>
        <v>New Jersey, Unidaded States</v>
      </c>
      <c r="F13" s="89"/>
      <c r="G13" s="89"/>
      <c r="H13" s="90"/>
    </row>
    <row r="14" spans="1:8" x14ac:dyDescent="0.3">
      <c r="A14" s="91"/>
      <c r="B14" s="92"/>
      <c r="C14" s="92"/>
      <c r="D14" s="92"/>
      <c r="E14" s="92"/>
      <c r="F14" s="92"/>
      <c r="G14" s="92"/>
      <c r="H14" s="93"/>
    </row>
    <row r="15" spans="1:8" ht="27.6" x14ac:dyDescent="0.3">
      <c r="A15" s="7" t="s">
        <v>11</v>
      </c>
      <c r="B15" s="71" t="s">
        <v>12</v>
      </c>
      <c r="C15" s="71"/>
      <c r="D15" s="71"/>
      <c r="E15" s="71"/>
      <c r="F15" s="8" t="s">
        <v>13</v>
      </c>
      <c r="G15" s="9" t="s">
        <v>14</v>
      </c>
      <c r="H15" s="37" t="s">
        <v>15</v>
      </c>
    </row>
    <row r="16" spans="1:8" x14ac:dyDescent="0.3">
      <c r="A16" s="11">
        <v>1</v>
      </c>
      <c r="B16" s="107" t="s">
        <v>47</v>
      </c>
      <c r="C16" s="107"/>
      <c r="D16" s="107"/>
      <c r="E16" s="107"/>
      <c r="F16" s="13">
        <v>1500</v>
      </c>
      <c r="G16" s="13">
        <v>2500</v>
      </c>
      <c r="H16" s="14">
        <f>+F16*G16</f>
        <v>3750000</v>
      </c>
    </row>
    <row r="17" spans="1:8" ht="14.4" customHeight="1" x14ac:dyDescent="0.3">
      <c r="A17" s="15"/>
      <c r="B17" s="99"/>
      <c r="C17" s="99"/>
      <c r="D17" s="99"/>
      <c r="E17" s="99"/>
      <c r="F17" s="13"/>
      <c r="G17" s="21"/>
      <c r="H17" s="18"/>
    </row>
    <row r="18" spans="1:8" x14ac:dyDescent="0.3">
      <c r="A18" s="15"/>
      <c r="B18" s="99"/>
      <c r="C18" s="99"/>
      <c r="D18" s="99"/>
      <c r="E18" s="99"/>
      <c r="F18" s="13"/>
      <c r="G18" s="21"/>
      <c r="H18" s="18"/>
    </row>
    <row r="19" spans="1:8" x14ac:dyDescent="0.3">
      <c r="A19" s="15"/>
      <c r="B19" s="99"/>
      <c r="C19" s="99"/>
      <c r="D19" s="99"/>
      <c r="E19" s="99"/>
      <c r="F19" s="13"/>
      <c r="G19" s="21"/>
      <c r="H19" s="18"/>
    </row>
    <row r="20" spans="1:8" x14ac:dyDescent="0.3">
      <c r="A20" s="15"/>
      <c r="B20" s="12"/>
      <c r="C20" s="12"/>
      <c r="D20" s="12"/>
      <c r="E20" s="12"/>
      <c r="F20" s="13"/>
      <c r="G20" s="21"/>
      <c r="H20" s="18"/>
    </row>
    <row r="21" spans="1:8" x14ac:dyDescent="0.3">
      <c r="A21" s="15"/>
      <c r="B21" s="12"/>
      <c r="C21" s="12"/>
      <c r="D21" s="12"/>
      <c r="E21" s="12"/>
      <c r="F21" s="13"/>
      <c r="G21" s="21"/>
      <c r="H21" s="18"/>
    </row>
    <row r="22" spans="1:8" x14ac:dyDescent="0.3">
      <c r="A22" s="15"/>
      <c r="B22" s="12"/>
      <c r="C22" s="12"/>
      <c r="D22" s="12"/>
      <c r="E22" s="12"/>
      <c r="F22" s="13"/>
      <c r="G22" s="21"/>
      <c r="H22" s="18"/>
    </row>
    <row r="23" spans="1:8" x14ac:dyDescent="0.3">
      <c r="A23" s="15"/>
      <c r="B23" s="12"/>
      <c r="C23" s="12"/>
      <c r="D23" s="12"/>
      <c r="E23" s="12"/>
      <c r="F23" s="13"/>
      <c r="G23" s="21"/>
      <c r="H23" s="18"/>
    </row>
    <row r="24" spans="1:8" x14ac:dyDescent="0.3">
      <c r="A24" s="15"/>
      <c r="B24" s="12"/>
      <c r="C24" s="12"/>
      <c r="D24" s="12"/>
      <c r="E24" s="12"/>
      <c r="F24" s="13"/>
      <c r="G24" s="21"/>
      <c r="H24" s="18"/>
    </row>
    <row r="25" spans="1:8" x14ac:dyDescent="0.3">
      <c r="A25" s="15"/>
      <c r="B25" s="12"/>
      <c r="C25" s="12"/>
      <c r="D25" s="12"/>
      <c r="E25" s="12"/>
      <c r="F25" s="13"/>
      <c r="G25" s="21"/>
      <c r="H25" s="18"/>
    </row>
    <row r="26" spans="1:8" x14ac:dyDescent="0.3">
      <c r="A26" s="15"/>
      <c r="B26" s="12"/>
      <c r="C26" s="12"/>
      <c r="D26" s="12"/>
      <c r="E26" s="12"/>
      <c r="F26" s="13"/>
      <c r="G26" s="21"/>
      <c r="H26" s="18"/>
    </row>
    <row r="27" spans="1:8" x14ac:dyDescent="0.3">
      <c r="A27" s="15"/>
      <c r="B27" s="12"/>
      <c r="C27" s="12"/>
      <c r="D27" s="12"/>
      <c r="E27" s="12"/>
      <c r="F27" s="13"/>
      <c r="G27" s="21"/>
      <c r="H27" s="20"/>
    </row>
    <row r="28" spans="1:8" x14ac:dyDescent="0.3">
      <c r="A28" s="15"/>
      <c r="B28" s="12"/>
      <c r="C28" s="12"/>
      <c r="D28" s="12"/>
      <c r="E28" s="12"/>
      <c r="F28" s="13"/>
      <c r="G28" s="21"/>
      <c r="H28" s="20"/>
    </row>
    <row r="29" spans="1:8" x14ac:dyDescent="0.3">
      <c r="A29" s="15"/>
      <c r="B29" s="12"/>
      <c r="C29" s="12"/>
      <c r="D29" s="12"/>
      <c r="E29" s="12"/>
      <c r="F29" s="13"/>
      <c r="G29" s="21"/>
      <c r="H29" s="20"/>
    </row>
    <row r="30" spans="1:8" x14ac:dyDescent="0.3">
      <c r="A30" s="15"/>
      <c r="B30" s="12"/>
      <c r="C30" s="12"/>
      <c r="D30" s="12"/>
      <c r="E30" s="12"/>
      <c r="F30" s="13"/>
      <c r="G30" s="21"/>
      <c r="H30" s="20"/>
    </row>
    <row r="31" spans="1:8" x14ac:dyDescent="0.3">
      <c r="A31" s="15"/>
      <c r="B31" s="12"/>
      <c r="C31" s="12"/>
      <c r="D31" s="12"/>
      <c r="E31" s="12"/>
      <c r="F31" s="13"/>
      <c r="G31" s="21"/>
      <c r="H31" s="20"/>
    </row>
    <row r="32" spans="1:8" x14ac:dyDescent="0.3">
      <c r="A32" s="15"/>
      <c r="B32" s="12"/>
      <c r="C32" s="12"/>
      <c r="D32" s="12"/>
      <c r="E32" s="12"/>
      <c r="F32" s="13"/>
      <c r="G32" s="21"/>
      <c r="H32" s="20"/>
    </row>
    <row r="33" spans="1:8" x14ac:dyDescent="0.3">
      <c r="A33" s="15"/>
      <c r="B33" s="12"/>
      <c r="C33" s="12"/>
      <c r="D33" s="12"/>
      <c r="E33" s="12"/>
      <c r="F33" s="13"/>
      <c r="G33" s="21"/>
      <c r="H33" s="20"/>
    </row>
    <row r="34" spans="1:8" x14ac:dyDescent="0.3">
      <c r="A34" s="15"/>
      <c r="B34" s="12"/>
      <c r="C34" s="12"/>
      <c r="D34" s="12"/>
      <c r="E34" s="12"/>
      <c r="F34" s="13"/>
      <c r="G34" s="21"/>
      <c r="H34" s="20"/>
    </row>
    <row r="35" spans="1:8" x14ac:dyDescent="0.3">
      <c r="A35" s="15"/>
      <c r="B35" s="12"/>
      <c r="C35" s="12"/>
      <c r="D35" s="12"/>
      <c r="E35" s="12"/>
      <c r="F35" s="13"/>
      <c r="G35" s="21"/>
      <c r="H35" s="20"/>
    </row>
    <row r="36" spans="1:8" x14ac:dyDescent="0.3">
      <c r="A36" s="15"/>
      <c r="B36" s="12"/>
      <c r="C36" s="12"/>
      <c r="D36" s="12"/>
      <c r="E36" s="12"/>
      <c r="F36" s="13"/>
      <c r="G36" s="21"/>
      <c r="H36" s="20"/>
    </row>
    <row r="37" spans="1:8" x14ac:dyDescent="0.3">
      <c r="A37" s="15"/>
      <c r="B37" s="99"/>
      <c r="C37" s="99"/>
      <c r="D37" s="99"/>
      <c r="E37" s="99"/>
      <c r="F37" s="13"/>
      <c r="G37" s="21"/>
      <c r="H37" s="20"/>
    </row>
    <row r="38" spans="1:8" ht="21" customHeight="1" x14ac:dyDescent="0.3">
      <c r="A38" s="100"/>
      <c r="B38" s="101"/>
      <c r="C38" s="22"/>
      <c r="D38" s="22"/>
      <c r="E38" s="106" t="s">
        <v>18</v>
      </c>
      <c r="F38" s="106"/>
      <c r="G38" s="106"/>
      <c r="H38" s="23">
        <f>H16-H17</f>
        <v>3750000</v>
      </c>
    </row>
    <row r="39" spans="1:8" ht="21" x14ac:dyDescent="0.3">
      <c r="A39" s="35"/>
      <c r="B39" s="36"/>
      <c r="C39" s="36"/>
      <c r="D39" s="36"/>
      <c r="E39" s="102" t="s">
        <v>19</v>
      </c>
      <c r="F39" s="102"/>
      <c r="G39" s="102"/>
      <c r="H39" s="26">
        <f>H38</f>
        <v>3750000</v>
      </c>
    </row>
    <row r="40" spans="1:8" ht="18.600000000000001" customHeight="1" x14ac:dyDescent="0.3">
      <c r="A40" s="24"/>
      <c r="B40" s="25"/>
      <c r="C40" s="25"/>
      <c r="D40" s="6"/>
      <c r="E40" s="103" t="s">
        <v>20</v>
      </c>
      <c r="F40" s="103"/>
      <c r="G40" s="103"/>
      <c r="H40" s="27">
        <f>H39*18%</f>
        <v>675000</v>
      </c>
    </row>
    <row r="41" spans="1:8" x14ac:dyDescent="0.3">
      <c r="A41" s="24"/>
      <c r="B41" s="25"/>
      <c r="C41" s="25"/>
      <c r="D41" s="6"/>
      <c r="E41" s="104" t="s">
        <v>21</v>
      </c>
      <c r="F41" s="104"/>
      <c r="G41" s="104"/>
      <c r="H41" s="94">
        <f>H39+H40</f>
        <v>4425000</v>
      </c>
    </row>
    <row r="42" spans="1:8" ht="15" thickBot="1" x14ac:dyDescent="0.35">
      <c r="A42" s="96"/>
      <c r="B42" s="97"/>
      <c r="C42" s="97"/>
      <c r="D42" s="28"/>
      <c r="E42" s="105"/>
      <c r="F42" s="105"/>
      <c r="G42" s="105"/>
      <c r="H42" s="95"/>
    </row>
  </sheetData>
  <mergeCells count="31">
    <mergeCell ref="E40:G40"/>
    <mergeCell ref="E41:G42"/>
    <mergeCell ref="H41:H42"/>
    <mergeCell ref="A42:C42"/>
    <mergeCell ref="B16:E16"/>
    <mergeCell ref="B17:E17"/>
    <mergeCell ref="B18:E18"/>
    <mergeCell ref="B19:E19"/>
    <mergeCell ref="A38:B38"/>
    <mergeCell ref="E39:G39"/>
    <mergeCell ref="B37:E37"/>
    <mergeCell ref="E38:G38"/>
    <mergeCell ref="B15:E15"/>
    <mergeCell ref="A7:H7"/>
    <mergeCell ref="A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H14"/>
    <mergeCell ref="A1:B4"/>
    <mergeCell ref="C3:F3"/>
    <mergeCell ref="G3:H3"/>
    <mergeCell ref="C4:F4"/>
    <mergeCell ref="G4:H4"/>
    <mergeCell ref="D1:H2"/>
  </mergeCells>
  <pageMargins left="0.7" right="0.7" top="0.75" bottom="0.75" header="0.3" footer="0.3"/>
  <pageSetup paperSize="9" fitToHeight="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4D3F0E-8FC9-4042-8119-0CD0D134CC67}">
  <ds:schemaRefs>
    <ds:schemaRef ds:uri="http://schemas.microsoft.com/office/2006/metadata/properties"/>
    <ds:schemaRef ds:uri="http://schemas.microsoft.com/office/infopath/2007/PartnerControls"/>
    <ds:schemaRef ds:uri="a3ee3419-f813-43ff-8070-dce059c64b7d"/>
    <ds:schemaRef ds:uri="1e3a9498-45e1-4121-9cf9-83f762cff582"/>
  </ds:schemaRefs>
</ds:datastoreItem>
</file>

<file path=customXml/itemProps2.xml><?xml version="1.0" encoding="utf-8"?>
<ds:datastoreItem xmlns:ds="http://schemas.openxmlformats.org/officeDocument/2006/customXml" ds:itemID="{C366F44D-1F79-4FA8-9DDB-0CD4CC531B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7D840D-1AC7-467B-8E11-7D8ACC8C80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22201-24 ADAC</vt:lpstr>
      <vt:lpstr>33984-24 ADAC</vt:lpstr>
      <vt:lpstr>41953-24 ADAC</vt:lpstr>
      <vt:lpstr>72792-24 ADAC</vt:lpstr>
      <vt:lpstr>83838-24 ADAC</vt:lpstr>
      <vt:lpstr>13259-24 ADAC</vt:lpstr>
      <vt:lpstr>81864-24 ADAC</vt:lpstr>
      <vt:lpstr>'33984-24 ADAC'!Print_Area</vt:lpstr>
      <vt:lpstr>'83838-24 ADAC'!Print_Area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Krishna Kumar Sharma</cp:lastModifiedBy>
  <cp:revision/>
  <dcterms:created xsi:type="dcterms:W3CDTF">2022-09-26T06:30:17Z</dcterms:created>
  <dcterms:modified xsi:type="dcterms:W3CDTF">2025-03-07T15:34:36Z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