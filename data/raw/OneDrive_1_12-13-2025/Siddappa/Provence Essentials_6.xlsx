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149" documentId="13_ncr:1_{1527A65D-8A3D-40C5-8B1C-868F5B6D7BEE}" xr6:coauthVersionLast="47" xr6:coauthVersionMax="47" xr10:uidLastSave="{77E0E3CD-F89B-42E4-85A0-88C9E7A66CDC}"/>
  <bookViews>
    <workbookView xWindow="-108" yWindow="-108" windowWidth="23256" windowHeight="12456" firstSheet="5" activeTab="5" xr2:uid="{00000000-000D-0000-FFFF-FFFF00000000}"/>
  </bookViews>
  <sheets>
    <sheet name="22386 PE~2024" sheetId="2" r:id="rId1"/>
    <sheet name="46891 24 PRES" sheetId="3" r:id="rId2"/>
    <sheet name="54472 24 PRES" sheetId="4" r:id="rId3"/>
    <sheet name="96159-24 PRES" sheetId="5" r:id="rId4"/>
    <sheet name="100110-24 PRES" sheetId="6" r:id="rId5"/>
    <sheet name="100111-24 PRE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7" l="1"/>
  <c r="H40" i="6"/>
  <c r="H40" i="5"/>
  <c r="H40" i="4"/>
  <c r="H40" i="2"/>
  <c r="H37" i="2"/>
  <c r="H16" i="3"/>
  <c r="H37" i="3" s="1"/>
  <c r="H39" i="3" s="1"/>
  <c r="H40" i="3" s="1"/>
  <c r="H15" i="7"/>
  <c r="H37" i="7" s="1"/>
  <c r="H39" i="7" s="1"/>
  <c r="H41" i="7" s="1"/>
  <c r="E9" i="7"/>
  <c r="E8" i="7"/>
  <c r="E7" i="7"/>
  <c r="E7" i="5"/>
  <c r="H16" i="4"/>
  <c r="H37" i="4" s="1"/>
  <c r="H15" i="6"/>
  <c r="E9" i="6"/>
  <c r="E8" i="6"/>
  <c r="E7" i="6"/>
  <c r="H15" i="5"/>
  <c r="E9" i="5"/>
  <c r="E8" i="5"/>
  <c r="H15" i="4"/>
  <c r="E9" i="4"/>
  <c r="E8" i="4"/>
  <c r="E7" i="4"/>
  <c r="H15" i="3"/>
  <c r="E9" i="3"/>
  <c r="E8" i="3"/>
  <c r="E7" i="3"/>
  <c r="H15" i="2"/>
  <c r="H39" i="2" s="1"/>
  <c r="H41" i="2" s="1"/>
  <c r="E9" i="2"/>
  <c r="E8" i="2"/>
  <c r="E7" i="2"/>
  <c r="H37" i="5" l="1"/>
  <c r="H37" i="6"/>
  <c r="H39" i="5"/>
  <c r="H41" i="5" s="1"/>
  <c r="H39" i="6"/>
  <c r="H41" i="6" s="1"/>
  <c r="H39" i="4"/>
  <c r="H41" i="4" s="1"/>
  <c r="H4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tc={ECAC8070-C538-46A4-A2BD-76C574BB3E67}</author>
    <author>tc={057B254A-467E-43A0-B81C-452F0C1B5137}</author>
  </authors>
  <commentList>
    <comment ref="B15" authorId="0" shapeId="0" xr:uid="{ECAC8070-C538-46A4-A2BD-76C574BB3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Piston Rings</t>
      </text>
    </comment>
    <comment ref="B16" authorId="1" shapeId="0" xr:uid="{057B254A-467E-43A0-B81C-452F0C1B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First-Time Customer Discount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tc={3FD7358F-E5F0-4424-9F4C-BBF6144A3C59}</author>
    <author>tc={8C0CD97D-7ACC-419C-81C4-2C1ED8AF611C}</author>
  </authors>
  <commentList>
    <comment ref="B15" authorId="0" shapeId="0" xr:uid="{3FD7358F-E5F0-4424-9F4C-BBF6144A3C59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Alternator</t>
      </text>
    </comment>
    <comment ref="B16" authorId="1" shapeId="0" xr:uid="{8C0CD97D-7ACC-419C-81C4-2C1ED8AF611C}">
      <text>
        <t>[Threaded comment]
Your version of Excel allows you to read this threaded comment; however, any edits to it will get removed if the file is opened in a newer version of Excel. Learn more: https://go.microsoft.com/fwlink/?linkid=870924
Comment:
    Tyres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tc={DDA322C4-C4B4-451E-B2A8-6B5467983FA7}</author>
    <author>tc={DB5595D1-4A35-4050-A7ED-62232229154F}</author>
    <author>tc={79B9E0FA-9D91-4D0D-8709-D76D8FAD1EF9}</author>
  </authors>
  <commentList>
    <comment ref="B15" authorId="0" shapeId="0" xr:uid="{DDA322C4-C4B4-451E-B2A8-6B5467983FA7}">
      <text>
        <t>[Threaded comment]
Your version of Excel allows you to read this threaded comment; however, any edits to it will get removed if the file is opened in a newer version of Excel. Learn more: https://go.microsoft.com/fwlink/?linkid=870924
Comment:
    Oil Pump</t>
      </text>
    </comment>
    <comment ref="B16" authorId="1" shapeId="0" xr:uid="{DB5595D1-4A35-4050-A7ED-62232229154F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Windshield</t>
      </text>
    </comment>
    <comment ref="B17" authorId="2" shapeId="0" xr:uid="{79B9E0FA-9D91-4D0D-8709-D76D8FAD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tc={6FAE627B-569C-46B8-808A-A2BE1A4D1B6F}</author>
    <author>tc={3C3517EF-66A1-491C-A4AA-D28A0D1C13C8}</author>
    <author>tc={F809582D-4534-47D8-A188-5A0D1B1F0DA6}</author>
  </authors>
  <commentList>
    <comment ref="B15" authorId="0" shapeId="0" xr:uid="{6FAE627B-569C-46B8-808A-A2BE1A4D1B6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Charging Port</t>
      </text>
    </comment>
    <comment ref="B16" authorId="1" shapeId="0" xr:uid="{3C3517EF-66A1-491C-A4AA-D28A0D1C13C8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Handling Fee</t>
      </text>
    </comment>
    <comment ref="B17" authorId="2" shapeId="0" xr:uid="{F809582D-4534-47D8-A188-5A0D1B1F0DA6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Purchase Discount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tc={408D71B8-FE90-4981-A374-39A51665215B}</author>
    <author>tc={E4E816B1-8E5B-4153-B0CA-487EF261BAD6}</author>
  </authors>
  <commentList>
    <comment ref="B15" authorId="0" shapeId="0" xr:uid="{408D71B8-FE90-4981-A374-39A51665215B}">
      <text>
        <t>[Threaded comment]
Your version of Excel allows you to read this threaded comment; however, any edits to it will get removed if the file is opened in a newer version of Excel. Learn more: https://go.microsoft.com/fwlink/?linkid=870924
Comment:
    Timing Chain</t>
      </text>
    </comment>
    <comment ref="B16" authorId="1" shapeId="0" xr:uid="{E4E816B1-8E5B-4153-B0CA-487EF261BAD6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 Packaging Charges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tc={863C35E9-3781-4388-B1A4-14031A6E6A7F}</author>
    <author>tc={2EA60ED2-4347-4F58-947D-F57C7404804B}</author>
  </authors>
  <commentList>
    <comment ref="B15" authorId="0" shapeId="0" xr:uid="{863C35E9-3781-4388-B1A4-14031A6E6A7F}">
      <text>
        <t>[Threaded comment]
Your version of Excel allows you to read this threaded comment; however, any edits to it will get removed if the file is opened in a newer version of Excel. Learn more: https://go.microsoft.com/fwlink/?linkid=870924
Comment:
    Timing Belt</t>
      </text>
    </comment>
    <comment ref="B16" authorId="1" shapeId="0" xr:uid="{2EA60ED2-4347-4F58-947D-F57C7404804B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 Packaging Charges</t>
      </text>
    </comment>
  </commentList>
</comments>
</file>

<file path=xl/sharedStrings.xml><?xml version="1.0" encoding="utf-8"?>
<sst xmlns="http://schemas.openxmlformats.org/spreadsheetml/2006/main" count="122" uniqueCount="44">
  <si>
    <t>Provence Essentials</t>
  </si>
  <si>
    <t>044 Robin Junctions Suite 295, Paris, Provence-Alpes-Côte d'Azur, FR, 24647</t>
  </si>
  <si>
    <t>Facture fiscale</t>
  </si>
  <si>
    <t>Facturer à:</t>
  </si>
  <si>
    <t>Adresse de livraison:</t>
  </si>
  <si>
    <t>Steel Horse Auto Inc</t>
  </si>
  <si>
    <t xml:space="preserve">265 Lopez Orchard, East John, </t>
  </si>
  <si>
    <t>Michigan, United States, 43306</t>
  </si>
  <si>
    <t>Factura Num - 22386/PE~2024</t>
  </si>
  <si>
    <t>Date - 01-05-2024</t>
  </si>
  <si>
    <t>Sl. Non.</t>
  </si>
  <si>
    <t>Nom de l'article</t>
  </si>
  <si>
    <t>Quantité</t>
  </si>
  <si>
    <t>Prix/
Unité</t>
  </si>
  <si>
    <t>Montante</t>
  </si>
  <si>
    <t>Segments de piston</t>
  </si>
  <si>
    <t>Totale</t>
  </si>
  <si>
    <t>Sub Totale:</t>
  </si>
  <si>
    <t>IMPÔT</t>
  </si>
  <si>
    <t xml:space="preserve">Tax Invoice </t>
  </si>
  <si>
    <t>Steel Horse Auto Assembly Lincoln Inc</t>
  </si>
  <si>
    <t xml:space="preserve">21857 Clayton Forges Suite 897, </t>
  </si>
  <si>
    <t>Sherrybury, Lincoln, United States, 17355</t>
  </si>
  <si>
    <t>Factura Num - 46891-PE-2024</t>
  </si>
  <si>
    <t>Date - 31-07-2024</t>
  </si>
  <si>
    <t>Alternateur</t>
  </si>
  <si>
    <t>Pneus</t>
  </si>
  <si>
    <t>Total</t>
  </si>
  <si>
    <t>Sub Total:</t>
  </si>
  <si>
    <t>TAX</t>
  </si>
  <si>
    <t>Steel Horse Auto Assembly Anantpur Ltd</t>
  </si>
  <si>
    <t xml:space="preserve">123 MG Road, Anantapur, </t>
  </si>
  <si>
    <t>Andhra Pradesh 515001, India</t>
  </si>
  <si>
    <t>Factura Num - 54472-PE-2024</t>
  </si>
  <si>
    <t>Date - 15-09-2024</t>
  </si>
  <si>
    <t>Pompe à huile</t>
  </si>
  <si>
    <t>Pare-brise</t>
  </si>
  <si>
    <t>Factura Num - 96159-PE-2024</t>
  </si>
  <si>
    <t>Date - 19-12-2024</t>
  </si>
  <si>
    <t>Port de chargement</t>
  </si>
  <si>
    <t>Factura Num - 100110-PE-2024</t>
  </si>
  <si>
    <t>Date - 31-12-2024</t>
  </si>
  <si>
    <t>Factura Num - 100111-PE-2024</t>
  </si>
  <si>
    <t>Courroie de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</si>
</sst>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FRF]\ #,#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b/>
      <sz val="16"/>
      <name val="Arial"/>
      <family val="2"/>
    </font>
    <font>
      <b/>
      <sz val="16"/>
      <color theme="5" tint="-0.49998474074526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9" fontId="3" fillId="0" borderId="0" xfId="1" applyFont="1" applyBorder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2" fontId="8" fillId="4" borderId="0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0" borderId="0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8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2" fillId="0" borderId="0" xfId="0" applyFont="1"/>
    <xf numFmtId="14" fontId="3" fillId="0" borderId="0" xfId="0" applyNumberFormat="1" applyFont="1"/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3" fillId="0" borderId="0" xfId="0" applyFont="1"/>
    <xf numFmtId="0" fontId="0" fillId="0" borderId="4" xfId="0" applyBorder="1"/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0" fillId="0" borderId="0" xfId="0" applyNumberFormat="1"/>
    <xf numFmtId="0" fontId="7" fillId="0" borderId="0" xfId="0" applyFon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11" fillId="3" borderId="5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3" fontId="10" fillId="4" borderId="0" xfId="0" applyNumberFormat="1" applyFont="1" applyFill="1" applyAlignment="1">
      <alignment horizontal="center" vertical="center"/>
    </xf>
    <xf numFmtId="43" fontId="10" fillId="4" borderId="5" xfId="0" applyNumberFormat="1" applyFont="1" applyFill="1" applyBorder="1" applyAlignment="1">
      <alignment horizontal="center" vertical="center"/>
    </xf>
    <xf numFmtId="43" fontId="11" fillId="3" borderId="0" xfId="0" applyNumberFormat="1" applyFont="1" applyFill="1" applyAlignment="1">
      <alignment horizontal="center"/>
    </xf>
    <xf numFmtId="43" fontId="11" fillId="3" borderId="5" xfId="0" applyNumberFormat="1" applyFont="1" applyFill="1" applyBorder="1" applyAlignment="1">
      <alignment horizontal="center"/>
    </xf>
    <xf numFmtId="0" fontId="3" fillId="0" borderId="4" xfId="0" applyFont="1" applyBorder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6" borderId="4" xfId="0" applyFont="1" applyFill="1" applyBorder="1" applyAlignment="1"/>
    <xf numFmtId="0" fontId="3" fillId="6" borderId="0" xfId="0" applyFont="1" applyFill="1" applyAlignment="1"/>
    <xf numFmtId="0" fontId="3" fillId="6" borderId="5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86B61B0D-F063-4352-A152-FBFEC86D174F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ECAC8070-C538-46A4-A2BD-76C574BB3E67}">
    <text>Piston Rings</text>
  </threadedComment>
  <threadedComment ref="B16" dT="2024-09-25T07:48:29.51" personId="{86B61B0D-F063-4352-A152-FBFEC86D174F}" id="{057B254A-467E-43A0-B81C-452F0C1B5137}">
    <text>First-Time Customer Discount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3FD7358F-E5F0-4424-9F4C-BBF6144A3C59}">
    <text>Alternator</text>
  </threadedComment>
  <threadedComment ref="B16" dT="2024-10-02T08:28:46.17" personId="{86B61B0D-F063-4352-A152-FBFEC86D174F}" id="{8C0CD97D-7ACC-419C-81C4-2C1ED8AF611C}">
    <text>Tyres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DDA322C4-C4B4-451E-B2A8-6B5467983FA7}">
    <text>Oil Pump</text>
  </threadedComment>
  <threadedComment ref="B16" dT="2024-09-25T07:59:23.26" personId="{86B61B0D-F063-4352-A152-FBFEC86D174F}" id="{DB5595D1-4A35-4050-A7ED-62232229154F}">
    <text>Windshield</text>
  </threadedComment>
  <threadedComment ref="B17" dT="2024-10-02T08:34:22.11" personId="{86B61B0D-F063-4352-A152-FBFEC86D174F}" id="{79B9E0FA-9D91-4D0D-8709-D76D8FAD1EF9}">
    <text>Fragile Item Packing Charge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6FAE627B-569C-46B8-808A-A2BE1A4D1B6F}">
    <text>Charging Port</text>
  </threadedComment>
  <threadedComment ref="B16" dT="2024-09-25T08:42:41.66" personId="{86B61B0D-F063-4352-A152-FBFEC86D174F}" id="{3C3517EF-66A1-491C-A4AA-D28A0D1C13C8}">
    <text>Handling Fee</text>
  </threadedComment>
  <threadedComment ref="B17" dT="2024-09-25T08:43:50.21" personId="{86B61B0D-F063-4352-A152-FBFEC86D174F}" id="{F809582D-4534-47D8-A188-5A0D1B1F0DA6}">
    <text>Bulk Purchase Discount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408D71B8-FE90-4981-A374-39A51665215B}">
    <text>Timing Chain</text>
  </threadedComment>
  <threadedComment ref="B16" dT="2024-09-25T08:53:35.60" personId="{86B61B0D-F063-4352-A152-FBFEC86D174F}" id="{E4E816B1-8E5B-4153-B0CA-487EF261BAD6}">
    <text>Custom Packaging Charges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863C35E9-3781-4388-B1A4-14031A6E6A7F}">
    <text>Timing Belt</text>
  </threadedComment>
  <threadedComment ref="B16" dT="2024-09-25T08:53:35.60" personId="{86B61B0D-F063-4352-A152-FBFEC86D174F}" id="{2EA60ED2-4347-4F58-947D-F57C7404804B}">
    <text>Custom Packaging Charges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9B0A-7AF8-4524-B90D-F3A4FB08C8B8}">
  <dimension ref="A1:L42"/>
  <sheetViews>
    <sheetView showGridLines="0" topLeftCell="A25" workbookViewId="0">
      <selection activeCell="M38" sqref="M38"/>
    </sheetView>
  </sheetViews>
  <sheetFormatPr defaultRowHeight="14.45"/>
  <cols>
    <col min="4" max="4" width="13.5703125" customWidth="1"/>
    <col min="7" max="7" width="11.28515625" bestFit="1" customWidth="1"/>
  </cols>
  <sheetData>
    <row r="1" spans="1:12" ht="15">
      <c r="A1" s="61" t="s">
        <v>0</v>
      </c>
      <c r="B1" s="62"/>
      <c r="C1" s="62"/>
      <c r="D1" s="62"/>
      <c r="E1" s="62"/>
      <c r="F1" s="62"/>
      <c r="G1" s="62"/>
      <c r="H1" s="62"/>
      <c r="I1" s="63"/>
    </row>
    <row r="2" spans="1:12">
      <c r="A2" s="64"/>
      <c r="B2" s="65"/>
      <c r="C2" s="65"/>
      <c r="D2" s="65"/>
      <c r="E2" s="65"/>
      <c r="F2" s="65"/>
      <c r="G2" s="65"/>
      <c r="H2" s="65"/>
      <c r="I2" s="66"/>
    </row>
    <row r="3" spans="1:12">
      <c r="A3" s="67" t="s">
        <v>1</v>
      </c>
      <c r="B3" s="68"/>
      <c r="C3" s="68"/>
      <c r="D3" s="68"/>
      <c r="E3" s="68"/>
      <c r="F3" s="68"/>
      <c r="G3" s="68"/>
      <c r="H3" s="68"/>
      <c r="I3" s="69"/>
    </row>
    <row r="4" spans="1:12">
      <c r="A4" s="70"/>
      <c r="B4" s="71"/>
      <c r="C4" s="71"/>
      <c r="D4" s="71"/>
      <c r="E4" s="71"/>
      <c r="F4" s="71"/>
      <c r="G4" s="71"/>
      <c r="H4" s="71"/>
      <c r="I4" s="72"/>
    </row>
    <row r="5" spans="1:12" ht="30">
      <c r="A5" s="73" t="s">
        <v>2</v>
      </c>
      <c r="B5" s="74"/>
      <c r="C5" s="74"/>
      <c r="D5" s="74"/>
      <c r="E5" s="74"/>
      <c r="F5" s="74"/>
      <c r="G5" s="74"/>
      <c r="H5" s="74"/>
      <c r="I5" s="75"/>
    </row>
    <row r="6" spans="1:12">
      <c r="A6" s="14" t="s">
        <v>3</v>
      </c>
      <c r="B6" s="20"/>
      <c r="C6" s="20"/>
      <c r="D6" s="20"/>
      <c r="E6" s="20" t="s">
        <v>4</v>
      </c>
      <c r="F6" s="20"/>
      <c r="G6" s="20"/>
      <c r="H6" s="20"/>
      <c r="I6" s="15"/>
    </row>
    <row r="7" spans="1:12">
      <c r="A7" s="80" t="s">
        <v>5</v>
      </c>
      <c r="B7" s="81"/>
      <c r="C7" s="81"/>
      <c r="D7" s="81"/>
      <c r="E7" s="81" t="str">
        <f>A7</f>
        <v>Steel Horse Auto Inc</v>
      </c>
      <c r="F7" s="81"/>
      <c r="G7" s="81"/>
      <c r="H7" s="81"/>
      <c r="I7" s="82"/>
    </row>
    <row r="8" spans="1:12">
      <c r="A8" s="80" t="s">
        <v>6</v>
      </c>
      <c r="B8" s="81"/>
      <c r="C8" s="81"/>
      <c r="D8" s="81"/>
      <c r="E8" s="81" t="str">
        <f t="shared" ref="E8:E9" si="0">A8</f>
        <v xml:space="preserve">265 Lopez Orchard, East John, </v>
      </c>
      <c r="F8" s="81"/>
      <c r="G8" s="81"/>
      <c r="H8" s="81"/>
      <c r="I8" s="82"/>
    </row>
    <row r="9" spans="1:12">
      <c r="A9" s="80" t="s">
        <v>7</v>
      </c>
      <c r="B9" s="81"/>
      <c r="C9" s="81"/>
      <c r="D9" s="81"/>
      <c r="E9" s="81" t="str">
        <f t="shared" si="0"/>
        <v>Michigan, United States, 43306</v>
      </c>
      <c r="F9" s="81"/>
      <c r="G9" s="81"/>
      <c r="H9" s="81"/>
      <c r="I9" s="82"/>
    </row>
    <row r="10" spans="1:12" ht="9.6" customHeight="1">
      <c r="A10" s="8"/>
      <c r="B10" s="21"/>
      <c r="C10" s="21"/>
      <c r="D10" s="21"/>
      <c r="E10" s="21"/>
      <c r="F10" s="21"/>
      <c r="G10" s="21"/>
      <c r="H10" s="21"/>
      <c r="I10" s="9"/>
    </row>
    <row r="11" spans="1:12">
      <c r="A11" s="58" t="s">
        <v>8</v>
      </c>
      <c r="B11" s="59"/>
      <c r="C11" s="59"/>
      <c r="D11" s="59"/>
      <c r="E11" s="59"/>
      <c r="F11" s="59"/>
      <c r="G11" s="59"/>
      <c r="H11" s="59"/>
      <c r="I11" s="60"/>
    </row>
    <row r="12" spans="1:12">
      <c r="A12" s="58" t="s">
        <v>9</v>
      </c>
      <c r="B12" s="59"/>
      <c r="C12" s="59"/>
      <c r="D12" s="59"/>
      <c r="E12" s="59"/>
      <c r="F12" s="59"/>
      <c r="G12" s="59"/>
      <c r="H12" s="59"/>
      <c r="I12" s="60"/>
      <c r="K12" s="22"/>
    </row>
    <row r="13" spans="1:12">
      <c r="A13" s="83"/>
      <c r="B13" s="84"/>
      <c r="C13" s="84"/>
      <c r="D13" s="84"/>
      <c r="E13" s="84"/>
      <c r="F13" s="84"/>
      <c r="G13" s="84"/>
      <c r="H13" s="84"/>
      <c r="I13" s="85"/>
    </row>
    <row r="14" spans="1:12" ht="27.6">
      <c r="A14" s="4" t="s">
        <v>10</v>
      </c>
      <c r="B14" s="55" t="s">
        <v>11</v>
      </c>
      <c r="C14" s="55"/>
      <c r="D14" s="55"/>
      <c r="E14" s="55"/>
      <c r="F14" s="24" t="s">
        <v>12</v>
      </c>
      <c r="G14" s="25" t="s">
        <v>13</v>
      </c>
      <c r="H14" s="56" t="s">
        <v>14</v>
      </c>
      <c r="I14" s="57"/>
      <c r="L14" s="23"/>
    </row>
    <row r="15" spans="1:12" ht="15">
      <c r="A15" s="5">
        <v>1</v>
      </c>
      <c r="B15" s="33" t="s">
        <v>15</v>
      </c>
      <c r="C15" s="33"/>
      <c r="D15" s="33"/>
      <c r="E15" s="33"/>
      <c r="F15" s="17">
        <v>500</v>
      </c>
      <c r="G15" s="13">
        <v>2030</v>
      </c>
      <c r="H15" s="53">
        <f>F15*G15</f>
        <v>1015000</v>
      </c>
      <c r="I15" s="54"/>
    </row>
    <row r="16" spans="1:12" ht="14.45" customHeight="1">
      <c r="A16" s="5"/>
      <c r="B16" s="33"/>
      <c r="C16" s="33"/>
      <c r="D16" s="33"/>
      <c r="E16" s="33"/>
      <c r="F16" s="17"/>
      <c r="G16" s="1"/>
      <c r="H16" s="53"/>
      <c r="I16" s="54"/>
    </row>
    <row r="17" spans="1:9" ht="15">
      <c r="A17" s="5"/>
      <c r="B17" s="33"/>
      <c r="C17" s="33"/>
      <c r="D17" s="33"/>
      <c r="E17" s="33"/>
      <c r="F17" s="17"/>
      <c r="G17" s="1"/>
      <c r="H17" s="53"/>
      <c r="I17" s="54"/>
    </row>
    <row r="18" spans="1:9" ht="14.45" customHeight="1">
      <c r="A18" s="5"/>
      <c r="B18" s="33"/>
      <c r="C18" s="33"/>
      <c r="D18" s="33"/>
      <c r="E18" s="33"/>
      <c r="F18" s="17"/>
      <c r="G18" s="1"/>
      <c r="H18" s="53"/>
      <c r="I18" s="54"/>
    </row>
    <row r="19" spans="1:9" ht="14.45" customHeight="1">
      <c r="A19" s="5"/>
      <c r="B19" s="33"/>
      <c r="C19" s="33"/>
      <c r="D19" s="33"/>
      <c r="E19" s="33"/>
      <c r="F19" s="17"/>
      <c r="G19" s="1"/>
      <c r="H19" s="53"/>
      <c r="I19" s="54"/>
    </row>
    <row r="20" spans="1:9" ht="14.45" customHeight="1">
      <c r="A20" s="5"/>
      <c r="B20" s="33"/>
      <c r="C20" s="33"/>
      <c r="D20" s="33"/>
      <c r="E20" s="33"/>
      <c r="F20" s="17"/>
      <c r="G20" s="1"/>
      <c r="H20" s="53"/>
      <c r="I20" s="54"/>
    </row>
    <row r="21" spans="1:9" ht="14.45" customHeight="1">
      <c r="A21" s="5"/>
      <c r="B21" s="33"/>
      <c r="C21" s="33"/>
      <c r="D21" s="33"/>
      <c r="E21" s="33"/>
      <c r="F21" s="17"/>
      <c r="G21" s="1"/>
      <c r="H21" s="53"/>
      <c r="I21" s="54"/>
    </row>
    <row r="22" spans="1:9" ht="14.45" customHeight="1">
      <c r="A22" s="5"/>
      <c r="B22" s="33"/>
      <c r="C22" s="33"/>
      <c r="D22" s="33"/>
      <c r="E22" s="33"/>
      <c r="F22" s="17"/>
      <c r="G22" s="1"/>
      <c r="H22" s="53"/>
      <c r="I22" s="54"/>
    </row>
    <row r="23" spans="1:9" ht="14.45" customHeight="1">
      <c r="A23" s="5"/>
      <c r="B23" s="33"/>
      <c r="C23" s="33"/>
      <c r="D23" s="33"/>
      <c r="E23" s="33"/>
      <c r="F23" s="17"/>
      <c r="G23" s="1"/>
      <c r="H23" s="53"/>
      <c r="I23" s="54"/>
    </row>
    <row r="24" spans="1:9" ht="14.45" customHeight="1">
      <c r="A24" s="5"/>
      <c r="B24" s="33"/>
      <c r="C24" s="33"/>
      <c r="D24" s="33"/>
      <c r="E24" s="33"/>
      <c r="F24" s="17"/>
      <c r="G24" s="1"/>
      <c r="H24" s="53"/>
      <c r="I24" s="54"/>
    </row>
    <row r="25" spans="1:9" ht="14.45" customHeight="1">
      <c r="A25" s="5"/>
      <c r="B25" s="33"/>
      <c r="C25" s="33"/>
      <c r="D25" s="33"/>
      <c r="E25" s="33"/>
      <c r="F25" s="17"/>
      <c r="G25" s="1"/>
      <c r="H25" s="53"/>
      <c r="I25" s="54"/>
    </row>
    <row r="26" spans="1:9" ht="14.45" customHeight="1">
      <c r="A26" s="5"/>
      <c r="B26" s="33"/>
      <c r="C26" s="33"/>
      <c r="D26" s="33"/>
      <c r="E26" s="33"/>
      <c r="F26" s="17"/>
      <c r="G26" s="1"/>
      <c r="H26" s="53"/>
      <c r="I26" s="54"/>
    </row>
    <row r="27" spans="1:9" ht="14.45" customHeight="1">
      <c r="A27" s="5"/>
      <c r="B27" s="33"/>
      <c r="C27" s="33"/>
      <c r="D27" s="33"/>
      <c r="E27" s="33"/>
      <c r="F27" s="17"/>
      <c r="G27" s="1"/>
      <c r="H27" s="53"/>
      <c r="I27" s="54"/>
    </row>
    <row r="28" spans="1:9" ht="14.45" customHeight="1">
      <c r="A28" s="5"/>
      <c r="B28" s="33"/>
      <c r="C28" s="33"/>
      <c r="D28" s="33"/>
      <c r="E28" s="33"/>
      <c r="F28" s="17"/>
      <c r="G28" s="1"/>
      <c r="H28" s="53"/>
      <c r="I28" s="54"/>
    </row>
    <row r="29" spans="1:9" ht="14.45" customHeight="1">
      <c r="A29" s="5"/>
      <c r="B29" s="33"/>
      <c r="C29" s="33"/>
      <c r="D29" s="33"/>
      <c r="E29" s="33"/>
      <c r="F29" s="17"/>
      <c r="G29" s="1"/>
      <c r="H29" s="53"/>
      <c r="I29" s="54"/>
    </row>
    <row r="30" spans="1:9" ht="14.45" customHeight="1">
      <c r="A30" s="5"/>
      <c r="B30" s="33"/>
      <c r="C30" s="33"/>
      <c r="D30" s="33"/>
      <c r="E30" s="33"/>
      <c r="F30" s="17"/>
      <c r="G30" s="1"/>
      <c r="H30" s="53"/>
      <c r="I30" s="54"/>
    </row>
    <row r="31" spans="1:9" ht="14.45" customHeight="1">
      <c r="A31" s="5"/>
      <c r="B31" s="33"/>
      <c r="C31" s="33"/>
      <c r="D31" s="33"/>
      <c r="E31" s="33"/>
      <c r="F31" s="17"/>
      <c r="G31" s="1"/>
      <c r="H31" s="53"/>
      <c r="I31" s="54"/>
    </row>
    <row r="32" spans="1:9" ht="14.45" customHeight="1">
      <c r="A32" s="5"/>
      <c r="B32" s="33"/>
      <c r="C32" s="33"/>
      <c r="D32" s="33"/>
      <c r="E32" s="33"/>
      <c r="F32" s="17"/>
      <c r="G32" s="1"/>
      <c r="H32" s="53"/>
      <c r="I32" s="54"/>
    </row>
    <row r="33" spans="1:9" ht="14.45" customHeight="1">
      <c r="A33" s="5"/>
      <c r="B33" s="33"/>
      <c r="C33" s="33"/>
      <c r="D33" s="33"/>
      <c r="E33" s="33"/>
      <c r="F33" s="17"/>
      <c r="G33" s="1"/>
      <c r="H33" s="53"/>
      <c r="I33" s="54"/>
    </row>
    <row r="34" spans="1:9" ht="14.45" customHeight="1">
      <c r="A34" s="5"/>
      <c r="B34" s="33"/>
      <c r="C34" s="33"/>
      <c r="D34" s="33"/>
      <c r="E34" s="33"/>
      <c r="F34" s="17"/>
      <c r="G34" s="1"/>
      <c r="H34" s="53"/>
      <c r="I34" s="54"/>
    </row>
    <row r="35" spans="1:9" ht="14.45" customHeight="1">
      <c r="A35" s="5"/>
      <c r="B35" s="33"/>
      <c r="C35" s="33"/>
      <c r="D35" s="33"/>
      <c r="E35" s="33"/>
      <c r="F35" s="17"/>
      <c r="G35" s="1"/>
      <c r="H35" s="53"/>
      <c r="I35" s="54"/>
    </row>
    <row r="36" spans="1:9" ht="14.45" customHeight="1">
      <c r="A36" s="5"/>
      <c r="B36" s="33"/>
      <c r="C36" s="33"/>
      <c r="D36" s="33"/>
      <c r="E36" s="33"/>
      <c r="F36" s="17"/>
      <c r="G36" s="1"/>
      <c r="H36" s="53"/>
      <c r="I36" s="54"/>
    </row>
    <row r="37" spans="1:9" ht="20.25">
      <c r="A37" s="36" t="s">
        <v>16</v>
      </c>
      <c r="B37" s="37"/>
      <c r="C37" s="37"/>
      <c r="D37" s="37"/>
      <c r="E37" s="37"/>
      <c r="F37" s="16"/>
      <c r="G37" s="3"/>
      <c r="H37" s="76">
        <f>H15</f>
        <v>1015000</v>
      </c>
      <c r="I37" s="77"/>
    </row>
    <row r="38" spans="1:9">
      <c r="A38" s="46"/>
      <c r="B38" s="47"/>
      <c r="C38" s="47"/>
      <c r="D38" s="47"/>
      <c r="E38" s="47"/>
      <c r="F38" s="47"/>
      <c r="G38" s="47"/>
      <c r="H38" s="47"/>
      <c r="I38" s="48"/>
    </row>
    <row r="39" spans="1:9" ht="21">
      <c r="A39" s="10"/>
      <c r="B39" s="27"/>
      <c r="C39" s="27"/>
      <c r="D39" s="19"/>
      <c r="E39" s="30" t="s">
        <v>17</v>
      </c>
      <c r="F39" s="30"/>
      <c r="G39" s="30"/>
      <c r="H39" s="78">
        <f>H37</f>
        <v>1015000</v>
      </c>
      <c r="I39" s="79"/>
    </row>
    <row r="40" spans="1:9">
      <c r="A40" s="10"/>
      <c r="B40" s="27"/>
      <c r="C40" s="27"/>
      <c r="D40" s="19"/>
      <c r="E40" s="31" t="s">
        <v>18</v>
      </c>
      <c r="F40" s="31"/>
      <c r="G40" s="31"/>
      <c r="H40" s="51">
        <f>H39*18%</f>
        <v>182700</v>
      </c>
      <c r="I40" s="52"/>
    </row>
    <row r="41" spans="1:9" ht="14.45" customHeight="1">
      <c r="A41" s="10"/>
      <c r="B41" s="27"/>
      <c r="C41" s="27"/>
      <c r="D41" s="19"/>
      <c r="E41" s="38" t="s">
        <v>16</v>
      </c>
      <c r="F41" s="38"/>
      <c r="G41" s="38"/>
      <c r="H41" s="40">
        <f>+H39+H40</f>
        <v>1197700</v>
      </c>
      <c r="I41" s="41"/>
    </row>
    <row r="42" spans="1:9" ht="15" customHeight="1" thickBot="1">
      <c r="A42" s="11"/>
      <c r="B42" s="12"/>
      <c r="C42" s="12"/>
      <c r="D42" s="7"/>
      <c r="E42" s="39"/>
      <c r="F42" s="39"/>
      <c r="G42" s="39"/>
      <c r="H42" s="42"/>
      <c r="I42" s="43"/>
    </row>
  </sheetData>
  <mergeCells count="66">
    <mergeCell ref="B21:E21"/>
    <mergeCell ref="H21:I21"/>
    <mergeCell ref="B25:E25"/>
    <mergeCell ref="H25:I25"/>
    <mergeCell ref="B29:E29"/>
    <mergeCell ref="H29:I29"/>
    <mergeCell ref="A1:I2"/>
    <mergeCell ref="A3:I3"/>
    <mergeCell ref="A4:I4"/>
    <mergeCell ref="A5:I5"/>
    <mergeCell ref="A7:D7"/>
    <mergeCell ref="E7:I7"/>
    <mergeCell ref="A8:D8"/>
    <mergeCell ref="E8:I8"/>
    <mergeCell ref="B16:E16"/>
    <mergeCell ref="H16:I16"/>
    <mergeCell ref="A9:D9"/>
    <mergeCell ref="E9:I9"/>
    <mergeCell ref="A13:I13"/>
    <mergeCell ref="B14:E14"/>
    <mergeCell ref="H14:I14"/>
    <mergeCell ref="B15:E15"/>
    <mergeCell ref="H15:I15"/>
    <mergeCell ref="A11:I11"/>
    <mergeCell ref="A12:I12"/>
    <mergeCell ref="B17:E17"/>
    <mergeCell ref="H17:I17"/>
    <mergeCell ref="B32:E32"/>
    <mergeCell ref="H32:I32"/>
    <mergeCell ref="B33:E33"/>
    <mergeCell ref="H33:I33"/>
    <mergeCell ref="B18:E18"/>
    <mergeCell ref="H18:I18"/>
    <mergeCell ref="B19:E19"/>
    <mergeCell ref="H19:I19"/>
    <mergeCell ref="B20:E20"/>
    <mergeCell ref="H20:I20"/>
    <mergeCell ref="B22:E22"/>
    <mergeCell ref="H22:I22"/>
    <mergeCell ref="B23:E23"/>
    <mergeCell ref="H23:I23"/>
    <mergeCell ref="E41:G42"/>
    <mergeCell ref="H41:I42"/>
    <mergeCell ref="H37:I37"/>
    <mergeCell ref="A38:I38"/>
    <mergeCell ref="H39:I39"/>
    <mergeCell ref="H40:I40"/>
    <mergeCell ref="B24:E24"/>
    <mergeCell ref="H24:I24"/>
    <mergeCell ref="B26:E26"/>
    <mergeCell ref="H26:I26"/>
    <mergeCell ref="B27:E27"/>
    <mergeCell ref="H27:I27"/>
    <mergeCell ref="B28:E28"/>
    <mergeCell ref="H28:I28"/>
    <mergeCell ref="B31:E31"/>
    <mergeCell ref="H31:I31"/>
    <mergeCell ref="A37:E37"/>
    <mergeCell ref="B34:E34"/>
    <mergeCell ref="H34:I34"/>
    <mergeCell ref="B35:E35"/>
    <mergeCell ref="H35:I35"/>
    <mergeCell ref="B36:E36"/>
    <mergeCell ref="H36:I36"/>
    <mergeCell ref="B30:E30"/>
    <mergeCell ref="H30:I3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8DFB-B286-425F-BA1E-E111B4B5CAC4}">
  <dimension ref="A1:K42"/>
  <sheetViews>
    <sheetView showGridLines="0" workbookViewId="0">
      <selection activeCell="M41" sqref="M41"/>
    </sheetView>
  </sheetViews>
  <sheetFormatPr defaultRowHeight="14.45"/>
  <cols>
    <col min="4" max="4" width="12" customWidth="1"/>
    <col min="9" max="9" width="11" customWidth="1"/>
  </cols>
  <sheetData>
    <row r="1" spans="1:11">
      <c r="A1" s="61" t="s">
        <v>0</v>
      </c>
      <c r="B1" s="62"/>
      <c r="C1" s="62"/>
      <c r="D1" s="62"/>
      <c r="E1" s="62"/>
      <c r="F1" s="62"/>
      <c r="G1" s="62"/>
      <c r="H1" s="62"/>
      <c r="I1" s="63"/>
    </row>
    <row r="2" spans="1:11">
      <c r="A2" s="64"/>
      <c r="B2" s="65"/>
      <c r="C2" s="65"/>
      <c r="D2" s="65"/>
      <c r="E2" s="65"/>
      <c r="F2" s="65"/>
      <c r="G2" s="65"/>
      <c r="H2" s="65"/>
      <c r="I2" s="66"/>
    </row>
    <row r="3" spans="1:11">
      <c r="A3" s="67" t="s">
        <v>1</v>
      </c>
      <c r="B3" s="68"/>
      <c r="C3" s="68"/>
      <c r="D3" s="68"/>
      <c r="E3" s="68"/>
      <c r="F3" s="68"/>
      <c r="G3" s="68"/>
      <c r="H3" s="68"/>
      <c r="I3" s="69"/>
    </row>
    <row r="4" spans="1:11">
      <c r="A4" s="70"/>
      <c r="B4" s="71"/>
      <c r="C4" s="71"/>
      <c r="D4" s="71"/>
      <c r="E4" s="71"/>
      <c r="F4" s="71"/>
      <c r="G4" s="71"/>
      <c r="H4" s="71"/>
      <c r="I4" s="72"/>
    </row>
    <row r="5" spans="1:11" ht="30">
      <c r="A5" s="73" t="s">
        <v>19</v>
      </c>
      <c r="B5" s="74"/>
      <c r="C5" s="74"/>
      <c r="D5" s="74"/>
      <c r="E5" s="74"/>
      <c r="F5" s="74"/>
      <c r="G5" s="74"/>
      <c r="H5" s="74"/>
      <c r="I5" s="75"/>
    </row>
    <row r="6" spans="1:11">
      <c r="A6" s="14" t="s">
        <v>3</v>
      </c>
      <c r="B6" s="20"/>
      <c r="C6" s="20"/>
      <c r="D6" s="20"/>
      <c r="E6" s="20" t="s">
        <v>4</v>
      </c>
      <c r="F6" s="20"/>
      <c r="G6" s="20"/>
      <c r="H6" s="20"/>
      <c r="I6" s="15"/>
    </row>
    <row r="7" spans="1:11">
      <c r="A7" s="80" t="s">
        <v>20</v>
      </c>
      <c r="B7" s="81"/>
      <c r="C7" s="81"/>
      <c r="D7" s="81"/>
      <c r="E7" s="81" t="str">
        <f>A7</f>
        <v>Steel Horse Auto Assembly Lincoln Inc</v>
      </c>
      <c r="F7" s="81"/>
      <c r="G7" s="81"/>
      <c r="H7" s="81"/>
      <c r="I7" s="82"/>
    </row>
    <row r="8" spans="1:11">
      <c r="A8" s="80" t="s">
        <v>21</v>
      </c>
      <c r="B8" s="81"/>
      <c r="C8" s="81"/>
      <c r="D8" s="81"/>
      <c r="E8" s="81" t="str">
        <f t="shared" ref="E8:E9" si="0">A8</f>
        <v xml:space="preserve">21857 Clayton Forges Suite 897, </v>
      </c>
      <c r="F8" s="81"/>
      <c r="G8" s="81"/>
      <c r="H8" s="81"/>
      <c r="I8" s="82"/>
    </row>
    <row r="9" spans="1:11">
      <c r="A9" s="80" t="s">
        <v>22</v>
      </c>
      <c r="B9" s="81"/>
      <c r="C9" s="81"/>
      <c r="D9" s="81"/>
      <c r="E9" s="81" t="str">
        <f t="shared" si="0"/>
        <v>Sherrybury, Lincoln, United States, 17355</v>
      </c>
      <c r="F9" s="81"/>
      <c r="G9" s="81"/>
      <c r="H9" s="81"/>
      <c r="I9" s="82"/>
    </row>
    <row r="10" spans="1:11" ht="9.6" customHeight="1">
      <c r="A10" s="8"/>
      <c r="B10" s="21"/>
      <c r="C10" s="21"/>
      <c r="D10" s="21"/>
      <c r="E10" s="21"/>
      <c r="F10" s="21"/>
      <c r="G10" s="21"/>
      <c r="H10" s="21"/>
      <c r="I10" s="9"/>
    </row>
    <row r="11" spans="1:11">
      <c r="A11" s="58" t="s">
        <v>23</v>
      </c>
      <c r="B11" s="59"/>
      <c r="C11" s="59"/>
      <c r="D11" s="59"/>
      <c r="E11" s="59"/>
      <c r="F11" s="59"/>
      <c r="G11" s="59"/>
      <c r="H11" s="59"/>
      <c r="I11" s="60"/>
      <c r="K11" s="20"/>
    </row>
    <row r="12" spans="1:11">
      <c r="A12" s="58" t="s">
        <v>24</v>
      </c>
      <c r="B12" s="59"/>
      <c r="C12" s="59"/>
      <c r="D12" s="59"/>
      <c r="E12" s="59"/>
      <c r="F12" s="59"/>
      <c r="G12" s="59"/>
      <c r="H12" s="59"/>
      <c r="I12" s="60"/>
      <c r="J12" s="32"/>
    </row>
    <row r="13" spans="1:11">
      <c r="A13" s="83"/>
      <c r="B13" s="84"/>
      <c r="C13" s="84"/>
      <c r="D13" s="84"/>
      <c r="E13" s="84"/>
      <c r="F13" s="84"/>
      <c r="G13" s="84"/>
      <c r="H13" s="84"/>
      <c r="I13" s="85"/>
    </row>
    <row r="14" spans="1:11" ht="27.6">
      <c r="A14" s="4" t="s">
        <v>10</v>
      </c>
      <c r="B14" s="55" t="s">
        <v>11</v>
      </c>
      <c r="C14" s="55"/>
      <c r="D14" s="55"/>
      <c r="E14" s="55"/>
      <c r="F14" s="24" t="s">
        <v>12</v>
      </c>
      <c r="G14" s="25" t="s">
        <v>13</v>
      </c>
      <c r="H14" s="56" t="s">
        <v>14</v>
      </c>
      <c r="I14" s="57"/>
    </row>
    <row r="15" spans="1:11" ht="15">
      <c r="A15" s="5">
        <v>1</v>
      </c>
      <c r="B15" s="33" t="s">
        <v>25</v>
      </c>
      <c r="C15" s="33"/>
      <c r="D15" s="33"/>
      <c r="E15" s="33"/>
      <c r="F15" s="17">
        <v>1000</v>
      </c>
      <c r="G15" s="18">
        <v>2033</v>
      </c>
      <c r="H15" s="53">
        <f>F15*G15</f>
        <v>2033000</v>
      </c>
      <c r="I15" s="54"/>
    </row>
    <row r="16" spans="1:11" ht="14.45" customHeight="1">
      <c r="A16" s="6">
        <v>2</v>
      </c>
      <c r="B16" s="33" t="s">
        <v>26</v>
      </c>
      <c r="C16" s="33"/>
      <c r="D16" s="33"/>
      <c r="E16" s="33"/>
      <c r="F16" s="26">
        <v>2362</v>
      </c>
      <c r="G16" s="2">
        <v>1000</v>
      </c>
      <c r="H16" s="34">
        <f>F16*G16</f>
        <v>2362000</v>
      </c>
      <c r="I16" s="35"/>
    </row>
    <row r="17" spans="1:9" ht="15">
      <c r="A17" s="6"/>
      <c r="B17" s="33"/>
      <c r="C17" s="33"/>
      <c r="D17" s="33"/>
      <c r="E17" s="33"/>
      <c r="F17" s="26"/>
      <c r="G17" s="2"/>
      <c r="H17" s="34"/>
      <c r="I17" s="35"/>
    </row>
    <row r="18" spans="1:9" ht="14.45" customHeight="1">
      <c r="A18" s="6"/>
      <c r="B18" s="33"/>
      <c r="C18" s="33"/>
      <c r="D18" s="33"/>
      <c r="E18" s="33"/>
      <c r="F18" s="26"/>
      <c r="G18" s="2"/>
      <c r="H18" s="34"/>
      <c r="I18" s="35"/>
    </row>
    <row r="19" spans="1:9" ht="14.45" customHeight="1">
      <c r="A19" s="6"/>
      <c r="B19" s="33"/>
      <c r="C19" s="33"/>
      <c r="D19" s="33"/>
      <c r="E19" s="33"/>
      <c r="F19" s="26"/>
      <c r="G19" s="2"/>
      <c r="H19" s="34"/>
      <c r="I19" s="35"/>
    </row>
    <row r="20" spans="1:9" ht="14.45" customHeight="1">
      <c r="A20" s="6"/>
      <c r="B20" s="33"/>
      <c r="C20" s="33"/>
      <c r="D20" s="33"/>
      <c r="E20" s="33"/>
      <c r="F20" s="26"/>
      <c r="G20" s="2"/>
      <c r="H20" s="34"/>
      <c r="I20" s="35"/>
    </row>
    <row r="21" spans="1:9" ht="14.45" customHeight="1">
      <c r="A21" s="6"/>
      <c r="B21" s="33"/>
      <c r="C21" s="33"/>
      <c r="D21" s="33"/>
      <c r="E21" s="33"/>
      <c r="F21" s="26"/>
      <c r="G21" s="2"/>
      <c r="H21" s="34"/>
      <c r="I21" s="35"/>
    </row>
    <row r="22" spans="1:9" ht="14.45" customHeight="1">
      <c r="A22" s="6"/>
      <c r="B22" s="33"/>
      <c r="C22" s="33"/>
      <c r="D22" s="33"/>
      <c r="E22" s="33"/>
      <c r="F22" s="26"/>
      <c r="G22" s="2"/>
      <c r="H22" s="34"/>
      <c r="I22" s="35"/>
    </row>
    <row r="23" spans="1:9" ht="14.45" customHeight="1">
      <c r="A23" s="6"/>
      <c r="B23" s="33"/>
      <c r="C23" s="33"/>
      <c r="D23" s="33"/>
      <c r="E23" s="33"/>
      <c r="F23" s="26"/>
      <c r="G23" s="2"/>
      <c r="H23" s="34"/>
      <c r="I23" s="35"/>
    </row>
    <row r="24" spans="1:9" ht="14.45" customHeight="1">
      <c r="A24" s="6"/>
      <c r="B24" s="33"/>
      <c r="C24" s="33"/>
      <c r="D24" s="33"/>
      <c r="E24" s="33"/>
      <c r="F24" s="26"/>
      <c r="G24" s="2"/>
      <c r="H24" s="34"/>
      <c r="I24" s="35"/>
    </row>
    <row r="25" spans="1:9" ht="14.45" customHeight="1">
      <c r="A25" s="6"/>
      <c r="B25" s="33"/>
      <c r="C25" s="33"/>
      <c r="D25" s="33"/>
      <c r="E25" s="33"/>
      <c r="F25" s="26"/>
      <c r="G25" s="2"/>
      <c r="H25" s="34"/>
      <c r="I25" s="35"/>
    </row>
    <row r="26" spans="1:9" ht="14.45" customHeight="1">
      <c r="A26" s="6"/>
      <c r="B26" s="33"/>
      <c r="C26" s="33"/>
      <c r="D26" s="33"/>
      <c r="E26" s="33"/>
      <c r="F26" s="26"/>
      <c r="G26" s="2"/>
      <c r="H26" s="34"/>
      <c r="I26" s="35"/>
    </row>
    <row r="27" spans="1:9" ht="14.45" customHeight="1">
      <c r="A27" s="6"/>
      <c r="B27" s="33"/>
      <c r="C27" s="33"/>
      <c r="D27" s="33"/>
      <c r="E27" s="33"/>
      <c r="F27" s="26"/>
      <c r="G27" s="2"/>
      <c r="H27" s="34"/>
      <c r="I27" s="35"/>
    </row>
    <row r="28" spans="1:9" ht="14.45" customHeight="1">
      <c r="A28" s="6"/>
      <c r="B28" s="33"/>
      <c r="C28" s="33"/>
      <c r="D28" s="33"/>
      <c r="E28" s="33"/>
      <c r="F28" s="26"/>
      <c r="G28" s="2"/>
      <c r="H28" s="34"/>
      <c r="I28" s="35"/>
    </row>
    <row r="29" spans="1:9" ht="14.45" customHeight="1">
      <c r="A29" s="6"/>
      <c r="B29" s="33"/>
      <c r="C29" s="33"/>
      <c r="D29" s="33"/>
      <c r="E29" s="33"/>
      <c r="F29" s="26"/>
      <c r="G29" s="2"/>
      <c r="H29" s="34"/>
      <c r="I29" s="35"/>
    </row>
    <row r="30" spans="1:9" ht="14.45" customHeight="1">
      <c r="A30" s="6"/>
      <c r="B30" s="33"/>
      <c r="C30" s="33"/>
      <c r="D30" s="33"/>
      <c r="E30" s="33"/>
      <c r="F30" s="26"/>
      <c r="G30" s="2"/>
      <c r="H30" s="34"/>
      <c r="I30" s="35"/>
    </row>
    <row r="31" spans="1:9" ht="14.45" customHeight="1">
      <c r="A31" s="6"/>
      <c r="B31" s="33"/>
      <c r="C31" s="33"/>
      <c r="D31" s="33"/>
      <c r="E31" s="33"/>
      <c r="F31" s="26"/>
      <c r="G31" s="2"/>
      <c r="H31" s="34"/>
      <c r="I31" s="35"/>
    </row>
    <row r="32" spans="1:9" ht="14.45" customHeight="1">
      <c r="A32" s="6"/>
      <c r="B32" s="33"/>
      <c r="C32" s="33"/>
      <c r="D32" s="33"/>
      <c r="E32" s="33"/>
      <c r="F32" s="26"/>
      <c r="G32" s="2"/>
      <c r="H32" s="34"/>
      <c r="I32" s="35"/>
    </row>
    <row r="33" spans="1:9" ht="14.45" customHeight="1">
      <c r="A33" s="6"/>
      <c r="B33" s="33"/>
      <c r="C33" s="33"/>
      <c r="D33" s="33"/>
      <c r="E33" s="33"/>
      <c r="F33" s="26"/>
      <c r="G33" s="2"/>
      <c r="H33" s="34"/>
      <c r="I33" s="35"/>
    </row>
    <row r="34" spans="1:9" ht="14.45" customHeight="1">
      <c r="A34" s="6"/>
      <c r="B34" s="33"/>
      <c r="C34" s="33"/>
      <c r="D34" s="33"/>
      <c r="E34" s="33"/>
      <c r="F34" s="26"/>
      <c r="G34" s="2"/>
      <c r="H34" s="34"/>
      <c r="I34" s="35"/>
    </row>
    <row r="35" spans="1:9" ht="14.45" customHeight="1">
      <c r="A35" s="6"/>
      <c r="B35" s="33"/>
      <c r="C35" s="33"/>
      <c r="D35" s="33"/>
      <c r="E35" s="33"/>
      <c r="F35" s="26"/>
      <c r="G35" s="2"/>
      <c r="H35" s="34"/>
      <c r="I35" s="35"/>
    </row>
    <row r="36" spans="1:9" ht="14.45" customHeight="1">
      <c r="A36" s="6"/>
      <c r="B36" s="33"/>
      <c r="C36" s="33"/>
      <c r="D36" s="33"/>
      <c r="E36" s="33"/>
      <c r="F36" s="26"/>
      <c r="G36" s="2"/>
      <c r="H36" s="34"/>
      <c r="I36" s="35"/>
    </row>
    <row r="37" spans="1:9" ht="20.25">
      <c r="A37" s="36" t="s">
        <v>27</v>
      </c>
      <c r="B37" s="37"/>
      <c r="C37" s="37"/>
      <c r="D37" s="37"/>
      <c r="E37" s="37"/>
      <c r="F37" s="16"/>
      <c r="G37" s="3"/>
      <c r="H37" s="44">
        <f>SUM(H15:I36)</f>
        <v>4395000</v>
      </c>
      <c r="I37" s="45"/>
    </row>
    <row r="38" spans="1:9">
      <c r="A38" s="46"/>
      <c r="B38" s="47"/>
      <c r="C38" s="47"/>
      <c r="D38" s="47"/>
      <c r="E38" s="47"/>
      <c r="F38" s="47"/>
      <c r="G38" s="47"/>
      <c r="H38" s="47"/>
      <c r="I38" s="48"/>
    </row>
    <row r="39" spans="1:9" ht="21">
      <c r="A39" s="10"/>
      <c r="B39" s="27"/>
      <c r="C39" s="27"/>
      <c r="D39" s="19"/>
      <c r="E39" s="30" t="s">
        <v>28</v>
      </c>
      <c r="F39" s="30"/>
      <c r="G39" s="30"/>
      <c r="H39" s="49">
        <f>H37</f>
        <v>4395000</v>
      </c>
      <c r="I39" s="50"/>
    </row>
    <row r="40" spans="1:9">
      <c r="A40" s="10"/>
      <c r="B40" s="27"/>
      <c r="C40" s="27"/>
      <c r="D40" s="19"/>
      <c r="E40" s="31" t="s">
        <v>29</v>
      </c>
      <c r="F40" s="31"/>
      <c r="G40" s="31"/>
      <c r="H40" s="51">
        <f>H39*18%</f>
        <v>791100</v>
      </c>
      <c r="I40" s="52"/>
    </row>
    <row r="41" spans="1:9" ht="14.45" customHeight="1">
      <c r="A41" s="10"/>
      <c r="B41" s="27"/>
      <c r="C41" s="27"/>
      <c r="D41" s="19"/>
      <c r="E41" s="38" t="s">
        <v>27</v>
      </c>
      <c r="F41" s="38"/>
      <c r="G41" s="38"/>
      <c r="H41" s="40">
        <f>+H39+H40</f>
        <v>5186100</v>
      </c>
      <c r="I41" s="41"/>
    </row>
    <row r="42" spans="1:9" ht="15" customHeight="1" thickBot="1">
      <c r="A42" s="11"/>
      <c r="B42" s="12"/>
      <c r="C42" s="12"/>
      <c r="D42" s="7"/>
      <c r="E42" s="39"/>
      <c r="F42" s="39"/>
      <c r="G42" s="39"/>
      <c r="H42" s="42"/>
      <c r="I42" s="43"/>
    </row>
  </sheetData>
  <mergeCells count="66">
    <mergeCell ref="B28:E28"/>
    <mergeCell ref="H28:I28"/>
    <mergeCell ref="B19:E19"/>
    <mergeCell ref="H19:I19"/>
    <mergeCell ref="B23:E23"/>
    <mergeCell ref="H23:I23"/>
    <mergeCell ref="B27:E27"/>
    <mergeCell ref="H27:I27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  <mergeCell ref="B29:E29"/>
    <mergeCell ref="H29:I29"/>
    <mergeCell ref="B30:E30"/>
    <mergeCell ref="H30:I30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20:E20"/>
    <mergeCell ref="H20:I20"/>
    <mergeCell ref="B31:E31"/>
    <mergeCell ref="H31:I31"/>
    <mergeCell ref="B34:E34"/>
    <mergeCell ref="H34:I34"/>
    <mergeCell ref="B36:E36"/>
    <mergeCell ref="H36:I36"/>
    <mergeCell ref="B32:E32"/>
    <mergeCell ref="H32:I32"/>
    <mergeCell ref="B33:E33"/>
    <mergeCell ref="H33:I33"/>
    <mergeCell ref="B35:E35"/>
    <mergeCell ref="H35:I35"/>
    <mergeCell ref="E41:G42"/>
    <mergeCell ref="H41:I42"/>
    <mergeCell ref="H37:I37"/>
    <mergeCell ref="A38:I38"/>
    <mergeCell ref="H39:I39"/>
    <mergeCell ref="H40:I40"/>
    <mergeCell ref="A37:E37"/>
    <mergeCell ref="B25:E25"/>
    <mergeCell ref="H25:I25"/>
    <mergeCell ref="B26:E26"/>
    <mergeCell ref="H26:I26"/>
    <mergeCell ref="B21:E21"/>
    <mergeCell ref="H21:I21"/>
    <mergeCell ref="B22:E22"/>
    <mergeCell ref="H22:I22"/>
    <mergeCell ref="B24:E24"/>
    <mergeCell ref="H24:I2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4FD-D8B1-40CA-BEA9-E11BA8891A5D}">
  <dimension ref="A1:K42"/>
  <sheetViews>
    <sheetView showGridLines="0" workbookViewId="0">
      <selection activeCell="B15" sqref="B15:E15"/>
    </sheetView>
  </sheetViews>
  <sheetFormatPr defaultRowHeight="14.45"/>
  <cols>
    <col min="4" max="4" width="12" customWidth="1"/>
    <col min="7" max="7" width="11.28515625" bestFit="1" customWidth="1"/>
    <col min="9" max="9" width="11" customWidth="1"/>
    <col min="11" max="11" width="11.28515625" bestFit="1" customWidth="1"/>
  </cols>
  <sheetData>
    <row r="1" spans="1:11">
      <c r="A1" s="61" t="s">
        <v>0</v>
      </c>
      <c r="B1" s="62"/>
      <c r="C1" s="62"/>
      <c r="D1" s="62"/>
      <c r="E1" s="62"/>
      <c r="F1" s="62"/>
      <c r="G1" s="62"/>
      <c r="H1" s="62"/>
      <c r="I1" s="63"/>
    </row>
    <row r="2" spans="1:11">
      <c r="A2" s="64"/>
      <c r="B2" s="65"/>
      <c r="C2" s="65"/>
      <c r="D2" s="65"/>
      <c r="E2" s="65"/>
      <c r="F2" s="65"/>
      <c r="G2" s="65"/>
      <c r="H2" s="65"/>
      <c r="I2" s="66"/>
    </row>
    <row r="3" spans="1:11">
      <c r="A3" s="67" t="s">
        <v>1</v>
      </c>
      <c r="B3" s="68"/>
      <c r="C3" s="68"/>
      <c r="D3" s="68"/>
      <c r="E3" s="68"/>
      <c r="F3" s="68"/>
      <c r="G3" s="68"/>
      <c r="H3" s="68"/>
      <c r="I3" s="69"/>
    </row>
    <row r="4" spans="1:11">
      <c r="A4" s="70"/>
      <c r="B4" s="71"/>
      <c r="C4" s="71"/>
      <c r="D4" s="71"/>
      <c r="E4" s="71"/>
      <c r="F4" s="71"/>
      <c r="G4" s="71"/>
      <c r="H4" s="71"/>
      <c r="I4" s="72"/>
    </row>
    <row r="5" spans="1:11" ht="30">
      <c r="A5" s="73" t="s">
        <v>19</v>
      </c>
      <c r="B5" s="74"/>
      <c r="C5" s="74"/>
      <c r="D5" s="74"/>
      <c r="E5" s="74"/>
      <c r="F5" s="74"/>
      <c r="G5" s="74"/>
      <c r="H5" s="74"/>
      <c r="I5" s="75"/>
    </row>
    <row r="6" spans="1:11">
      <c r="A6" s="14" t="s">
        <v>3</v>
      </c>
      <c r="B6" s="20"/>
      <c r="C6" s="20"/>
      <c r="D6" s="20"/>
      <c r="E6" s="20" t="s">
        <v>4</v>
      </c>
      <c r="F6" s="20"/>
      <c r="G6" s="20"/>
      <c r="H6" s="20"/>
      <c r="I6" s="15"/>
    </row>
    <row r="7" spans="1:11">
      <c r="A7" s="80" t="s">
        <v>30</v>
      </c>
      <c r="B7" s="81"/>
      <c r="C7" s="81"/>
      <c r="D7" s="81"/>
      <c r="E7" s="81" t="str">
        <f>A7</f>
        <v>Steel Horse Auto Assembly Anantpur Ltd</v>
      </c>
      <c r="F7" s="81"/>
      <c r="G7" s="81"/>
      <c r="H7" s="81"/>
      <c r="I7" s="82"/>
    </row>
    <row r="8" spans="1:11">
      <c r="A8" s="80" t="s">
        <v>31</v>
      </c>
      <c r="B8" s="81"/>
      <c r="C8" s="81"/>
      <c r="D8" s="81"/>
      <c r="E8" s="81" t="str">
        <f t="shared" ref="E8:E9" si="0">A8</f>
        <v xml:space="preserve">123 MG Road, Anantapur, </v>
      </c>
      <c r="F8" s="81"/>
      <c r="G8" s="81"/>
      <c r="H8" s="81"/>
      <c r="I8" s="82"/>
    </row>
    <row r="9" spans="1:11">
      <c r="A9" s="80" t="s">
        <v>32</v>
      </c>
      <c r="B9" s="81"/>
      <c r="C9" s="81"/>
      <c r="D9" s="81"/>
      <c r="E9" s="81" t="str">
        <f t="shared" si="0"/>
        <v>Andhra Pradesh 515001, India</v>
      </c>
      <c r="F9" s="81"/>
      <c r="G9" s="81"/>
      <c r="H9" s="81"/>
      <c r="I9" s="82"/>
    </row>
    <row r="10" spans="1:11" ht="9.6" customHeight="1">
      <c r="A10" s="8"/>
      <c r="B10" s="21"/>
      <c r="C10" s="21"/>
      <c r="D10" s="21"/>
      <c r="E10" s="21"/>
      <c r="F10" s="21"/>
      <c r="G10" s="21"/>
      <c r="H10" s="21"/>
      <c r="I10" s="9"/>
    </row>
    <row r="11" spans="1:11">
      <c r="A11" s="58" t="s">
        <v>33</v>
      </c>
      <c r="B11" s="59"/>
      <c r="C11" s="59"/>
      <c r="D11" s="59"/>
      <c r="E11" s="59"/>
      <c r="F11" s="59"/>
      <c r="G11" s="59"/>
      <c r="H11" s="59"/>
      <c r="I11" s="60"/>
      <c r="K11" s="28"/>
    </row>
    <row r="12" spans="1:11">
      <c r="A12" s="58" t="s">
        <v>34</v>
      </c>
      <c r="B12" s="59"/>
      <c r="C12" s="59"/>
      <c r="D12" s="59"/>
      <c r="E12" s="59"/>
      <c r="F12" s="59"/>
      <c r="G12" s="59"/>
      <c r="H12" s="59"/>
      <c r="I12" s="60"/>
      <c r="K12" s="23"/>
    </row>
    <row r="13" spans="1:11">
      <c r="A13" s="83"/>
      <c r="B13" s="84"/>
      <c r="C13" s="84"/>
      <c r="D13" s="84"/>
      <c r="E13" s="84"/>
      <c r="F13" s="84"/>
      <c r="G13" s="84"/>
      <c r="H13" s="84"/>
      <c r="I13" s="85"/>
    </row>
    <row r="14" spans="1:11" ht="27.6">
      <c r="A14" s="4" t="s">
        <v>10</v>
      </c>
      <c r="B14" s="55" t="s">
        <v>11</v>
      </c>
      <c r="C14" s="55"/>
      <c r="D14" s="55"/>
      <c r="E14" s="55"/>
      <c r="F14" s="24" t="s">
        <v>12</v>
      </c>
      <c r="G14" s="25" t="s">
        <v>13</v>
      </c>
      <c r="H14" s="56" t="s">
        <v>14</v>
      </c>
      <c r="I14" s="57"/>
    </row>
    <row r="15" spans="1:11" ht="15">
      <c r="A15" s="5">
        <v>1</v>
      </c>
      <c r="B15" s="33" t="s">
        <v>35</v>
      </c>
      <c r="C15" s="33"/>
      <c r="D15" s="33"/>
      <c r="E15" s="33"/>
      <c r="F15" s="17">
        <v>2000</v>
      </c>
      <c r="G15" s="13">
        <v>2000</v>
      </c>
      <c r="H15" s="53">
        <f>F15*G15</f>
        <v>4000000</v>
      </c>
      <c r="I15" s="54"/>
    </row>
    <row r="16" spans="1:11" ht="14.45" customHeight="1">
      <c r="A16" s="5">
        <v>2</v>
      </c>
      <c r="B16" s="33" t="s">
        <v>36</v>
      </c>
      <c r="C16" s="33"/>
      <c r="D16" s="33"/>
      <c r="E16" s="33"/>
      <c r="F16" s="17">
        <v>2242</v>
      </c>
      <c r="G16" s="13">
        <v>1500</v>
      </c>
      <c r="H16" s="53">
        <f>+F16*G16</f>
        <v>3363000</v>
      </c>
      <c r="I16" s="54"/>
    </row>
    <row r="17" spans="1:9" ht="14.45" customHeight="1">
      <c r="A17" s="5"/>
      <c r="B17" s="33"/>
      <c r="C17" s="33"/>
      <c r="D17" s="33"/>
      <c r="E17" s="33"/>
      <c r="F17" s="17"/>
      <c r="G17" s="13"/>
      <c r="H17" s="53"/>
      <c r="I17" s="54"/>
    </row>
    <row r="18" spans="1:9" ht="14.45" customHeight="1">
      <c r="A18" s="5"/>
      <c r="B18" s="33"/>
      <c r="C18" s="33"/>
      <c r="D18" s="33"/>
      <c r="E18" s="33"/>
      <c r="F18" s="17"/>
      <c r="G18" s="13"/>
      <c r="H18" s="53"/>
      <c r="I18" s="54"/>
    </row>
    <row r="19" spans="1:9" ht="14.45" customHeight="1">
      <c r="A19" s="5"/>
      <c r="B19" s="33"/>
      <c r="C19" s="33"/>
      <c r="D19" s="33"/>
      <c r="E19" s="33"/>
      <c r="F19" s="17"/>
      <c r="G19" s="13"/>
      <c r="H19" s="53"/>
      <c r="I19" s="54"/>
    </row>
    <row r="20" spans="1:9" ht="14.45" customHeight="1">
      <c r="A20" s="5"/>
      <c r="B20" s="33"/>
      <c r="C20" s="33"/>
      <c r="D20" s="33"/>
      <c r="E20" s="33"/>
      <c r="F20" s="17"/>
      <c r="G20" s="13"/>
      <c r="H20" s="53"/>
      <c r="I20" s="54"/>
    </row>
    <row r="21" spans="1:9" ht="14.45" customHeight="1">
      <c r="A21" s="5"/>
      <c r="B21" s="33"/>
      <c r="C21" s="33"/>
      <c r="D21" s="33"/>
      <c r="E21" s="33"/>
      <c r="F21" s="17"/>
      <c r="G21" s="13"/>
      <c r="H21" s="53"/>
      <c r="I21" s="54"/>
    </row>
    <row r="22" spans="1:9" ht="14.45" customHeight="1">
      <c r="A22" s="5"/>
      <c r="B22" s="33"/>
      <c r="C22" s="33"/>
      <c r="D22" s="33"/>
      <c r="E22" s="33"/>
      <c r="F22" s="17"/>
      <c r="G22" s="13"/>
      <c r="H22" s="53"/>
      <c r="I22" s="54"/>
    </row>
    <row r="23" spans="1:9" ht="14.45" customHeight="1">
      <c r="A23" s="5"/>
      <c r="B23" s="33"/>
      <c r="C23" s="33"/>
      <c r="D23" s="33"/>
      <c r="E23" s="33"/>
      <c r="F23" s="17"/>
      <c r="G23" s="13"/>
      <c r="H23" s="53"/>
      <c r="I23" s="54"/>
    </row>
    <row r="24" spans="1:9" ht="14.45" customHeight="1">
      <c r="A24" s="5"/>
      <c r="B24" s="33"/>
      <c r="C24" s="33"/>
      <c r="D24" s="33"/>
      <c r="E24" s="33"/>
      <c r="F24" s="17"/>
      <c r="G24" s="13"/>
      <c r="H24" s="53"/>
      <c r="I24" s="54"/>
    </row>
    <row r="25" spans="1:9" ht="14.45" customHeight="1">
      <c r="A25" s="5"/>
      <c r="B25" s="33"/>
      <c r="C25" s="33"/>
      <c r="D25" s="33"/>
      <c r="E25" s="33"/>
      <c r="F25" s="17"/>
      <c r="G25" s="13"/>
      <c r="H25" s="53"/>
      <c r="I25" s="54"/>
    </row>
    <row r="26" spans="1:9" ht="14.45" customHeight="1">
      <c r="A26" s="5"/>
      <c r="B26" s="33"/>
      <c r="C26" s="33"/>
      <c r="D26" s="33"/>
      <c r="E26" s="33"/>
      <c r="F26" s="17"/>
      <c r="G26" s="13"/>
      <c r="H26" s="53"/>
      <c r="I26" s="54"/>
    </row>
    <row r="27" spans="1:9" ht="14.45" customHeight="1">
      <c r="A27" s="5"/>
      <c r="B27" s="33"/>
      <c r="C27" s="33"/>
      <c r="D27" s="33"/>
      <c r="E27" s="33"/>
      <c r="F27" s="17"/>
      <c r="G27" s="13"/>
      <c r="H27" s="53"/>
      <c r="I27" s="54"/>
    </row>
    <row r="28" spans="1:9" ht="14.45" customHeight="1">
      <c r="A28" s="5"/>
      <c r="B28" s="33"/>
      <c r="C28" s="33"/>
      <c r="D28" s="33"/>
      <c r="E28" s="33"/>
      <c r="F28" s="17"/>
      <c r="G28" s="13"/>
      <c r="H28" s="53"/>
      <c r="I28" s="54"/>
    </row>
    <row r="29" spans="1:9" ht="14.45" customHeight="1">
      <c r="A29" s="5"/>
      <c r="B29" s="33"/>
      <c r="C29" s="33"/>
      <c r="D29" s="33"/>
      <c r="E29" s="33"/>
      <c r="F29" s="17"/>
      <c r="G29" s="13"/>
      <c r="H29" s="53"/>
      <c r="I29" s="54"/>
    </row>
    <row r="30" spans="1:9" ht="14.45" customHeight="1">
      <c r="A30" s="5"/>
      <c r="B30" s="33"/>
      <c r="C30" s="33"/>
      <c r="D30" s="33"/>
      <c r="E30" s="33"/>
      <c r="F30" s="17"/>
      <c r="G30" s="13"/>
      <c r="H30" s="53"/>
      <c r="I30" s="54"/>
    </row>
    <row r="31" spans="1:9" ht="14.45" customHeight="1">
      <c r="A31" s="5"/>
      <c r="B31" s="33"/>
      <c r="C31" s="33"/>
      <c r="D31" s="33"/>
      <c r="E31" s="33"/>
      <c r="F31" s="17"/>
      <c r="G31" s="13"/>
      <c r="H31" s="53"/>
      <c r="I31" s="54"/>
    </row>
    <row r="32" spans="1:9" ht="14.45" customHeight="1">
      <c r="A32" s="5"/>
      <c r="B32" s="33"/>
      <c r="C32" s="33"/>
      <c r="D32" s="33"/>
      <c r="E32" s="33"/>
      <c r="F32" s="17"/>
      <c r="G32" s="13"/>
      <c r="H32" s="53"/>
      <c r="I32" s="54"/>
    </row>
    <row r="33" spans="1:9" ht="14.45" customHeight="1">
      <c r="A33" s="5"/>
      <c r="B33" s="33"/>
      <c r="C33" s="33"/>
      <c r="D33" s="33"/>
      <c r="E33" s="33"/>
      <c r="F33" s="17"/>
      <c r="G33" s="13"/>
      <c r="H33" s="53"/>
      <c r="I33" s="54"/>
    </row>
    <row r="34" spans="1:9" ht="14.45" customHeight="1">
      <c r="A34" s="5"/>
      <c r="B34" s="33"/>
      <c r="C34" s="33"/>
      <c r="D34" s="33"/>
      <c r="E34" s="33"/>
      <c r="F34" s="17"/>
      <c r="G34" s="13"/>
      <c r="H34" s="53"/>
      <c r="I34" s="54"/>
    </row>
    <row r="35" spans="1:9" ht="14.45" customHeight="1">
      <c r="A35" s="5"/>
      <c r="B35" s="33"/>
      <c r="C35" s="33"/>
      <c r="D35" s="33"/>
      <c r="E35" s="33"/>
      <c r="F35" s="17"/>
      <c r="G35" s="13"/>
      <c r="H35" s="53"/>
      <c r="I35" s="54"/>
    </row>
    <row r="36" spans="1:9" ht="14.45" customHeight="1">
      <c r="A36" s="5"/>
      <c r="B36" s="33"/>
      <c r="C36" s="33"/>
      <c r="D36" s="33"/>
      <c r="E36" s="33"/>
      <c r="F36" s="17"/>
      <c r="G36" s="13"/>
      <c r="H36" s="53"/>
      <c r="I36" s="54"/>
    </row>
    <row r="37" spans="1:9" ht="20.25">
      <c r="A37" s="36" t="s">
        <v>27</v>
      </c>
      <c r="B37" s="37"/>
      <c r="C37" s="37"/>
      <c r="D37" s="37"/>
      <c r="E37" s="37"/>
      <c r="F37" s="16"/>
      <c r="G37" s="3"/>
      <c r="H37" s="44">
        <f>H15+H16+H17</f>
        <v>7363000</v>
      </c>
      <c r="I37" s="45"/>
    </row>
    <row r="38" spans="1:9">
      <c r="A38" s="46"/>
      <c r="B38" s="47"/>
      <c r="C38" s="47"/>
      <c r="D38" s="47"/>
      <c r="E38" s="47"/>
      <c r="F38" s="47"/>
      <c r="G38" s="47"/>
      <c r="H38" s="47"/>
      <c r="I38" s="48"/>
    </row>
    <row r="39" spans="1:9" ht="21">
      <c r="A39" s="10"/>
      <c r="B39" s="27"/>
      <c r="C39" s="27"/>
      <c r="D39" s="19"/>
      <c r="E39" s="30" t="s">
        <v>28</v>
      </c>
      <c r="F39" s="30"/>
      <c r="G39" s="30"/>
      <c r="H39" s="49">
        <f>H37</f>
        <v>7363000</v>
      </c>
      <c r="I39" s="50"/>
    </row>
    <row r="40" spans="1:9">
      <c r="A40" s="10"/>
      <c r="B40" s="27"/>
      <c r="C40" s="27"/>
      <c r="D40" s="19"/>
      <c r="E40" s="31" t="s">
        <v>29</v>
      </c>
      <c r="F40" s="31"/>
      <c r="G40" s="31"/>
      <c r="H40" s="51">
        <f>H39*18%</f>
        <v>1325340</v>
      </c>
      <c r="I40" s="52"/>
    </row>
    <row r="41" spans="1:9" ht="14.45" customHeight="1">
      <c r="A41" s="10"/>
      <c r="B41" s="27"/>
      <c r="C41" s="27"/>
      <c r="D41" s="19"/>
      <c r="E41" s="38" t="s">
        <v>27</v>
      </c>
      <c r="F41" s="38"/>
      <c r="G41" s="38"/>
      <c r="H41" s="40">
        <f>+H39+H40</f>
        <v>8688340</v>
      </c>
      <c r="I41" s="41"/>
    </row>
    <row r="42" spans="1:9" ht="15" customHeight="1" thickBot="1">
      <c r="A42" s="11"/>
      <c r="B42" s="12"/>
      <c r="C42" s="12"/>
      <c r="D42" s="7"/>
      <c r="E42" s="39"/>
      <c r="F42" s="39"/>
      <c r="G42" s="39"/>
      <c r="H42" s="42"/>
      <c r="I42" s="43"/>
    </row>
  </sheetData>
  <mergeCells count="66">
    <mergeCell ref="B30:E30"/>
    <mergeCell ref="H30:I30"/>
    <mergeCell ref="B21:E21"/>
    <mergeCell ref="H21:I21"/>
    <mergeCell ref="B25:E25"/>
    <mergeCell ref="H25:I25"/>
    <mergeCell ref="B29:E29"/>
    <mergeCell ref="H29:I29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33:E33"/>
    <mergeCell ref="H33:I33"/>
    <mergeCell ref="B19:E19"/>
    <mergeCell ref="H19:I19"/>
    <mergeCell ref="B20:E20"/>
    <mergeCell ref="H20:I20"/>
    <mergeCell ref="B22:E22"/>
    <mergeCell ref="H22:I22"/>
    <mergeCell ref="B23:E23"/>
    <mergeCell ref="H23:I23"/>
    <mergeCell ref="B24:E24"/>
    <mergeCell ref="H24:I24"/>
    <mergeCell ref="E41:G42"/>
    <mergeCell ref="H41:I42"/>
    <mergeCell ref="H37:I37"/>
    <mergeCell ref="A38:I38"/>
    <mergeCell ref="H39:I39"/>
    <mergeCell ref="H40:I40"/>
    <mergeCell ref="B26:E26"/>
    <mergeCell ref="H26:I26"/>
    <mergeCell ref="B27:E27"/>
    <mergeCell ref="H27:I27"/>
    <mergeCell ref="B28:E28"/>
    <mergeCell ref="H28:I28"/>
    <mergeCell ref="B31:E31"/>
    <mergeCell ref="H31:I31"/>
    <mergeCell ref="B32:E32"/>
    <mergeCell ref="H32:I32"/>
    <mergeCell ref="A37:E37"/>
    <mergeCell ref="B34:E34"/>
    <mergeCell ref="H34:I34"/>
    <mergeCell ref="B35:E35"/>
    <mergeCell ref="H35:I35"/>
    <mergeCell ref="B36:E36"/>
    <mergeCell ref="H36:I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A1E0-730F-4CCE-B762-E94C7AD3512F}">
  <dimension ref="A1:L42"/>
  <sheetViews>
    <sheetView showGridLines="0" topLeftCell="A14" workbookViewId="0">
      <selection activeCell="H40" sqref="H40:I40"/>
    </sheetView>
  </sheetViews>
  <sheetFormatPr defaultRowHeight="14.45"/>
  <cols>
    <col min="4" max="4" width="12" customWidth="1"/>
    <col min="7" max="7" width="11.28515625" bestFit="1" customWidth="1"/>
    <col min="9" max="9" width="11" customWidth="1"/>
    <col min="12" max="12" width="11.28515625" bestFit="1" customWidth="1"/>
  </cols>
  <sheetData>
    <row r="1" spans="1:12">
      <c r="A1" s="61" t="s">
        <v>0</v>
      </c>
      <c r="B1" s="62"/>
      <c r="C1" s="62"/>
      <c r="D1" s="62"/>
      <c r="E1" s="62"/>
      <c r="F1" s="62"/>
      <c r="G1" s="62"/>
      <c r="H1" s="62"/>
      <c r="I1" s="63"/>
    </row>
    <row r="2" spans="1:12">
      <c r="A2" s="64"/>
      <c r="B2" s="65"/>
      <c r="C2" s="65"/>
      <c r="D2" s="65"/>
      <c r="E2" s="65"/>
      <c r="F2" s="65"/>
      <c r="G2" s="65"/>
      <c r="H2" s="65"/>
      <c r="I2" s="66"/>
    </row>
    <row r="3" spans="1:12">
      <c r="A3" s="67" t="s">
        <v>1</v>
      </c>
      <c r="B3" s="68"/>
      <c r="C3" s="68"/>
      <c r="D3" s="68"/>
      <c r="E3" s="68"/>
      <c r="F3" s="68"/>
      <c r="G3" s="68"/>
      <c r="H3" s="68"/>
      <c r="I3" s="69"/>
    </row>
    <row r="4" spans="1:12">
      <c r="A4" s="70"/>
      <c r="B4" s="71"/>
      <c r="C4" s="71"/>
      <c r="D4" s="71"/>
      <c r="E4" s="71"/>
      <c r="F4" s="71"/>
      <c r="G4" s="71"/>
      <c r="H4" s="71"/>
      <c r="I4" s="72"/>
    </row>
    <row r="5" spans="1:12" ht="30">
      <c r="A5" s="73" t="s">
        <v>19</v>
      </c>
      <c r="B5" s="74"/>
      <c r="C5" s="74"/>
      <c r="D5" s="74"/>
      <c r="E5" s="74"/>
      <c r="F5" s="74"/>
      <c r="G5" s="74"/>
      <c r="H5" s="74"/>
      <c r="I5" s="75"/>
    </row>
    <row r="6" spans="1:12">
      <c r="A6" s="14" t="s">
        <v>3</v>
      </c>
      <c r="B6" s="20"/>
      <c r="C6" s="20"/>
      <c r="D6" s="20"/>
      <c r="E6" s="20" t="s">
        <v>4</v>
      </c>
      <c r="F6" s="20"/>
      <c r="G6" s="20"/>
      <c r="H6" s="20"/>
      <c r="I6" s="15"/>
    </row>
    <row r="7" spans="1:12">
      <c r="A7" s="80" t="s">
        <v>5</v>
      </c>
      <c r="B7" s="81"/>
      <c r="C7" s="81"/>
      <c r="D7" s="81"/>
      <c r="E7" s="81" t="str">
        <f>A7</f>
        <v>Steel Horse Auto Inc</v>
      </c>
      <c r="F7" s="81"/>
      <c r="G7" s="81"/>
      <c r="H7" s="81"/>
      <c r="I7" s="82"/>
    </row>
    <row r="8" spans="1:12">
      <c r="A8" s="80" t="s">
        <v>6</v>
      </c>
      <c r="B8" s="81"/>
      <c r="C8" s="81"/>
      <c r="D8" s="81"/>
      <c r="E8" s="81" t="str">
        <f t="shared" ref="E8:E9" si="0">A8</f>
        <v xml:space="preserve">265 Lopez Orchard, East John, </v>
      </c>
      <c r="F8" s="81"/>
      <c r="G8" s="81"/>
      <c r="H8" s="81"/>
      <c r="I8" s="82"/>
    </row>
    <row r="9" spans="1:12">
      <c r="A9" s="80" t="s">
        <v>7</v>
      </c>
      <c r="B9" s="81"/>
      <c r="C9" s="81"/>
      <c r="D9" s="81"/>
      <c r="E9" s="81" t="str">
        <f t="shared" si="0"/>
        <v>Michigan, United States, 43306</v>
      </c>
      <c r="F9" s="81"/>
      <c r="G9" s="81"/>
      <c r="H9" s="81"/>
      <c r="I9" s="82"/>
    </row>
    <row r="10" spans="1:12" ht="9.6" customHeight="1">
      <c r="A10" s="8"/>
      <c r="B10" s="21"/>
      <c r="C10" s="21"/>
      <c r="D10" s="21"/>
      <c r="E10" s="21"/>
      <c r="F10" s="21"/>
      <c r="G10" s="21"/>
      <c r="H10" s="21"/>
      <c r="I10" s="9"/>
    </row>
    <row r="11" spans="1:12">
      <c r="A11" s="58" t="s">
        <v>37</v>
      </c>
      <c r="B11" s="59"/>
      <c r="C11" s="59"/>
      <c r="D11" s="59"/>
      <c r="E11" s="59"/>
      <c r="F11" s="59"/>
      <c r="G11" s="59"/>
      <c r="H11" s="59"/>
      <c r="I11" s="60"/>
      <c r="L11" s="28"/>
    </row>
    <row r="12" spans="1:12">
      <c r="A12" s="58" t="s">
        <v>38</v>
      </c>
      <c r="B12" s="59"/>
      <c r="C12" s="59"/>
      <c r="D12" s="59"/>
      <c r="E12" s="59"/>
      <c r="F12" s="59"/>
      <c r="G12" s="59"/>
      <c r="H12" s="59"/>
      <c r="I12" s="60"/>
      <c r="L12" s="23"/>
    </row>
    <row r="13" spans="1:12">
      <c r="A13" s="83"/>
      <c r="B13" s="84"/>
      <c r="C13" s="84"/>
      <c r="D13" s="84"/>
      <c r="E13" s="84"/>
      <c r="F13" s="84"/>
      <c r="G13" s="84"/>
      <c r="H13" s="84"/>
      <c r="I13" s="85"/>
    </row>
    <row r="14" spans="1:12" ht="27.6">
      <c r="A14" s="4" t="s">
        <v>10</v>
      </c>
      <c r="B14" s="55" t="s">
        <v>11</v>
      </c>
      <c r="C14" s="55"/>
      <c r="D14" s="55"/>
      <c r="E14" s="55"/>
      <c r="F14" s="24" t="s">
        <v>12</v>
      </c>
      <c r="G14" s="25" t="s">
        <v>13</v>
      </c>
      <c r="H14" s="56" t="s">
        <v>14</v>
      </c>
      <c r="I14" s="57"/>
    </row>
    <row r="15" spans="1:12" ht="15">
      <c r="A15" s="5">
        <v>1</v>
      </c>
      <c r="B15" s="33" t="s">
        <v>39</v>
      </c>
      <c r="C15" s="33"/>
      <c r="D15" s="33"/>
      <c r="E15" s="33"/>
      <c r="F15" s="17">
        <v>1500</v>
      </c>
      <c r="G15" s="13">
        <v>2396</v>
      </c>
      <c r="H15" s="53">
        <f>F15*G15</f>
        <v>3594000</v>
      </c>
      <c r="I15" s="54"/>
    </row>
    <row r="16" spans="1:12" ht="14.45" customHeight="1">
      <c r="A16" s="5"/>
      <c r="B16" s="33"/>
      <c r="C16" s="33"/>
      <c r="D16" s="33"/>
      <c r="E16" s="33"/>
      <c r="F16" s="17"/>
      <c r="G16" s="13"/>
      <c r="H16" s="53"/>
      <c r="I16" s="54"/>
    </row>
    <row r="17" spans="1:9" ht="14.45" customHeight="1">
      <c r="A17" s="5"/>
      <c r="B17" s="33"/>
      <c r="C17" s="33"/>
      <c r="D17" s="33"/>
      <c r="E17" s="33"/>
      <c r="F17" s="17"/>
      <c r="G17" s="13"/>
      <c r="H17" s="53"/>
      <c r="I17" s="54"/>
    </row>
    <row r="18" spans="1:9" ht="14.45" customHeight="1">
      <c r="A18" s="5"/>
      <c r="B18" s="33"/>
      <c r="C18" s="33"/>
      <c r="D18" s="33"/>
      <c r="E18" s="33"/>
      <c r="F18" s="17"/>
      <c r="G18" s="13"/>
      <c r="H18" s="53"/>
      <c r="I18" s="54"/>
    </row>
    <row r="19" spans="1:9" ht="14.45" customHeight="1">
      <c r="A19" s="5"/>
      <c r="B19" s="33"/>
      <c r="C19" s="33"/>
      <c r="D19" s="33"/>
      <c r="E19" s="33"/>
      <c r="F19" s="17"/>
      <c r="G19" s="13"/>
      <c r="H19" s="53"/>
      <c r="I19" s="54"/>
    </row>
    <row r="20" spans="1:9" ht="14.45" customHeight="1">
      <c r="A20" s="5"/>
      <c r="B20" s="33"/>
      <c r="C20" s="33"/>
      <c r="D20" s="33"/>
      <c r="E20" s="33"/>
      <c r="F20" s="17"/>
      <c r="G20" s="13"/>
      <c r="H20" s="53"/>
      <c r="I20" s="54"/>
    </row>
    <row r="21" spans="1:9" ht="14.45" customHeight="1">
      <c r="A21" s="5"/>
      <c r="B21" s="33"/>
      <c r="C21" s="33"/>
      <c r="D21" s="33"/>
      <c r="E21" s="33"/>
      <c r="F21" s="17"/>
      <c r="G21" s="13"/>
      <c r="H21" s="53"/>
      <c r="I21" s="54"/>
    </row>
    <row r="22" spans="1:9" ht="14.45" customHeight="1">
      <c r="A22" s="5"/>
      <c r="B22" s="33"/>
      <c r="C22" s="33"/>
      <c r="D22" s="33"/>
      <c r="E22" s="33"/>
      <c r="F22" s="17"/>
      <c r="G22" s="13"/>
      <c r="H22" s="53"/>
      <c r="I22" s="54"/>
    </row>
    <row r="23" spans="1:9" ht="14.45" customHeight="1">
      <c r="A23" s="5"/>
      <c r="B23" s="33"/>
      <c r="C23" s="33"/>
      <c r="D23" s="33"/>
      <c r="E23" s="33"/>
      <c r="F23" s="17"/>
      <c r="G23" s="13"/>
      <c r="H23" s="53"/>
      <c r="I23" s="54"/>
    </row>
    <row r="24" spans="1:9" ht="14.45" customHeight="1">
      <c r="A24" s="5"/>
      <c r="B24" s="33"/>
      <c r="C24" s="33"/>
      <c r="D24" s="33"/>
      <c r="E24" s="33"/>
      <c r="F24" s="17"/>
      <c r="G24" s="13"/>
      <c r="H24" s="53"/>
      <c r="I24" s="54"/>
    </row>
    <row r="25" spans="1:9" ht="14.45" customHeight="1">
      <c r="A25" s="5"/>
      <c r="B25" s="33"/>
      <c r="C25" s="33"/>
      <c r="D25" s="33"/>
      <c r="E25" s="33"/>
      <c r="F25" s="17"/>
      <c r="G25" s="13"/>
      <c r="H25" s="53"/>
      <c r="I25" s="54"/>
    </row>
    <row r="26" spans="1:9" ht="14.45" customHeight="1">
      <c r="A26" s="5"/>
      <c r="B26" s="33"/>
      <c r="C26" s="33"/>
      <c r="D26" s="33"/>
      <c r="E26" s="33"/>
      <c r="F26" s="17"/>
      <c r="G26" s="13"/>
      <c r="H26" s="53"/>
      <c r="I26" s="54"/>
    </row>
    <row r="27" spans="1:9" ht="14.45" customHeight="1">
      <c r="A27" s="5"/>
      <c r="B27" s="33"/>
      <c r="C27" s="33"/>
      <c r="D27" s="33"/>
      <c r="E27" s="33"/>
      <c r="F27" s="17"/>
      <c r="G27" s="13"/>
      <c r="H27" s="53"/>
      <c r="I27" s="54"/>
    </row>
    <row r="28" spans="1:9" ht="14.45" customHeight="1">
      <c r="A28" s="5"/>
      <c r="B28" s="33"/>
      <c r="C28" s="33"/>
      <c r="D28" s="33"/>
      <c r="E28" s="33"/>
      <c r="F28" s="17"/>
      <c r="G28" s="13"/>
      <c r="H28" s="53"/>
      <c r="I28" s="54"/>
    </row>
    <row r="29" spans="1:9" ht="14.45" customHeight="1">
      <c r="A29" s="5"/>
      <c r="B29" s="33"/>
      <c r="C29" s="33"/>
      <c r="D29" s="33"/>
      <c r="E29" s="33"/>
      <c r="F29" s="17"/>
      <c r="G29" s="13"/>
      <c r="H29" s="53"/>
      <c r="I29" s="54"/>
    </row>
    <row r="30" spans="1:9" ht="14.45" customHeight="1">
      <c r="A30" s="5"/>
      <c r="B30" s="33"/>
      <c r="C30" s="33"/>
      <c r="D30" s="33"/>
      <c r="E30" s="33"/>
      <c r="F30" s="17"/>
      <c r="G30" s="13"/>
      <c r="H30" s="53"/>
      <c r="I30" s="54"/>
    </row>
    <row r="31" spans="1:9" ht="14.45" customHeight="1">
      <c r="A31" s="5"/>
      <c r="B31" s="33"/>
      <c r="C31" s="33"/>
      <c r="D31" s="33"/>
      <c r="E31" s="33"/>
      <c r="F31" s="17"/>
      <c r="G31" s="13"/>
      <c r="H31" s="53"/>
      <c r="I31" s="54"/>
    </row>
    <row r="32" spans="1:9" ht="14.45" customHeight="1">
      <c r="A32" s="5"/>
      <c r="B32" s="33"/>
      <c r="C32" s="33"/>
      <c r="D32" s="33"/>
      <c r="E32" s="33"/>
      <c r="F32" s="17"/>
      <c r="G32" s="13"/>
      <c r="H32" s="53"/>
      <c r="I32" s="54"/>
    </row>
    <row r="33" spans="1:9" ht="14.45" customHeight="1">
      <c r="A33" s="5"/>
      <c r="B33" s="33"/>
      <c r="C33" s="33"/>
      <c r="D33" s="33"/>
      <c r="E33" s="33"/>
      <c r="F33" s="17"/>
      <c r="G33" s="13"/>
      <c r="H33" s="53"/>
      <c r="I33" s="54"/>
    </row>
    <row r="34" spans="1:9" ht="14.45" customHeight="1">
      <c r="A34" s="5"/>
      <c r="B34" s="33"/>
      <c r="C34" s="33"/>
      <c r="D34" s="33"/>
      <c r="E34" s="33"/>
      <c r="F34" s="17"/>
      <c r="G34" s="13"/>
      <c r="H34" s="53"/>
      <c r="I34" s="54"/>
    </row>
    <row r="35" spans="1:9" ht="14.45" customHeight="1">
      <c r="A35" s="5"/>
      <c r="B35" s="33"/>
      <c r="C35" s="33"/>
      <c r="D35" s="33"/>
      <c r="E35" s="33"/>
      <c r="F35" s="17"/>
      <c r="G35" s="13"/>
      <c r="H35" s="53"/>
      <c r="I35" s="54"/>
    </row>
    <row r="36" spans="1:9" ht="14.45" customHeight="1">
      <c r="A36" s="5"/>
      <c r="B36" s="33"/>
      <c r="C36" s="33"/>
      <c r="D36" s="33"/>
      <c r="E36" s="33"/>
      <c r="F36" s="17"/>
      <c r="G36" s="13"/>
      <c r="H36" s="53"/>
      <c r="I36" s="54"/>
    </row>
    <row r="37" spans="1:9" ht="20.25">
      <c r="A37" s="36" t="s">
        <v>27</v>
      </c>
      <c r="B37" s="37"/>
      <c r="C37" s="37"/>
      <c r="D37" s="37"/>
      <c r="E37" s="37"/>
      <c r="F37" s="16"/>
      <c r="G37" s="3"/>
      <c r="H37" s="44">
        <f>H15+H16-H17</f>
        <v>3594000</v>
      </c>
      <c r="I37" s="45"/>
    </row>
    <row r="38" spans="1:9">
      <c r="A38" s="46"/>
      <c r="B38" s="47"/>
      <c r="C38" s="47"/>
      <c r="D38" s="47"/>
      <c r="E38" s="47"/>
      <c r="F38" s="47"/>
      <c r="G38" s="47"/>
      <c r="H38" s="47"/>
      <c r="I38" s="48"/>
    </row>
    <row r="39" spans="1:9" ht="21">
      <c r="A39" s="29"/>
      <c r="B39" s="27"/>
      <c r="C39" s="27"/>
      <c r="D39" s="19"/>
      <c r="E39" s="30" t="s">
        <v>28</v>
      </c>
      <c r="F39" s="30"/>
      <c r="G39" s="30"/>
      <c r="H39" s="49">
        <f>H37</f>
        <v>3594000</v>
      </c>
      <c r="I39" s="50"/>
    </row>
    <row r="40" spans="1:9">
      <c r="A40" s="10"/>
      <c r="B40" s="27"/>
      <c r="C40" s="27"/>
      <c r="D40" s="19"/>
      <c r="E40" s="31" t="s">
        <v>29</v>
      </c>
      <c r="F40" s="31"/>
      <c r="G40" s="31"/>
      <c r="H40" s="51">
        <f>H39*18%</f>
        <v>646920</v>
      </c>
      <c r="I40" s="52"/>
    </row>
    <row r="41" spans="1:9" ht="14.45" customHeight="1">
      <c r="A41" s="10"/>
      <c r="B41" s="27"/>
      <c r="C41" s="27"/>
      <c r="D41" s="19"/>
      <c r="E41" s="38" t="s">
        <v>27</v>
      </c>
      <c r="F41" s="38"/>
      <c r="G41" s="38"/>
      <c r="H41" s="40">
        <f>+H39+H40</f>
        <v>4240920</v>
      </c>
      <c r="I41" s="41"/>
    </row>
    <row r="42" spans="1:9" ht="15" customHeight="1" thickBot="1">
      <c r="A42" s="11"/>
      <c r="B42" s="12"/>
      <c r="C42" s="12"/>
      <c r="D42" s="7"/>
      <c r="E42" s="39"/>
      <c r="F42" s="39"/>
      <c r="G42" s="39"/>
      <c r="H42" s="42"/>
      <c r="I42" s="43"/>
    </row>
  </sheetData>
  <mergeCells count="66">
    <mergeCell ref="B25:E25"/>
    <mergeCell ref="H25:I25"/>
    <mergeCell ref="B29:E29"/>
    <mergeCell ref="H29:I29"/>
    <mergeCell ref="B30:E30"/>
    <mergeCell ref="H30:I30"/>
    <mergeCell ref="B15:E15"/>
    <mergeCell ref="H15:I15"/>
    <mergeCell ref="B16:E16"/>
    <mergeCell ref="H16:I16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B32:E32"/>
    <mergeCell ref="H32:I32"/>
    <mergeCell ref="B33:E33"/>
    <mergeCell ref="H33:I33"/>
    <mergeCell ref="B18:E18"/>
    <mergeCell ref="H18:I18"/>
    <mergeCell ref="B19:E19"/>
    <mergeCell ref="H19:I19"/>
    <mergeCell ref="B20:E20"/>
    <mergeCell ref="H20:I20"/>
    <mergeCell ref="B22:E22"/>
    <mergeCell ref="H22:I22"/>
    <mergeCell ref="B23:E23"/>
    <mergeCell ref="H23:I23"/>
    <mergeCell ref="B21:E21"/>
    <mergeCell ref="H21:I21"/>
    <mergeCell ref="B34:E34"/>
    <mergeCell ref="H34:I34"/>
    <mergeCell ref="B35:E35"/>
    <mergeCell ref="H35:I35"/>
    <mergeCell ref="B36:E36"/>
    <mergeCell ref="H36:I36"/>
    <mergeCell ref="E41:G42"/>
    <mergeCell ref="H41:I42"/>
    <mergeCell ref="H37:I37"/>
    <mergeCell ref="A38:I38"/>
    <mergeCell ref="H39:I39"/>
    <mergeCell ref="H40:I40"/>
    <mergeCell ref="A37:E37"/>
    <mergeCell ref="B28:E28"/>
    <mergeCell ref="H28:I28"/>
    <mergeCell ref="B31:E31"/>
    <mergeCell ref="H31:I31"/>
    <mergeCell ref="A11:I11"/>
    <mergeCell ref="A12:I12"/>
    <mergeCell ref="B24:E24"/>
    <mergeCell ref="H24:I24"/>
    <mergeCell ref="B26:E26"/>
    <mergeCell ref="H26:I26"/>
    <mergeCell ref="B27:E27"/>
    <mergeCell ref="H27:I27"/>
    <mergeCell ref="B17:E17"/>
    <mergeCell ref="H17:I17"/>
    <mergeCell ref="B14:E14"/>
    <mergeCell ref="H14:I1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09CC-BBEB-47B8-B11C-16453845D74A}">
  <dimension ref="A1:K42"/>
  <sheetViews>
    <sheetView showGridLines="0" workbookViewId="0">
      <selection activeCell="L11" sqref="L11"/>
    </sheetView>
  </sheetViews>
  <sheetFormatPr defaultRowHeight="14.45"/>
  <cols>
    <col min="4" max="4" width="12" customWidth="1"/>
    <col min="7" max="7" width="11.28515625" bestFit="1" customWidth="1"/>
    <col min="9" max="9" width="11" customWidth="1"/>
    <col min="11" max="11" width="11.28515625" bestFit="1" customWidth="1"/>
  </cols>
  <sheetData>
    <row r="1" spans="1:11">
      <c r="A1" s="61" t="s">
        <v>0</v>
      </c>
      <c r="B1" s="62"/>
      <c r="C1" s="62"/>
      <c r="D1" s="62"/>
      <c r="E1" s="62"/>
      <c r="F1" s="62"/>
      <c r="G1" s="62"/>
      <c r="H1" s="62"/>
      <c r="I1" s="63"/>
    </row>
    <row r="2" spans="1:11">
      <c r="A2" s="64"/>
      <c r="B2" s="65"/>
      <c r="C2" s="65"/>
      <c r="D2" s="65"/>
      <c r="E2" s="65"/>
      <c r="F2" s="65"/>
      <c r="G2" s="65"/>
      <c r="H2" s="65"/>
      <c r="I2" s="66"/>
    </row>
    <row r="3" spans="1:11">
      <c r="A3" s="67" t="s">
        <v>1</v>
      </c>
      <c r="B3" s="68"/>
      <c r="C3" s="68"/>
      <c r="D3" s="68"/>
      <c r="E3" s="68"/>
      <c r="F3" s="68"/>
      <c r="G3" s="68"/>
      <c r="H3" s="68"/>
      <c r="I3" s="69"/>
    </row>
    <row r="4" spans="1:11">
      <c r="A4" s="70"/>
      <c r="B4" s="71"/>
      <c r="C4" s="71"/>
      <c r="D4" s="71"/>
      <c r="E4" s="71"/>
      <c r="F4" s="71"/>
      <c r="G4" s="71"/>
      <c r="H4" s="71"/>
      <c r="I4" s="72"/>
    </row>
    <row r="5" spans="1:11" ht="30">
      <c r="A5" s="73" t="s">
        <v>19</v>
      </c>
      <c r="B5" s="74"/>
      <c r="C5" s="74"/>
      <c r="D5" s="74"/>
      <c r="E5" s="74"/>
      <c r="F5" s="74"/>
      <c r="G5" s="74"/>
      <c r="H5" s="74"/>
      <c r="I5" s="75"/>
    </row>
    <row r="6" spans="1:11">
      <c r="A6" s="14" t="s">
        <v>3</v>
      </c>
      <c r="B6" s="20"/>
      <c r="C6" s="20"/>
      <c r="D6" s="20"/>
      <c r="E6" s="20" t="s">
        <v>4</v>
      </c>
      <c r="F6" s="20"/>
      <c r="G6" s="20"/>
      <c r="H6" s="20"/>
      <c r="I6" s="15"/>
    </row>
    <row r="7" spans="1:11">
      <c r="A7" s="80" t="s">
        <v>30</v>
      </c>
      <c r="B7" s="81"/>
      <c r="C7" s="81"/>
      <c r="D7" s="81"/>
      <c r="E7" s="81" t="str">
        <f>A7</f>
        <v>Steel Horse Auto Assembly Anantpur Ltd</v>
      </c>
      <c r="F7" s="81"/>
      <c r="G7" s="81"/>
      <c r="H7" s="81"/>
      <c r="I7" s="82"/>
    </row>
    <row r="8" spans="1:11">
      <c r="A8" s="80" t="s">
        <v>31</v>
      </c>
      <c r="B8" s="81"/>
      <c r="C8" s="81"/>
      <c r="D8" s="81"/>
      <c r="E8" s="81" t="str">
        <f t="shared" ref="E8:E9" si="0">A8</f>
        <v xml:space="preserve">123 MG Road, Anantapur, </v>
      </c>
      <c r="F8" s="81"/>
      <c r="G8" s="81"/>
      <c r="H8" s="81"/>
      <c r="I8" s="82"/>
    </row>
    <row r="9" spans="1:11">
      <c r="A9" s="80" t="s">
        <v>32</v>
      </c>
      <c r="B9" s="81"/>
      <c r="C9" s="81"/>
      <c r="D9" s="81"/>
      <c r="E9" s="81" t="str">
        <f t="shared" si="0"/>
        <v>Andhra Pradesh 515001, India</v>
      </c>
      <c r="F9" s="81"/>
      <c r="G9" s="81"/>
      <c r="H9" s="81"/>
      <c r="I9" s="82"/>
    </row>
    <row r="10" spans="1:11" ht="9.6" customHeight="1">
      <c r="A10" s="8"/>
      <c r="B10" s="21"/>
      <c r="C10" s="21"/>
      <c r="D10" s="21"/>
      <c r="E10" s="21"/>
      <c r="F10" s="21"/>
      <c r="G10" s="21"/>
      <c r="H10" s="21"/>
      <c r="I10" s="9"/>
    </row>
    <row r="11" spans="1:11">
      <c r="A11" s="58" t="s">
        <v>40</v>
      </c>
      <c r="B11" s="59"/>
      <c r="C11" s="59"/>
      <c r="D11" s="59"/>
      <c r="E11" s="59"/>
      <c r="F11" s="59"/>
      <c r="G11" s="59"/>
      <c r="H11" s="59"/>
      <c r="I11" s="60"/>
      <c r="K11" s="28"/>
    </row>
    <row r="12" spans="1:11">
      <c r="A12" s="58" t="s">
        <v>41</v>
      </c>
      <c r="B12" s="59"/>
      <c r="C12" s="59"/>
      <c r="D12" s="59"/>
      <c r="E12" s="59"/>
      <c r="F12" s="59"/>
      <c r="G12" s="59"/>
      <c r="H12" s="59"/>
      <c r="I12" s="60"/>
      <c r="K12" s="23"/>
    </row>
    <row r="13" spans="1:11">
      <c r="A13" s="83"/>
      <c r="B13" s="84"/>
      <c r="C13" s="84"/>
      <c r="D13" s="84"/>
      <c r="E13" s="84"/>
      <c r="F13" s="84"/>
      <c r="G13" s="84"/>
      <c r="H13" s="84"/>
      <c r="I13" s="85"/>
    </row>
    <row r="14" spans="1:11" ht="27.6">
      <c r="A14" s="4" t="s">
        <v>10</v>
      </c>
      <c r="B14" s="55" t="s">
        <v>11</v>
      </c>
      <c r="C14" s="55"/>
      <c r="D14" s="55"/>
      <c r="E14" s="55"/>
      <c r="F14" s="24" t="s">
        <v>12</v>
      </c>
      <c r="G14" s="25" t="s">
        <v>13</v>
      </c>
      <c r="H14" s="56" t="s">
        <v>14</v>
      </c>
      <c r="I14" s="57"/>
    </row>
    <row r="15" spans="1:11" ht="15">
      <c r="A15" s="5">
        <v>1</v>
      </c>
      <c r="B15" s="33" t="s">
        <v>35</v>
      </c>
      <c r="C15" s="33"/>
      <c r="D15" s="33"/>
      <c r="E15" s="33"/>
      <c r="F15" s="17">
        <v>1000</v>
      </c>
      <c r="G15" s="13">
        <v>2000</v>
      </c>
      <c r="H15" s="53">
        <f>F15*G15</f>
        <v>2000000</v>
      </c>
      <c r="I15" s="54"/>
    </row>
    <row r="16" spans="1:11" ht="14.45" customHeight="1">
      <c r="A16" s="5"/>
      <c r="B16" s="33"/>
      <c r="C16" s="33"/>
      <c r="D16" s="33"/>
      <c r="E16" s="33"/>
      <c r="F16" s="17"/>
      <c r="G16" s="13"/>
      <c r="H16" s="53"/>
      <c r="I16" s="54"/>
    </row>
    <row r="17" spans="1:9" ht="14.45" customHeight="1">
      <c r="A17" s="5"/>
      <c r="B17" s="33"/>
      <c r="C17" s="33"/>
      <c r="D17" s="33"/>
      <c r="E17" s="33"/>
      <c r="F17" s="17"/>
      <c r="G17" s="13"/>
      <c r="H17" s="53"/>
      <c r="I17" s="54"/>
    </row>
    <row r="18" spans="1:9" ht="14.45" customHeight="1">
      <c r="A18" s="5"/>
      <c r="B18" s="33"/>
      <c r="C18" s="33"/>
      <c r="D18" s="33"/>
      <c r="E18" s="33"/>
      <c r="F18" s="17"/>
      <c r="G18" s="13"/>
      <c r="H18" s="53"/>
      <c r="I18" s="54"/>
    </row>
    <row r="19" spans="1:9" ht="14.45" customHeight="1">
      <c r="A19" s="5"/>
      <c r="B19" s="33"/>
      <c r="C19" s="33"/>
      <c r="D19" s="33"/>
      <c r="E19" s="33"/>
      <c r="F19" s="17"/>
      <c r="G19" s="13"/>
      <c r="H19" s="53"/>
      <c r="I19" s="54"/>
    </row>
    <row r="20" spans="1:9" ht="14.45" customHeight="1">
      <c r="A20" s="5"/>
      <c r="B20" s="33"/>
      <c r="C20" s="33"/>
      <c r="D20" s="33"/>
      <c r="E20" s="33"/>
      <c r="F20" s="17"/>
      <c r="G20" s="13"/>
      <c r="H20" s="53"/>
      <c r="I20" s="54"/>
    </row>
    <row r="21" spans="1:9" ht="14.45" customHeight="1">
      <c r="A21" s="5"/>
      <c r="B21" s="33"/>
      <c r="C21" s="33"/>
      <c r="D21" s="33"/>
      <c r="E21" s="33"/>
      <c r="F21" s="17"/>
      <c r="G21" s="13"/>
      <c r="H21" s="53"/>
      <c r="I21" s="54"/>
    </row>
    <row r="22" spans="1:9" ht="14.45" customHeight="1">
      <c r="A22" s="5"/>
      <c r="B22" s="33"/>
      <c r="C22" s="33"/>
      <c r="D22" s="33"/>
      <c r="E22" s="33"/>
      <c r="F22" s="17"/>
      <c r="G22" s="13"/>
      <c r="H22" s="53"/>
      <c r="I22" s="54"/>
    </row>
    <row r="23" spans="1:9" ht="14.45" customHeight="1">
      <c r="A23" s="5"/>
      <c r="B23" s="33"/>
      <c r="C23" s="33"/>
      <c r="D23" s="33"/>
      <c r="E23" s="33"/>
      <c r="F23" s="17"/>
      <c r="G23" s="13"/>
      <c r="H23" s="53"/>
      <c r="I23" s="54"/>
    </row>
    <row r="24" spans="1:9" ht="14.45" customHeight="1">
      <c r="A24" s="5"/>
      <c r="B24" s="33"/>
      <c r="C24" s="33"/>
      <c r="D24" s="33"/>
      <c r="E24" s="33"/>
      <c r="F24" s="17"/>
      <c r="G24" s="13"/>
      <c r="H24" s="53"/>
      <c r="I24" s="54"/>
    </row>
    <row r="25" spans="1:9" ht="14.45" customHeight="1">
      <c r="A25" s="5"/>
      <c r="B25" s="33"/>
      <c r="C25" s="33"/>
      <c r="D25" s="33"/>
      <c r="E25" s="33"/>
      <c r="F25" s="17"/>
      <c r="G25" s="13"/>
      <c r="H25" s="53"/>
      <c r="I25" s="54"/>
    </row>
    <row r="26" spans="1:9" ht="14.45" customHeight="1">
      <c r="A26" s="5"/>
      <c r="B26" s="33"/>
      <c r="C26" s="33"/>
      <c r="D26" s="33"/>
      <c r="E26" s="33"/>
      <c r="F26" s="17"/>
      <c r="G26" s="13"/>
      <c r="H26" s="53"/>
      <c r="I26" s="54"/>
    </row>
    <row r="27" spans="1:9" ht="14.45" customHeight="1">
      <c r="A27" s="5"/>
      <c r="B27" s="33"/>
      <c r="C27" s="33"/>
      <c r="D27" s="33"/>
      <c r="E27" s="33"/>
      <c r="F27" s="17"/>
      <c r="G27" s="13"/>
      <c r="H27" s="53"/>
      <c r="I27" s="54"/>
    </row>
    <row r="28" spans="1:9" ht="14.45" customHeight="1">
      <c r="A28" s="5"/>
      <c r="B28" s="33"/>
      <c r="C28" s="33"/>
      <c r="D28" s="33"/>
      <c r="E28" s="33"/>
      <c r="F28" s="17"/>
      <c r="G28" s="13"/>
      <c r="H28" s="53"/>
      <c r="I28" s="54"/>
    </row>
    <row r="29" spans="1:9" ht="14.45" customHeight="1">
      <c r="A29" s="5"/>
      <c r="B29" s="33"/>
      <c r="C29" s="33"/>
      <c r="D29" s="33"/>
      <c r="E29" s="33"/>
      <c r="F29" s="17"/>
      <c r="G29" s="13"/>
      <c r="H29" s="53"/>
      <c r="I29" s="54"/>
    </row>
    <row r="30" spans="1:9" ht="14.45" customHeight="1">
      <c r="A30" s="5"/>
      <c r="B30" s="33"/>
      <c r="C30" s="33"/>
      <c r="D30" s="33"/>
      <c r="E30" s="33"/>
      <c r="F30" s="17"/>
      <c r="G30" s="13"/>
      <c r="H30" s="53"/>
      <c r="I30" s="54"/>
    </row>
    <row r="31" spans="1:9" ht="14.45" customHeight="1">
      <c r="A31" s="5"/>
      <c r="B31" s="33"/>
      <c r="C31" s="33"/>
      <c r="D31" s="33"/>
      <c r="E31" s="33"/>
      <c r="F31" s="17"/>
      <c r="G31" s="13"/>
      <c r="H31" s="53"/>
      <c r="I31" s="54"/>
    </row>
    <row r="32" spans="1:9" ht="14.45" customHeight="1">
      <c r="A32" s="5"/>
      <c r="B32" s="33"/>
      <c r="C32" s="33"/>
      <c r="D32" s="33"/>
      <c r="E32" s="33"/>
      <c r="F32" s="17"/>
      <c r="G32" s="13"/>
      <c r="H32" s="53"/>
      <c r="I32" s="54"/>
    </row>
    <row r="33" spans="1:9" ht="14.45" customHeight="1">
      <c r="A33" s="5"/>
      <c r="B33" s="33"/>
      <c r="C33" s="33"/>
      <c r="D33" s="33"/>
      <c r="E33" s="33"/>
      <c r="F33" s="17"/>
      <c r="G33" s="13"/>
      <c r="H33" s="53"/>
      <c r="I33" s="54"/>
    </row>
    <row r="34" spans="1:9" ht="14.45" customHeight="1">
      <c r="A34" s="5"/>
      <c r="B34" s="33"/>
      <c r="C34" s="33"/>
      <c r="D34" s="33"/>
      <c r="E34" s="33"/>
      <c r="F34" s="17"/>
      <c r="G34" s="13"/>
      <c r="H34" s="53"/>
      <c r="I34" s="54"/>
    </row>
    <row r="35" spans="1:9" ht="14.45" customHeight="1">
      <c r="A35" s="5"/>
      <c r="B35" s="33"/>
      <c r="C35" s="33"/>
      <c r="D35" s="33"/>
      <c r="E35" s="33"/>
      <c r="F35" s="17"/>
      <c r="G35" s="13"/>
      <c r="H35" s="53"/>
      <c r="I35" s="54"/>
    </row>
    <row r="36" spans="1:9" ht="14.45" customHeight="1">
      <c r="A36" s="5"/>
      <c r="B36" s="33"/>
      <c r="C36" s="33"/>
      <c r="D36" s="33"/>
      <c r="E36" s="33"/>
      <c r="F36" s="17"/>
      <c r="G36" s="13"/>
      <c r="H36" s="53"/>
      <c r="I36" s="54"/>
    </row>
    <row r="37" spans="1:9" ht="20.25">
      <c r="A37" s="36" t="s">
        <v>27</v>
      </c>
      <c r="B37" s="37"/>
      <c r="C37" s="37"/>
      <c r="D37" s="37"/>
      <c r="E37" s="37"/>
      <c r="F37" s="16"/>
      <c r="G37" s="3"/>
      <c r="H37" s="44">
        <f>H15+H16</f>
        <v>2000000</v>
      </c>
      <c r="I37" s="45"/>
    </row>
    <row r="38" spans="1:9">
      <c r="A38" s="46"/>
      <c r="B38" s="47"/>
      <c r="C38" s="47"/>
      <c r="D38" s="47"/>
      <c r="E38" s="47"/>
      <c r="F38" s="47"/>
      <c r="G38" s="47"/>
      <c r="H38" s="47"/>
      <c r="I38" s="48"/>
    </row>
    <row r="39" spans="1:9" ht="21">
      <c r="A39" s="10"/>
      <c r="B39" s="27"/>
      <c r="C39" s="27"/>
      <c r="D39" s="19"/>
      <c r="E39" s="30" t="s">
        <v>28</v>
      </c>
      <c r="F39" s="30"/>
      <c r="G39" s="30"/>
      <c r="H39" s="49">
        <f>H37</f>
        <v>2000000</v>
      </c>
      <c r="I39" s="50"/>
    </row>
    <row r="40" spans="1:9">
      <c r="A40" s="10"/>
      <c r="B40" s="27"/>
      <c r="C40" s="27"/>
      <c r="D40" s="19"/>
      <c r="E40" s="31" t="s">
        <v>29</v>
      </c>
      <c r="F40" s="31"/>
      <c r="G40" s="31"/>
      <c r="H40" s="51">
        <f>H39*18%</f>
        <v>360000</v>
      </c>
      <c r="I40" s="52"/>
    </row>
    <row r="41" spans="1:9" ht="14.45" customHeight="1">
      <c r="A41" s="10"/>
      <c r="B41" s="27"/>
      <c r="C41" s="27"/>
      <c r="D41" s="19"/>
      <c r="E41" s="38" t="s">
        <v>27</v>
      </c>
      <c r="F41" s="38"/>
      <c r="G41" s="38"/>
      <c r="H41" s="40">
        <f>+H39+H40</f>
        <v>2360000</v>
      </c>
      <c r="I41" s="41"/>
    </row>
    <row r="42" spans="1:9" ht="15" customHeight="1" thickBot="1">
      <c r="A42" s="11"/>
      <c r="B42" s="12"/>
      <c r="C42" s="12"/>
      <c r="D42" s="7"/>
      <c r="E42" s="39"/>
      <c r="F42" s="39"/>
      <c r="G42" s="39"/>
      <c r="H42" s="42"/>
      <c r="I42" s="43"/>
    </row>
  </sheetData>
  <mergeCells count="66">
    <mergeCell ref="B29:E29"/>
    <mergeCell ref="H29:I29"/>
    <mergeCell ref="B30:E30"/>
    <mergeCell ref="H30:I30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  <mergeCell ref="B14:E14"/>
    <mergeCell ref="H14:I14"/>
    <mergeCell ref="B15:E15"/>
    <mergeCell ref="H15:I15"/>
    <mergeCell ref="B16:E16"/>
    <mergeCell ref="H16:I16"/>
    <mergeCell ref="B17:E17"/>
    <mergeCell ref="H17:I17"/>
    <mergeCell ref="B32:E32"/>
    <mergeCell ref="H32:I32"/>
    <mergeCell ref="B33:E33"/>
    <mergeCell ref="H33:I33"/>
    <mergeCell ref="B18:E18"/>
    <mergeCell ref="H18:I18"/>
    <mergeCell ref="B19:E19"/>
    <mergeCell ref="H19:I19"/>
    <mergeCell ref="B22:E22"/>
    <mergeCell ref="H22:I22"/>
    <mergeCell ref="B23:E23"/>
    <mergeCell ref="H23:I23"/>
    <mergeCell ref="B31:E31"/>
    <mergeCell ref="H31:I31"/>
    <mergeCell ref="B34:E34"/>
    <mergeCell ref="H34:I34"/>
    <mergeCell ref="B35:E35"/>
    <mergeCell ref="H35:I35"/>
    <mergeCell ref="B36:E36"/>
    <mergeCell ref="H36:I36"/>
    <mergeCell ref="E41:G42"/>
    <mergeCell ref="H41:I42"/>
    <mergeCell ref="H37:I37"/>
    <mergeCell ref="A38:I38"/>
    <mergeCell ref="H39:I39"/>
    <mergeCell ref="H40:I40"/>
    <mergeCell ref="A37:E37"/>
    <mergeCell ref="B20:E20"/>
    <mergeCell ref="H20:I20"/>
    <mergeCell ref="B24:E24"/>
    <mergeCell ref="H24:I24"/>
    <mergeCell ref="B28:E28"/>
    <mergeCell ref="H28:I28"/>
    <mergeCell ref="B26:E26"/>
    <mergeCell ref="H26:I26"/>
    <mergeCell ref="B27:E27"/>
    <mergeCell ref="H27:I27"/>
    <mergeCell ref="B21:E21"/>
    <mergeCell ref="H21:I21"/>
    <mergeCell ref="B25:E25"/>
    <mergeCell ref="H25:I25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280F-AB62-4457-AFEF-CAD64F0DBE43}">
  <dimension ref="A1:J42"/>
  <sheetViews>
    <sheetView showGridLines="0" tabSelected="1" topLeftCell="A23" workbookViewId="0">
      <selection activeCell="O33" sqref="O33"/>
    </sheetView>
  </sheetViews>
  <sheetFormatPr defaultRowHeight="14.45"/>
  <cols>
    <col min="4" max="4" width="12" customWidth="1"/>
    <col min="7" max="7" width="11.28515625" bestFit="1" customWidth="1"/>
    <col min="9" max="9" width="11" customWidth="1"/>
    <col min="10" max="10" width="11.28515625" bestFit="1" customWidth="1"/>
  </cols>
  <sheetData>
    <row r="1" spans="1:10">
      <c r="A1" s="61" t="s">
        <v>0</v>
      </c>
      <c r="B1" s="62"/>
      <c r="C1" s="62"/>
      <c r="D1" s="62"/>
      <c r="E1" s="62"/>
      <c r="F1" s="62"/>
      <c r="G1" s="62"/>
      <c r="H1" s="62"/>
      <c r="I1" s="63"/>
    </row>
    <row r="2" spans="1:10">
      <c r="A2" s="64"/>
      <c r="B2" s="65"/>
      <c r="C2" s="65"/>
      <c r="D2" s="65"/>
      <c r="E2" s="65"/>
      <c r="F2" s="65"/>
      <c r="G2" s="65"/>
      <c r="H2" s="65"/>
      <c r="I2" s="66"/>
    </row>
    <row r="3" spans="1:10">
      <c r="A3" s="67" t="s">
        <v>1</v>
      </c>
      <c r="B3" s="68"/>
      <c r="C3" s="68"/>
      <c r="D3" s="68"/>
      <c r="E3" s="68"/>
      <c r="F3" s="68"/>
      <c r="G3" s="68"/>
      <c r="H3" s="68"/>
      <c r="I3" s="69"/>
    </row>
    <row r="4" spans="1:10">
      <c r="A4" s="70"/>
      <c r="B4" s="71"/>
      <c r="C4" s="71"/>
      <c r="D4" s="71"/>
      <c r="E4" s="71"/>
      <c r="F4" s="71"/>
      <c r="G4" s="71"/>
      <c r="H4" s="71"/>
      <c r="I4" s="72"/>
    </row>
    <row r="5" spans="1:10" ht="30">
      <c r="A5" s="73" t="s">
        <v>19</v>
      </c>
      <c r="B5" s="74"/>
      <c r="C5" s="74"/>
      <c r="D5" s="74"/>
      <c r="E5" s="74"/>
      <c r="F5" s="74"/>
      <c r="G5" s="74"/>
      <c r="H5" s="74"/>
      <c r="I5" s="75"/>
    </row>
    <row r="6" spans="1:10">
      <c r="A6" s="14" t="s">
        <v>3</v>
      </c>
      <c r="B6" s="20"/>
      <c r="C6" s="20"/>
      <c r="D6" s="20"/>
      <c r="E6" s="20" t="s">
        <v>4</v>
      </c>
      <c r="F6" s="20"/>
      <c r="G6" s="20"/>
      <c r="H6" s="20"/>
      <c r="I6" s="15"/>
    </row>
    <row r="7" spans="1:10">
      <c r="A7" s="80" t="s">
        <v>30</v>
      </c>
      <c r="B7" s="81"/>
      <c r="C7" s="81"/>
      <c r="D7" s="81"/>
      <c r="E7" s="81" t="str">
        <f>A7</f>
        <v>Steel Horse Auto Assembly Anantpur Ltd</v>
      </c>
      <c r="F7" s="81"/>
      <c r="G7" s="81"/>
      <c r="H7" s="81"/>
      <c r="I7" s="82"/>
    </row>
    <row r="8" spans="1:10">
      <c r="A8" s="80" t="s">
        <v>31</v>
      </c>
      <c r="B8" s="81"/>
      <c r="C8" s="81"/>
      <c r="D8" s="81"/>
      <c r="E8" s="81" t="str">
        <f t="shared" ref="E8:E9" si="0">A8</f>
        <v xml:space="preserve">123 MG Road, Anantapur, </v>
      </c>
      <c r="F8" s="81"/>
      <c r="G8" s="81"/>
      <c r="H8" s="81"/>
      <c r="I8" s="82"/>
    </row>
    <row r="9" spans="1:10">
      <c r="A9" s="80" t="s">
        <v>32</v>
      </c>
      <c r="B9" s="81"/>
      <c r="C9" s="81"/>
      <c r="D9" s="81"/>
      <c r="E9" s="81" t="str">
        <f t="shared" si="0"/>
        <v>Andhra Pradesh 515001, India</v>
      </c>
      <c r="F9" s="81"/>
      <c r="G9" s="81"/>
      <c r="H9" s="81"/>
      <c r="I9" s="82"/>
    </row>
    <row r="10" spans="1:10" ht="9.6" customHeight="1">
      <c r="A10" s="8"/>
      <c r="B10" s="21"/>
      <c r="C10" s="21"/>
      <c r="D10" s="21"/>
      <c r="E10" s="21"/>
      <c r="F10" s="21"/>
      <c r="G10" s="21"/>
      <c r="H10" s="21"/>
      <c r="I10" s="9"/>
    </row>
    <row r="11" spans="1:10">
      <c r="A11" s="58" t="s">
        <v>42</v>
      </c>
      <c r="B11" s="59"/>
      <c r="C11" s="59"/>
      <c r="D11" s="59"/>
      <c r="E11" s="59"/>
      <c r="F11" s="59"/>
      <c r="G11" s="59"/>
      <c r="H11" s="59"/>
      <c r="I11" s="60"/>
      <c r="J11" s="28"/>
    </row>
    <row r="12" spans="1:10">
      <c r="A12" s="58" t="s">
        <v>41</v>
      </c>
      <c r="B12" s="59"/>
      <c r="C12" s="59"/>
      <c r="D12" s="59"/>
      <c r="E12" s="59"/>
      <c r="F12" s="59"/>
      <c r="G12" s="59"/>
      <c r="H12" s="59"/>
      <c r="I12" s="60"/>
      <c r="J12" s="23"/>
    </row>
    <row r="13" spans="1:10">
      <c r="A13" s="83"/>
      <c r="B13" s="84"/>
      <c r="C13" s="84"/>
      <c r="D13" s="84"/>
      <c r="E13" s="84"/>
      <c r="F13" s="84"/>
      <c r="G13" s="84"/>
      <c r="H13" s="84"/>
      <c r="I13" s="85"/>
    </row>
    <row r="14" spans="1:10" ht="27.6">
      <c r="A14" s="4" t="s">
        <v>10</v>
      </c>
      <c r="B14" s="55" t="s">
        <v>11</v>
      </c>
      <c r="C14" s="55"/>
      <c r="D14" s="55"/>
      <c r="E14" s="55"/>
      <c r="F14" s="24" t="s">
        <v>12</v>
      </c>
      <c r="G14" s="25" t="s">
        <v>13</v>
      </c>
      <c r="H14" s="56" t="s">
        <v>14</v>
      </c>
      <c r="I14" s="57"/>
    </row>
    <row r="15" spans="1:10" ht="15">
      <c r="A15" s="5">
        <v>1</v>
      </c>
      <c r="B15" s="33" t="s">
        <v>43</v>
      </c>
      <c r="C15" s="33"/>
      <c r="D15" s="33"/>
      <c r="E15" s="33"/>
      <c r="F15" s="17">
        <v>1000</v>
      </c>
      <c r="G15" s="13">
        <v>630</v>
      </c>
      <c r="H15" s="53">
        <f>F15*G15</f>
        <v>630000</v>
      </c>
      <c r="I15" s="54"/>
    </row>
    <row r="16" spans="1:10" ht="14.45" customHeight="1">
      <c r="A16" s="5"/>
      <c r="B16" s="33"/>
      <c r="C16" s="33"/>
      <c r="D16" s="33"/>
      <c r="E16" s="33"/>
      <c r="F16" s="17"/>
      <c r="G16" s="13"/>
      <c r="H16" s="53"/>
      <c r="I16" s="54"/>
    </row>
    <row r="17" spans="1:9" ht="14.45" customHeight="1">
      <c r="A17" s="5"/>
      <c r="B17" s="33"/>
      <c r="C17" s="33"/>
      <c r="D17" s="33"/>
      <c r="E17" s="33"/>
      <c r="F17" s="17"/>
      <c r="G17" s="13"/>
      <c r="H17" s="53"/>
      <c r="I17" s="54"/>
    </row>
    <row r="18" spans="1:9" ht="14.45" customHeight="1">
      <c r="A18" s="5"/>
      <c r="B18" s="33"/>
      <c r="C18" s="33"/>
      <c r="D18" s="33"/>
      <c r="E18" s="33"/>
      <c r="F18" s="17"/>
      <c r="G18" s="13"/>
      <c r="H18" s="53"/>
      <c r="I18" s="54"/>
    </row>
    <row r="19" spans="1:9" ht="14.45" customHeight="1">
      <c r="A19" s="5"/>
      <c r="B19" s="33"/>
      <c r="C19" s="33"/>
      <c r="D19" s="33"/>
      <c r="E19" s="33"/>
      <c r="F19" s="17"/>
      <c r="G19" s="13"/>
      <c r="H19" s="53"/>
      <c r="I19" s="54"/>
    </row>
    <row r="20" spans="1:9" ht="14.45" customHeight="1">
      <c r="A20" s="5"/>
      <c r="B20" s="33"/>
      <c r="C20" s="33"/>
      <c r="D20" s="33"/>
      <c r="E20" s="33"/>
      <c r="F20" s="17"/>
      <c r="G20" s="13"/>
      <c r="H20" s="53"/>
      <c r="I20" s="54"/>
    </row>
    <row r="21" spans="1:9" ht="14.45" customHeight="1">
      <c r="A21" s="5"/>
      <c r="B21" s="33"/>
      <c r="C21" s="33"/>
      <c r="D21" s="33"/>
      <c r="E21" s="33"/>
      <c r="F21" s="17"/>
      <c r="G21" s="13"/>
      <c r="H21" s="53"/>
      <c r="I21" s="54"/>
    </row>
    <row r="22" spans="1:9" ht="14.45" customHeight="1">
      <c r="A22" s="5"/>
      <c r="B22" s="33"/>
      <c r="C22" s="33"/>
      <c r="D22" s="33"/>
      <c r="E22" s="33"/>
      <c r="F22" s="17"/>
      <c r="G22" s="13"/>
      <c r="H22" s="53"/>
      <c r="I22" s="54"/>
    </row>
    <row r="23" spans="1:9" ht="14.45" customHeight="1">
      <c r="A23" s="5"/>
      <c r="B23" s="33"/>
      <c r="C23" s="33"/>
      <c r="D23" s="33"/>
      <c r="E23" s="33"/>
      <c r="F23" s="17"/>
      <c r="G23" s="13"/>
      <c r="H23" s="53"/>
      <c r="I23" s="54"/>
    </row>
    <row r="24" spans="1:9" ht="14.45" customHeight="1">
      <c r="A24" s="5"/>
      <c r="B24" s="33"/>
      <c r="C24" s="33"/>
      <c r="D24" s="33"/>
      <c r="E24" s="33"/>
      <c r="F24" s="17"/>
      <c r="G24" s="13"/>
      <c r="H24" s="53"/>
      <c r="I24" s="54"/>
    </row>
    <row r="25" spans="1:9" ht="14.45" customHeight="1">
      <c r="A25" s="5"/>
      <c r="B25" s="33"/>
      <c r="C25" s="33"/>
      <c r="D25" s="33"/>
      <c r="E25" s="33"/>
      <c r="F25" s="17"/>
      <c r="G25" s="13"/>
      <c r="H25" s="53"/>
      <c r="I25" s="54"/>
    </row>
    <row r="26" spans="1:9" ht="14.45" customHeight="1">
      <c r="A26" s="5"/>
      <c r="B26" s="33"/>
      <c r="C26" s="33"/>
      <c r="D26" s="33"/>
      <c r="E26" s="33"/>
      <c r="F26" s="17"/>
      <c r="G26" s="13"/>
      <c r="H26" s="53"/>
      <c r="I26" s="54"/>
    </row>
    <row r="27" spans="1:9" ht="14.45" customHeight="1">
      <c r="A27" s="5"/>
      <c r="B27" s="33"/>
      <c r="C27" s="33"/>
      <c r="D27" s="33"/>
      <c r="E27" s="33"/>
      <c r="F27" s="17"/>
      <c r="G27" s="13"/>
      <c r="H27" s="53"/>
      <c r="I27" s="54"/>
    </row>
    <row r="28" spans="1:9" ht="14.45" customHeight="1">
      <c r="A28" s="5"/>
      <c r="B28" s="33"/>
      <c r="C28" s="33"/>
      <c r="D28" s="33"/>
      <c r="E28" s="33"/>
      <c r="F28" s="17"/>
      <c r="G28" s="13"/>
      <c r="H28" s="53"/>
      <c r="I28" s="54"/>
    </row>
    <row r="29" spans="1:9" ht="14.45" customHeight="1">
      <c r="A29" s="5"/>
      <c r="B29" s="33"/>
      <c r="C29" s="33"/>
      <c r="D29" s="33"/>
      <c r="E29" s="33"/>
      <c r="F29" s="17"/>
      <c r="G29" s="13"/>
      <c r="H29" s="53"/>
      <c r="I29" s="54"/>
    </row>
    <row r="30" spans="1:9" ht="14.45" customHeight="1">
      <c r="A30" s="5"/>
      <c r="B30" s="33"/>
      <c r="C30" s="33"/>
      <c r="D30" s="33"/>
      <c r="E30" s="33"/>
      <c r="F30" s="17"/>
      <c r="G30" s="13"/>
      <c r="H30" s="53"/>
      <c r="I30" s="54"/>
    </row>
    <row r="31" spans="1:9" ht="14.45" customHeight="1">
      <c r="A31" s="5"/>
      <c r="B31" s="33"/>
      <c r="C31" s="33"/>
      <c r="D31" s="33"/>
      <c r="E31" s="33"/>
      <c r="F31" s="17"/>
      <c r="G31" s="13"/>
      <c r="H31" s="53"/>
      <c r="I31" s="54"/>
    </row>
    <row r="32" spans="1:9" ht="14.45" customHeight="1">
      <c r="A32" s="5"/>
      <c r="B32" s="33"/>
      <c r="C32" s="33"/>
      <c r="D32" s="33"/>
      <c r="E32" s="33"/>
      <c r="F32" s="17"/>
      <c r="G32" s="13"/>
      <c r="H32" s="53"/>
      <c r="I32" s="54"/>
    </row>
    <row r="33" spans="1:9" ht="14.45" customHeight="1">
      <c r="A33" s="5"/>
      <c r="B33" s="33"/>
      <c r="C33" s="33"/>
      <c r="D33" s="33"/>
      <c r="E33" s="33"/>
      <c r="F33" s="17"/>
      <c r="G33" s="13"/>
      <c r="H33" s="53"/>
      <c r="I33" s="54"/>
    </row>
    <row r="34" spans="1:9" ht="14.45" customHeight="1">
      <c r="A34" s="5"/>
      <c r="B34" s="33"/>
      <c r="C34" s="33"/>
      <c r="D34" s="33"/>
      <c r="E34" s="33"/>
      <c r="F34" s="17"/>
      <c r="G34" s="13"/>
      <c r="H34" s="53"/>
      <c r="I34" s="54"/>
    </row>
    <row r="35" spans="1:9" ht="14.45" customHeight="1">
      <c r="A35" s="5"/>
      <c r="B35" s="33"/>
      <c r="C35" s="33"/>
      <c r="D35" s="33"/>
      <c r="E35" s="33"/>
      <c r="F35" s="17"/>
      <c r="G35" s="13"/>
      <c r="H35" s="53"/>
      <c r="I35" s="54"/>
    </row>
    <row r="36" spans="1:9" ht="14.45" customHeight="1">
      <c r="A36" s="5"/>
      <c r="B36" s="33"/>
      <c r="C36" s="33"/>
      <c r="D36" s="33"/>
      <c r="E36" s="33"/>
      <c r="F36" s="17"/>
      <c r="G36" s="13"/>
      <c r="H36" s="53"/>
      <c r="I36" s="54"/>
    </row>
    <row r="37" spans="1:9" ht="20.25">
      <c r="A37" s="36" t="s">
        <v>27</v>
      </c>
      <c r="B37" s="37"/>
      <c r="C37" s="37"/>
      <c r="D37" s="37"/>
      <c r="E37" s="37"/>
      <c r="F37" s="16"/>
      <c r="G37" s="3"/>
      <c r="H37" s="44">
        <f>H15+H16</f>
        <v>630000</v>
      </c>
      <c r="I37" s="45"/>
    </row>
    <row r="38" spans="1:9">
      <c r="A38" s="46"/>
      <c r="B38" s="47"/>
      <c r="C38" s="47"/>
      <c r="D38" s="47"/>
      <c r="E38" s="47"/>
      <c r="F38" s="47"/>
      <c r="G38" s="47"/>
      <c r="H38" s="47"/>
      <c r="I38" s="48"/>
    </row>
    <row r="39" spans="1:9" ht="21">
      <c r="A39" s="10"/>
      <c r="B39" s="27"/>
      <c r="C39" s="27"/>
      <c r="D39" s="19"/>
      <c r="E39" s="30" t="s">
        <v>28</v>
      </c>
      <c r="F39" s="30"/>
      <c r="G39" s="30"/>
      <c r="H39" s="49">
        <f>H37</f>
        <v>630000</v>
      </c>
      <c r="I39" s="50"/>
    </row>
    <row r="40" spans="1:9">
      <c r="A40" s="10"/>
      <c r="B40" s="27"/>
      <c r="C40" s="27"/>
      <c r="D40" s="19"/>
      <c r="E40" s="31" t="s">
        <v>29</v>
      </c>
      <c r="F40" s="31"/>
      <c r="G40" s="31"/>
      <c r="H40" s="51">
        <f>H39*18%</f>
        <v>113400</v>
      </c>
      <c r="I40" s="52"/>
    </row>
    <row r="41" spans="1:9" ht="14.45" customHeight="1">
      <c r="A41" s="10"/>
      <c r="B41" s="27"/>
      <c r="C41" s="27"/>
      <c r="D41" s="19"/>
      <c r="E41" s="38" t="s">
        <v>27</v>
      </c>
      <c r="F41" s="38"/>
      <c r="G41" s="38"/>
      <c r="H41" s="40">
        <f>+H39+H40</f>
        <v>743400</v>
      </c>
      <c r="I41" s="41"/>
    </row>
    <row r="42" spans="1:9" ht="15" customHeight="1" thickBot="1">
      <c r="A42" s="11"/>
      <c r="B42" s="12"/>
      <c r="C42" s="12"/>
      <c r="D42" s="7"/>
      <c r="E42" s="39"/>
      <c r="F42" s="39"/>
      <c r="G42" s="39"/>
      <c r="H42" s="42"/>
      <c r="I42" s="43"/>
    </row>
  </sheetData>
  <mergeCells count="66">
    <mergeCell ref="B33:E33"/>
    <mergeCell ref="H33:I33"/>
    <mergeCell ref="B34:E34"/>
    <mergeCell ref="H34:I34"/>
    <mergeCell ref="B36:E36"/>
    <mergeCell ref="H36:I36"/>
    <mergeCell ref="B30:E30"/>
    <mergeCell ref="H30:I30"/>
    <mergeCell ref="B31:E31"/>
    <mergeCell ref="H31:I31"/>
    <mergeCell ref="B32:E32"/>
    <mergeCell ref="H32:I32"/>
    <mergeCell ref="B27:E27"/>
    <mergeCell ref="H27:I27"/>
    <mergeCell ref="B28:E28"/>
    <mergeCell ref="H28:I28"/>
    <mergeCell ref="B29:E29"/>
    <mergeCell ref="H29:I29"/>
    <mergeCell ref="B24:E24"/>
    <mergeCell ref="H24:I24"/>
    <mergeCell ref="B25:E25"/>
    <mergeCell ref="H25:I25"/>
    <mergeCell ref="B26:E26"/>
    <mergeCell ref="H26:I26"/>
    <mergeCell ref="B21:E21"/>
    <mergeCell ref="H21:I21"/>
    <mergeCell ref="B22:E22"/>
    <mergeCell ref="H22:I22"/>
    <mergeCell ref="B23:E23"/>
    <mergeCell ref="H23:I23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  <mergeCell ref="B35:E35"/>
    <mergeCell ref="H35:I35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19:E19"/>
    <mergeCell ref="H19:I19"/>
    <mergeCell ref="B20:E20"/>
    <mergeCell ref="H20:I20"/>
    <mergeCell ref="E41:G42"/>
    <mergeCell ref="H41:I42"/>
    <mergeCell ref="H37:I37"/>
    <mergeCell ref="A38:I38"/>
    <mergeCell ref="H39:I39"/>
    <mergeCell ref="H40:I40"/>
    <mergeCell ref="A37:E37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F9A5B8-9ABB-4299-8D23-937622BDEEF3}"/>
</file>

<file path=customXml/itemProps2.xml><?xml version="1.0" encoding="utf-8"?>
<ds:datastoreItem xmlns:ds="http://schemas.openxmlformats.org/officeDocument/2006/customXml" ds:itemID="{AA1A9DF8-88E9-4BF2-ABEC-6D1F5D576809}"/>
</file>

<file path=customXml/itemProps3.xml><?xml version="1.0" encoding="utf-8"?>
<ds:datastoreItem xmlns:ds="http://schemas.openxmlformats.org/officeDocument/2006/customXml" ds:itemID="{747E0070-5422-4D89-98A6-10BADF7D7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Siddappa Karchalla</cp:lastModifiedBy>
  <cp:revision/>
  <dcterms:created xsi:type="dcterms:W3CDTF">2022-09-26T06:30:17Z</dcterms:created>
  <dcterms:modified xsi:type="dcterms:W3CDTF">2025-03-04T14:25:27Z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