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rapidspectrum-my.sharepoint.com/personal/nburri_konaai_com/Documents/"/>
    </mc:Choice>
  </mc:AlternateContent>
  <xr:revisionPtr revIDLastSave="459" documentId="8_{80F9BB05-B4C8-4FBD-B141-9F574D570A37}" xr6:coauthVersionLast="47" xr6:coauthVersionMax="47" xr10:uidLastSave="{9E64A419-4F83-4BF2-BD0C-227C422516E1}"/>
  <bookViews>
    <workbookView xWindow="-108" yWindow="-108" windowWidth="23256" windowHeight="12456" firstSheet="7" activeTab="7" xr2:uid="{00000000-000D-0000-FFFF-FFFF00000000}"/>
  </bookViews>
  <sheets>
    <sheet name="16736-23- SETU" sheetId="1" r:id="rId1"/>
    <sheet name="25831-23 SETU" sheetId="2" r:id="rId2"/>
    <sheet name="40336-23-SETU" sheetId="3" r:id="rId3"/>
    <sheet name="40332-23-SETU" sheetId="4" r:id="rId4"/>
    <sheet name="17866-23-SETU" sheetId="5" r:id="rId5"/>
    <sheet name="56906-23-SETU" sheetId="6" r:id="rId6"/>
    <sheet name="27788-23-SETU" sheetId="7" r:id="rId7"/>
    <sheet name="35918-23-SETU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hpSbA0FFc1z3624XRkdiq24deaeQ=="/>
    </ext>
  </extLst>
</workbook>
</file>

<file path=xl/calcChain.xml><?xml version="1.0" encoding="utf-8"?>
<calcChain xmlns="http://schemas.openxmlformats.org/spreadsheetml/2006/main">
  <c r="F27" i="4" l="1"/>
  <c r="F26" i="4"/>
  <c r="F26" i="8" l="1"/>
  <c r="F14" i="8"/>
  <c r="F25" i="8" s="1"/>
  <c r="F27" i="8" l="1"/>
  <c r="F29" i="8" s="1"/>
  <c r="F26" i="7"/>
  <c r="F14" i="7"/>
  <c r="F25" i="7" s="1"/>
  <c r="F27" i="7" s="1"/>
  <c r="F29" i="7" s="1"/>
  <c r="F14" i="6" l="1"/>
  <c r="F25" i="6" s="1"/>
  <c r="F27" i="6" s="1"/>
  <c r="F29" i="6" s="1"/>
  <c r="F26" i="5"/>
  <c r="F14" i="5"/>
  <c r="F25" i="5" s="1"/>
  <c r="F27" i="5" s="1"/>
  <c r="F29" i="5" s="1"/>
  <c r="F14" i="4"/>
  <c r="F25" i="4" s="1"/>
  <c r="F29" i="4" s="1"/>
  <c r="F26" i="3"/>
  <c r="F14" i="3"/>
  <c r="F25" i="3" s="1"/>
  <c r="F27" i="3" s="1"/>
  <c r="F29" i="3" s="1"/>
  <c r="F20" i="1"/>
  <c r="F26" i="2"/>
  <c r="F14" i="2"/>
  <c r="F25" i="2" s="1"/>
  <c r="F27" i="2" s="1"/>
  <c r="F29" i="2" s="1"/>
  <c r="F14" i="1"/>
  <c r="F19" i="1" s="1"/>
  <c r="F21" i="1" l="1"/>
  <c r="F23" i="1" s="1"/>
</calcChain>
</file>

<file path=xl/sharedStrings.xml><?xml version="1.0" encoding="utf-8"?>
<sst xmlns="http://schemas.openxmlformats.org/spreadsheetml/2006/main" count="224" uniqueCount="56">
  <si>
    <t>税金請求書</t>
  </si>
  <si>
    <t>セイジターボモーターシステムズ</t>
  </si>
  <si>
    <t>18-9 渋谷, 名古屋, 北海道, 日本, 476-6706</t>
  </si>
  <si>
    <t>税- アイディー -769927766988</t>
  </si>
  <si>
    <r>
      <rPr>
        <b/>
        <sz val="12"/>
        <color rgb="FF000000"/>
        <rFont val="Roboto"/>
      </rPr>
      <t>請求書番号.</t>
    </r>
    <r>
      <rPr>
        <b/>
        <sz val="10"/>
        <color rgb="FF000000"/>
        <rFont val="Roboto"/>
      </rPr>
      <t xml:space="preserve"> : 16736-23/SETU</t>
    </r>
  </si>
  <si>
    <t>請求書発行日 : 12-03-2023</t>
  </si>
  <si>
    <t>請求先</t>
  </si>
  <si>
    <t>送り先</t>
  </si>
  <si>
    <t>スティールホースオートアセンブリニュージャージーインコーポレーション</t>
  </si>
  <si>
    <t>0015 エンジェルミッション、キャシーボロ、ニュージャージー州、アメリカ合衆国</t>
  </si>
  <si>
    <t>説明</t>
  </si>
  <si>
    <t>数量</t>
  </si>
  <si>
    <t>単価</t>
  </si>
  <si>
    <t>合計</t>
  </si>
  <si>
    <t>ヘッドライナー</t>
  </si>
  <si>
    <t>利用規約と手順</t>
  </si>
  <si>
    <t>小計</t>
  </si>
  <si>
    <t>支払いは請求書発行日から 60 日以内に行ってください。</t>
  </si>
  <si>
    <t>まとめ買い割引</t>
  </si>
  <si>
    <t>支払期限後に支払いを受けた場合、5% の延滞料金が適用されます。</t>
  </si>
  <si>
    <t>小計から割引を引いた金額</t>
  </si>
  <si>
    <t>両当事者は、この請求書の条件を秘密に保持することに同意します。</t>
  </si>
  <si>
    <t>税</t>
  </si>
  <si>
    <t>利用可能な支払い方法: 電信送金、カード支払い。</t>
  </si>
  <si>
    <t>総計</t>
  </si>
  <si>
    <r>
      <rPr>
        <b/>
        <sz val="12"/>
        <color rgb="FF000000"/>
        <rFont val="Roboto"/>
      </rPr>
      <t>請求書番号.</t>
    </r>
    <r>
      <rPr>
        <b/>
        <sz val="10"/>
        <color rgb="FF000000"/>
        <rFont val="Roboto"/>
      </rPr>
      <t xml:space="preserve"> : 25831-23/SETU</t>
    </r>
  </si>
  <si>
    <t>請求書発行日 : 07-05-2023</t>
  </si>
  <si>
    <t>スティールホースオート株式会社</t>
  </si>
  <si>
    <t>265 ロペスオーチャード、イーストジョン、ミシガン州、アメリカ合衆国、43306</t>
  </si>
  <si>
    <t>触媒コンバータ</t>
  </si>
  <si>
    <r>
      <rPr>
        <b/>
        <sz val="12"/>
        <color rgb="FF000000"/>
        <rFont val="Roboto"/>
      </rPr>
      <t>請求書番号.</t>
    </r>
    <r>
      <rPr>
        <b/>
        <sz val="10"/>
        <color rgb="FF000000"/>
        <rFont val="Roboto"/>
      </rPr>
      <t xml:space="preserve"> : 40336-23/SETU</t>
    </r>
  </si>
  <si>
    <t>請求書発行日 : 26-07-2023</t>
  </si>
  <si>
    <t>スティールホースオートアセンブリチェンナイ株式会社</t>
  </si>
  <si>
    <t>ハウス No 249、ロード No 11、ラジブ ガンディー ナガル,チェンナイ、タミル・ナードゥ州、インド</t>
  </si>
  <si>
    <t>エンジンマウント</t>
  </si>
  <si>
    <r>
      <rPr>
        <b/>
        <sz val="12"/>
        <color rgb="FF000000"/>
        <rFont val="Roboto"/>
      </rPr>
      <t>請求書番号.</t>
    </r>
    <r>
      <rPr>
        <b/>
        <sz val="10"/>
        <color rgb="FF000000"/>
        <rFont val="Roboto"/>
      </rPr>
      <t xml:space="preserve"> : 40332-23/SETU</t>
    </r>
  </si>
  <si>
    <t>スチールホースオートアセンブリリンカーンインコーポレーション</t>
  </si>
  <si>
    <t>21857 クレイトンフォージス スイート 897、シェリーベリー、リンカーン、アメリカ合衆国、17355</t>
  </si>
  <si>
    <r>
      <rPr>
        <b/>
        <sz val="12"/>
        <color rgb="FF000000"/>
        <rFont val="Roboto"/>
      </rPr>
      <t>請求書番号.</t>
    </r>
    <r>
      <rPr>
        <b/>
        <sz val="10"/>
        <color rgb="FF000000"/>
        <rFont val="Roboto"/>
      </rPr>
      <t xml:space="preserve"> : 17866-23/SETU</t>
    </r>
  </si>
  <si>
    <t>請求書発行日  : 14-03-2023</t>
  </si>
  <si>
    <t>DESCRIPTION</t>
  </si>
  <si>
    <t>QTY</t>
  </si>
  <si>
    <t>UNIT PRICE</t>
  </si>
  <si>
    <t>TOTAL</t>
  </si>
  <si>
    <t>ギアボックス</t>
  </si>
  <si>
    <r>
      <rPr>
        <b/>
        <sz val="12"/>
        <color rgb="FF000000"/>
        <rFont val="Roboto"/>
      </rPr>
      <t>請求書番号.</t>
    </r>
    <r>
      <rPr>
        <b/>
        <sz val="10"/>
        <color rgb="FF000000"/>
        <rFont val="Roboto"/>
      </rPr>
      <t xml:space="preserve"> : 56906-23/SETU</t>
    </r>
  </si>
  <si>
    <t>請求書発行日 : 29-09-2023</t>
  </si>
  <si>
    <t>組立ライン機械</t>
  </si>
  <si>
    <r>
      <rPr>
        <b/>
        <sz val="12"/>
        <color rgb="FF000000"/>
        <rFont val="Roboto"/>
      </rPr>
      <t>請求書番号.</t>
    </r>
    <r>
      <rPr>
        <b/>
        <sz val="10"/>
        <color rgb="FF000000"/>
        <rFont val="Roboto"/>
      </rPr>
      <t xml:space="preserve"> : 27788-23/SETU</t>
    </r>
  </si>
  <si>
    <t>請求書発行日 : 13-05-2023</t>
  </si>
  <si>
    <t>リーフスプリング</t>
  </si>
  <si>
    <r>
      <rPr>
        <b/>
        <sz val="12"/>
        <color rgb="FF000000"/>
        <rFont val="Roboto"/>
      </rPr>
      <t>請求書番号.</t>
    </r>
    <r>
      <rPr>
        <b/>
        <sz val="10"/>
        <color rgb="FF000000"/>
        <rFont val="Roboto"/>
      </rPr>
      <t xml:space="preserve"> : 35918-23/SETU</t>
    </r>
  </si>
  <si>
    <t>請求書発行日 : 13-06-2023</t>
  </si>
  <si>
    <t>スチールホースオートアセンブリアナンプール株式会社</t>
  </si>
  <si>
    <t>“インド、アーンドラ・プラデーシュ州、アナンタプール、MGロード123、515001</t>
  </si>
  <si>
    <t>ショックアブソーバー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</si>
</sst>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"/>
    <numFmt numFmtId="165" formatCode="_-[$¥-411]* #,##0_-;\-[$¥-411]* #,##0_-;_-[$¥-411]* &quot;-&quot;_-;_-@_-"/>
    <numFmt numFmtId="166" formatCode="_ [$¥-804]* #,##0.00_ ;_ [$¥-804]* \-#,##0.00_ ;_ [$¥-804]* &quot;-&quot;??_ ;_ @_ "/>
  </numFmts>
  <fonts count="29">
    <font>
      <sz val="10"/>
      <color rgb="FF000000"/>
      <name val="Arial"/>
    </font>
    <font>
      <sz val="12"/>
      <color rgb="FF000000"/>
      <name val="Roboto"/>
    </font>
    <font>
      <b/>
      <sz val="22"/>
      <color rgb="FF4472C4"/>
      <name val="Roboto"/>
    </font>
    <font>
      <sz val="10"/>
      <color theme="1"/>
      <name val="Roboto"/>
    </font>
    <font>
      <sz val="18"/>
      <color rgb="FF7F7F7F"/>
      <name val="Roboto"/>
    </font>
    <font>
      <sz val="11"/>
      <color rgb="FFFFFFFF"/>
      <name val="Roboto"/>
    </font>
    <font>
      <b/>
      <sz val="9"/>
      <color rgb="FF1F3864"/>
      <name val="Roboto"/>
    </font>
    <font>
      <sz val="10"/>
      <color rgb="FF000000"/>
      <name val="Roboto"/>
    </font>
    <font>
      <sz val="10"/>
      <name val="Arial"/>
      <family val="2"/>
    </font>
    <font>
      <sz val="9"/>
      <color rgb="FF000000"/>
      <name val="Roboto"/>
    </font>
    <font>
      <b/>
      <sz val="10"/>
      <color rgb="FF000000"/>
      <name val="Roboto"/>
    </font>
    <font>
      <i/>
      <sz val="9"/>
      <color rgb="FF333F4F"/>
      <name val="Roboto"/>
    </font>
    <font>
      <b/>
      <sz val="9"/>
      <color rgb="FFFFFFFF"/>
      <name val="Roboto"/>
    </font>
    <font>
      <b/>
      <sz val="8"/>
      <color rgb="FF333F4F"/>
      <name val="Roboto"/>
    </font>
    <font>
      <b/>
      <sz val="12"/>
      <color theme="1"/>
      <name val="Roboto"/>
    </font>
    <font>
      <b/>
      <sz val="9"/>
      <color theme="1"/>
      <name val="Roboto"/>
    </font>
    <font>
      <sz val="9"/>
      <color rgb="FF333F4F"/>
      <name val="Roboto"/>
    </font>
    <font>
      <sz val="10"/>
      <color rgb="FF333F4F"/>
      <name val="Roboto"/>
    </font>
    <font>
      <b/>
      <sz val="8"/>
      <color theme="1" tint="4.9989318521683403E-2"/>
      <name val="Roboto"/>
    </font>
    <font>
      <b/>
      <sz val="12"/>
      <color rgb="FF000000"/>
      <name val="Roboto"/>
    </font>
    <font>
      <b/>
      <sz val="12"/>
      <color theme="7" tint="-0.499984740745262"/>
      <name val="Roboto"/>
    </font>
    <font>
      <b/>
      <sz val="14"/>
      <color theme="7" tint="-0.499984740745262"/>
      <name val="Arial"/>
      <family val="2"/>
    </font>
    <font>
      <b/>
      <sz val="9"/>
      <color theme="7" tint="-0.499984740745262"/>
      <name val="Roboto"/>
    </font>
    <font>
      <b/>
      <sz val="28"/>
      <color theme="7" tint="-0.499984740745262"/>
      <name val="Roboto"/>
    </font>
    <font>
      <b/>
      <sz val="20"/>
      <color theme="7" tint="-0.499984740745262"/>
      <name val="Roboto"/>
    </font>
    <font>
      <b/>
      <sz val="10"/>
      <color theme="7" tint="-0.499984740745262"/>
      <name val="Roboto"/>
    </font>
    <font>
      <sz val="20"/>
      <color theme="7" tint="-0.499984740745262"/>
      <name val="Roboto"/>
    </font>
    <font>
      <sz val="11"/>
      <color rgb="FF434343"/>
      <name val="Roboto"/>
    </font>
    <font>
      <sz val="11"/>
      <color rgb="FF333F4F"/>
      <name val="Roboto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7" tint="-0.499984740745262"/>
        <bgColor rgb="FFC0000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rgb="FFFF7D7D"/>
      </patternFill>
    </fill>
    <fill>
      <patternFill patternType="solid">
        <fgColor theme="7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BFBFBF"/>
      </bottom>
      <diagonal/>
    </border>
    <border>
      <left style="medium">
        <color indexed="64"/>
      </left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99999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top"/>
    </xf>
    <xf numFmtId="0" fontId="9" fillId="0" borderId="4" xfId="0" applyFont="1" applyBorder="1" applyAlignment="1">
      <alignment horizontal="center" vertical="center"/>
    </xf>
    <xf numFmtId="2" fontId="9" fillId="0" borderId="0" xfId="0" applyNumberFormat="1" applyFont="1" applyAlignment="1">
      <alignment horizontal="right" vertical="center"/>
    </xf>
    <xf numFmtId="0" fontId="9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2" fontId="9" fillId="0" borderId="0" xfId="0" applyNumberFormat="1" applyFont="1" applyAlignment="1">
      <alignment vertical="center"/>
    </xf>
    <xf numFmtId="10" fontId="9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39" xfId="0" applyBorder="1"/>
    <xf numFmtId="0" fontId="0" fillId="0" borderId="40" xfId="0" applyBorder="1"/>
    <xf numFmtId="0" fontId="1" fillId="0" borderId="2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25" xfId="0" applyBorder="1"/>
    <xf numFmtId="0" fontId="0" fillId="0" borderId="32" xfId="0" applyBorder="1"/>
    <xf numFmtId="165" fontId="9" fillId="0" borderId="16" xfId="0" applyNumberFormat="1" applyFont="1" applyBorder="1" applyAlignment="1">
      <alignment horizontal="center" vertical="center"/>
    </xf>
    <xf numFmtId="165" fontId="9" fillId="0" borderId="28" xfId="0" applyNumberFormat="1" applyFont="1" applyBorder="1" applyAlignment="1">
      <alignment horizontal="center" vertical="center"/>
    </xf>
    <xf numFmtId="166" fontId="9" fillId="0" borderId="28" xfId="0" applyNumberFormat="1" applyFont="1" applyBorder="1" applyAlignment="1">
      <alignment horizontal="center" vertical="center"/>
    </xf>
    <xf numFmtId="166" fontId="9" fillId="0" borderId="16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/>
    </xf>
    <xf numFmtId="0" fontId="20" fillId="0" borderId="31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41" xfId="0" applyFont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left" vertical="center"/>
    </xf>
    <xf numFmtId="0" fontId="25" fillId="6" borderId="35" xfId="0" applyFont="1" applyFill="1" applyBorder="1" applyAlignment="1">
      <alignment horizontal="left" vertical="center"/>
    </xf>
    <xf numFmtId="0" fontId="25" fillId="6" borderId="33" xfId="0" applyFont="1" applyFill="1" applyBorder="1" applyAlignment="1">
      <alignment horizontal="left" vertical="center"/>
    </xf>
    <xf numFmtId="0" fontId="25" fillId="6" borderId="36" xfId="0" applyFont="1" applyFill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1" fontId="28" fillId="0" borderId="30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" fontId="28" fillId="0" borderId="32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20" xfId="0" applyFont="1" applyBorder="1" applyAlignment="1">
      <alignment horizontal="right" vertical="center"/>
    </xf>
    <xf numFmtId="0" fontId="13" fillId="0" borderId="21" xfId="0" applyFont="1" applyBorder="1" applyAlignment="1">
      <alignment horizontal="right" vertical="center"/>
    </xf>
    <xf numFmtId="0" fontId="22" fillId="0" borderId="3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65" fontId="14" fillId="5" borderId="42" xfId="0" applyNumberFormat="1" applyFont="1" applyFill="1" applyBorder="1" applyAlignment="1">
      <alignment horizontal="center" vertical="center"/>
    </xf>
    <xf numFmtId="165" fontId="14" fillId="5" borderId="43" xfId="0" applyNumberFormat="1" applyFont="1" applyFill="1" applyBorder="1" applyAlignment="1">
      <alignment horizontal="center" vertical="center"/>
    </xf>
    <xf numFmtId="165" fontId="14" fillId="5" borderId="44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18" fillId="0" borderId="22" xfId="0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166" fontId="14" fillId="5" borderId="42" xfId="0" applyNumberFormat="1" applyFont="1" applyFill="1" applyBorder="1" applyAlignment="1">
      <alignment horizontal="center" vertical="center"/>
    </xf>
    <xf numFmtId="166" fontId="14" fillId="5" borderId="43" xfId="0" applyNumberFormat="1" applyFont="1" applyFill="1" applyBorder="1" applyAlignment="1">
      <alignment horizontal="center" vertical="center"/>
    </xf>
    <xf numFmtId="166" fontId="14" fillId="5" borderId="4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0" fillId="6" borderId="35" xfId="0" applyFill="1" applyBorder="1" applyAlignment="1"/>
    <xf numFmtId="0" fontId="0" fillId="6" borderId="33" xfId="0" applyFill="1" applyBorder="1" applyAlignment="1"/>
    <xf numFmtId="0" fontId="0" fillId="6" borderId="36" xfId="0" applyFill="1" applyBorder="1" applyAlignment="1"/>
    <xf numFmtId="0" fontId="8" fillId="4" borderId="1" xfId="0" applyFont="1" applyFill="1" applyBorder="1" applyAlignment="1"/>
    <xf numFmtId="0" fontId="8" fillId="0" borderId="3" xfId="0" applyFont="1" applyBorder="1" applyAlignment="1"/>
    <xf numFmtId="165" fontId="8" fillId="0" borderId="3" xfId="0" applyNumberFormat="1" applyFont="1" applyBorder="1" applyAlignment="1"/>
    <xf numFmtId="0" fontId="8" fillId="0" borderId="6" xfId="0" applyFont="1" applyBorder="1" applyAlignment="1"/>
    <xf numFmtId="0" fontId="8" fillId="0" borderId="27" xfId="0" applyFont="1" applyBorder="1" applyAlignment="1"/>
    <xf numFmtId="166" fontId="8" fillId="0" borderId="3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G999"/>
  <sheetViews>
    <sheetView showGridLines="0" zoomScale="97" zoomScaleNormal="97" workbookViewId="0">
      <selection activeCell="A20" sqref="A20:C20"/>
    </sheetView>
  </sheetViews>
  <sheetFormatPr defaultColWidth="14.42578125" defaultRowHeight="15" customHeight="1"/>
  <cols>
    <col min="1" max="1" width="25.42578125" customWidth="1"/>
    <col min="2" max="2" width="15.5703125" customWidth="1"/>
    <col min="3" max="3" width="29.140625" customWidth="1"/>
    <col min="4" max="4" width="12.140625" customWidth="1"/>
    <col min="5" max="5" width="15.28515625" customWidth="1"/>
    <col min="6" max="6" width="43.28515625" customWidth="1"/>
    <col min="7" max="7" width="7.42578125" customWidth="1"/>
    <col min="8" max="24" width="17.28515625" customWidth="1"/>
  </cols>
  <sheetData>
    <row r="1" spans="1:7" ht="36.6" customHeight="1">
      <c r="A1" s="61" t="s">
        <v>0</v>
      </c>
      <c r="B1" s="62"/>
      <c r="C1" s="62"/>
      <c r="D1" s="62"/>
      <c r="E1" s="62"/>
      <c r="F1" s="63"/>
      <c r="G1" s="1"/>
    </row>
    <row r="2" spans="1:7" ht="20.25" customHeight="1">
      <c r="A2" s="68" t="s">
        <v>1</v>
      </c>
      <c r="B2" s="69"/>
      <c r="C2" s="69"/>
      <c r="D2" s="69"/>
      <c r="E2" s="69"/>
      <c r="F2" s="70"/>
      <c r="G2" s="1"/>
    </row>
    <row r="3" spans="1:7" ht="18.75" customHeight="1">
      <c r="A3" s="71" t="s">
        <v>2</v>
      </c>
      <c r="B3" s="72"/>
      <c r="C3" s="72"/>
      <c r="D3" s="72"/>
      <c r="E3" s="72"/>
      <c r="F3" s="73"/>
      <c r="G3" s="3"/>
    </row>
    <row r="4" spans="1:7" ht="18.75" customHeight="1">
      <c r="A4" s="74" t="s">
        <v>3</v>
      </c>
      <c r="B4" s="75"/>
      <c r="C4" s="75"/>
      <c r="D4" s="75"/>
      <c r="E4" s="75"/>
      <c r="F4" s="76"/>
      <c r="G4" s="3"/>
    </row>
    <row r="5" spans="1:7" ht="4.1500000000000004" customHeight="1">
      <c r="A5" s="112"/>
      <c r="B5" s="113"/>
      <c r="C5" s="113"/>
      <c r="D5" s="113"/>
      <c r="E5" s="113"/>
      <c r="F5" s="114"/>
      <c r="G5" s="5"/>
    </row>
    <row r="6" spans="1:7" ht="17.45" customHeight="1">
      <c r="A6" s="64" t="s">
        <v>4</v>
      </c>
      <c r="B6" s="65"/>
      <c r="C6" s="65"/>
      <c r="D6" s="65" t="s">
        <v>5</v>
      </c>
      <c r="E6" s="65"/>
      <c r="F6" s="93"/>
      <c r="G6" s="6"/>
    </row>
    <row r="7" spans="1:7" ht="16.899999999999999" customHeight="1">
      <c r="A7" s="66"/>
      <c r="B7" s="67"/>
      <c r="C7" s="67"/>
      <c r="D7" s="67"/>
      <c r="E7" s="67"/>
      <c r="F7" s="94"/>
      <c r="G7" s="5"/>
    </row>
    <row r="8" spans="1:7" ht="4.1500000000000004" customHeight="1">
      <c r="A8" s="55"/>
      <c r="B8" s="56"/>
      <c r="C8" s="56"/>
      <c r="D8" s="56"/>
      <c r="E8" s="56"/>
      <c r="F8" s="57"/>
      <c r="G8" s="5"/>
    </row>
    <row r="9" spans="1:7" ht="22.15" customHeight="1">
      <c r="A9" s="50" t="s">
        <v>6</v>
      </c>
      <c r="B9" s="41"/>
      <c r="C9" s="41"/>
      <c r="D9" s="41" t="s">
        <v>7</v>
      </c>
      <c r="E9" s="41"/>
      <c r="F9" s="42"/>
      <c r="G9" s="7"/>
    </row>
    <row r="10" spans="1:7" ht="18" customHeight="1">
      <c r="A10" s="58" t="s">
        <v>8</v>
      </c>
      <c r="B10" s="59"/>
      <c r="C10" s="59"/>
      <c r="D10" s="59" t="s">
        <v>8</v>
      </c>
      <c r="E10" s="59"/>
      <c r="F10" s="60"/>
      <c r="G10" s="4"/>
    </row>
    <row r="11" spans="1:7" ht="18" customHeight="1">
      <c r="A11" s="58" t="s">
        <v>9</v>
      </c>
      <c r="B11" s="59"/>
      <c r="C11" s="59"/>
      <c r="D11" s="59" t="s">
        <v>9</v>
      </c>
      <c r="E11" s="59"/>
      <c r="F11" s="60"/>
      <c r="G11" s="9"/>
    </row>
    <row r="12" spans="1:7" ht="4.1500000000000004" customHeight="1">
      <c r="A12" s="21"/>
      <c r="B12" s="8"/>
      <c r="D12" s="25"/>
      <c r="E12" s="8"/>
      <c r="F12" s="22"/>
      <c r="G12" s="8"/>
    </row>
    <row r="13" spans="1:7" ht="18" customHeight="1">
      <c r="A13" s="49" t="s">
        <v>10</v>
      </c>
      <c r="B13" s="115"/>
      <c r="C13" s="26" t="s">
        <v>11</v>
      </c>
      <c r="D13" s="51" t="s">
        <v>12</v>
      </c>
      <c r="E13" s="115"/>
      <c r="F13" s="27" t="s">
        <v>13</v>
      </c>
      <c r="G13" s="5"/>
    </row>
    <row r="14" spans="1:7" ht="18" customHeight="1">
      <c r="A14" s="92" t="s">
        <v>14</v>
      </c>
      <c r="B14" s="116"/>
      <c r="C14" s="10">
        <v>2000</v>
      </c>
      <c r="D14" s="52">
        <v>2400</v>
      </c>
      <c r="E14" s="117"/>
      <c r="F14" s="37">
        <f>D14*C14</f>
        <v>4800000</v>
      </c>
      <c r="G14" s="11"/>
    </row>
    <row r="15" spans="1:7" ht="18" customHeight="1">
      <c r="A15" s="54"/>
      <c r="B15" s="118"/>
      <c r="C15" s="12"/>
      <c r="D15" s="53"/>
      <c r="E15" s="118"/>
      <c r="F15" s="23"/>
      <c r="G15" s="11"/>
    </row>
    <row r="16" spans="1:7" ht="18" customHeight="1">
      <c r="A16" s="83"/>
      <c r="B16" s="118"/>
      <c r="C16" s="13"/>
      <c r="D16" s="84"/>
      <c r="E16" s="118"/>
      <c r="F16" s="23"/>
      <c r="G16" s="11"/>
    </row>
    <row r="17" spans="1:7" ht="18" customHeight="1">
      <c r="A17" s="54"/>
      <c r="B17" s="118"/>
      <c r="C17" s="12"/>
      <c r="D17" s="53"/>
      <c r="E17" s="118"/>
      <c r="F17" s="23"/>
      <c r="G17" s="11"/>
    </row>
    <row r="18" spans="1:7" ht="18" customHeight="1">
      <c r="A18" s="83"/>
      <c r="B18" s="118"/>
      <c r="C18" s="13"/>
      <c r="D18" s="85"/>
      <c r="E18" s="119"/>
      <c r="F18" s="24"/>
      <c r="G18" s="11"/>
    </row>
    <row r="19" spans="1:7" ht="18" customHeight="1">
      <c r="A19" s="81" t="s">
        <v>15</v>
      </c>
      <c r="B19" s="82"/>
      <c r="C19" s="82"/>
      <c r="D19" s="79" t="s">
        <v>16</v>
      </c>
      <c r="E19" s="80"/>
      <c r="F19" s="38">
        <f>F14</f>
        <v>4800000</v>
      </c>
      <c r="G19" s="11"/>
    </row>
    <row r="20" spans="1:7" ht="18" customHeight="1">
      <c r="A20" s="89" t="s">
        <v>17</v>
      </c>
      <c r="B20" s="90"/>
      <c r="C20" s="91"/>
      <c r="D20" s="77" t="s">
        <v>18</v>
      </c>
      <c r="E20" s="78"/>
      <c r="F20" s="38">
        <f>2000*5</f>
        <v>10000</v>
      </c>
      <c r="G20" s="11"/>
    </row>
    <row r="21" spans="1:7" ht="18" customHeight="1">
      <c r="A21" s="58" t="s">
        <v>19</v>
      </c>
      <c r="B21" s="59"/>
      <c r="C21" s="104"/>
      <c r="D21" s="77" t="s">
        <v>20</v>
      </c>
      <c r="E21" s="78"/>
      <c r="F21" s="38">
        <f>F19-F20</f>
        <v>4790000</v>
      </c>
      <c r="G21" s="11"/>
    </row>
    <row r="22" spans="1:7" ht="18" customHeight="1">
      <c r="A22" s="58" t="s">
        <v>21</v>
      </c>
      <c r="B22" s="59"/>
      <c r="C22" s="104"/>
      <c r="D22" s="99" t="s">
        <v>22</v>
      </c>
      <c r="E22" s="100"/>
      <c r="F22" s="38">
        <v>628927</v>
      </c>
      <c r="G22" s="11"/>
    </row>
    <row r="23" spans="1:7" ht="18" customHeight="1">
      <c r="A23" s="101" t="s">
        <v>23</v>
      </c>
      <c r="B23" s="102"/>
      <c r="C23" s="103"/>
      <c r="D23" s="95" t="s">
        <v>24</v>
      </c>
      <c r="E23" s="96"/>
      <c r="F23" s="86">
        <f>F21+F22</f>
        <v>5418927</v>
      </c>
      <c r="G23" s="11"/>
    </row>
    <row r="24" spans="1:7" ht="18" customHeight="1">
      <c r="A24" s="43" t="s">
        <v>1</v>
      </c>
      <c r="B24" s="44"/>
      <c r="C24" s="45"/>
      <c r="D24" s="95"/>
      <c r="E24" s="96"/>
      <c r="F24" s="87"/>
      <c r="G24" s="11"/>
    </row>
    <row r="25" spans="1:7" ht="19.5" customHeight="1">
      <c r="A25" s="43"/>
      <c r="B25" s="44"/>
      <c r="C25" s="45"/>
      <c r="D25" s="97"/>
      <c r="E25" s="98"/>
      <c r="F25" s="88"/>
      <c r="G25" s="14"/>
    </row>
    <row r="26" spans="1:7" ht="19.5" customHeight="1">
      <c r="A26" s="43"/>
      <c r="B26" s="44"/>
      <c r="C26" s="45"/>
      <c r="D26" s="33"/>
      <c r="E26" s="33"/>
      <c r="F26" s="34"/>
      <c r="G26" s="14"/>
    </row>
    <row r="27" spans="1:7" ht="19.5" customHeight="1">
      <c r="A27" s="46"/>
      <c r="B27" s="47"/>
      <c r="C27" s="48"/>
      <c r="D27" s="35"/>
      <c r="E27" s="35"/>
      <c r="F27" s="36"/>
      <c r="G27" s="14"/>
    </row>
    <row r="28" spans="1:7" ht="19.5" customHeight="1" thickBot="1">
      <c r="A28" s="28"/>
      <c r="B28" s="29"/>
      <c r="C28" s="29"/>
      <c r="D28" s="31"/>
      <c r="E28" s="31"/>
      <c r="F28" s="32"/>
      <c r="G28" s="15"/>
    </row>
    <row r="29" spans="1:7" ht="19.5" customHeight="1">
      <c r="A29" s="30"/>
      <c r="G29" s="14"/>
    </row>
    <row r="30" spans="1:7" ht="19.5" customHeight="1">
      <c r="A30" s="30"/>
      <c r="D30" s="2"/>
      <c r="E30" s="2"/>
      <c r="F30" s="2"/>
      <c r="G30" s="14"/>
    </row>
    <row r="31" spans="1:7" ht="18" customHeight="1">
      <c r="A31" s="20"/>
      <c r="G31" s="16"/>
    </row>
    <row r="32" spans="1:7" ht="22.9" customHeight="1">
      <c r="A32" s="2"/>
      <c r="B32" s="2"/>
      <c r="C32" s="2"/>
      <c r="G32" s="17"/>
    </row>
    <row r="33" spans="7:7" ht="22.9" customHeight="1">
      <c r="G33" s="17"/>
    </row>
    <row r="34" spans="7:7" ht="9.6" customHeight="1">
      <c r="G34" s="17"/>
    </row>
    <row r="35" spans="7:7" ht="15.75" customHeight="1">
      <c r="G35" s="18"/>
    </row>
    <row r="36" spans="7:7" ht="15.75" customHeight="1">
      <c r="G36" s="19"/>
    </row>
    <row r="37" spans="7:7" ht="21" customHeight="1">
      <c r="G37" s="20"/>
    </row>
    <row r="38" spans="7:7" ht="15.75" customHeight="1">
      <c r="G38" s="2"/>
    </row>
    <row r="39" spans="7:7" ht="15.75" customHeight="1"/>
    <row r="40" spans="7:7" ht="15.75" customHeight="1"/>
    <row r="41" spans="7:7" ht="15.75" customHeight="1"/>
    <row r="42" spans="7:7" ht="15.75" customHeight="1"/>
    <row r="43" spans="7:7" ht="15.75" customHeight="1"/>
    <row r="44" spans="7:7" ht="15.75" customHeight="1"/>
    <row r="45" spans="7:7" ht="15.75" customHeight="1"/>
    <row r="46" spans="7:7" ht="15.75" customHeight="1"/>
    <row r="47" spans="7:7" ht="15.75" customHeight="1"/>
    <row r="48" spans="7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8">
    <mergeCell ref="F23:F25"/>
    <mergeCell ref="A20:C20"/>
    <mergeCell ref="A5:F5"/>
    <mergeCell ref="A14:B14"/>
    <mergeCell ref="A15:B15"/>
    <mergeCell ref="D6:F7"/>
    <mergeCell ref="D23:E25"/>
    <mergeCell ref="D22:E22"/>
    <mergeCell ref="D21:E21"/>
    <mergeCell ref="A23:C23"/>
    <mergeCell ref="A21:C21"/>
    <mergeCell ref="A22:C22"/>
    <mergeCell ref="A1:F1"/>
    <mergeCell ref="A6:C7"/>
    <mergeCell ref="A2:F2"/>
    <mergeCell ref="A3:F3"/>
    <mergeCell ref="A4:F4"/>
    <mergeCell ref="A8:F8"/>
    <mergeCell ref="A10:C10"/>
    <mergeCell ref="A11:C11"/>
    <mergeCell ref="D10:F10"/>
    <mergeCell ref="D11:F11"/>
    <mergeCell ref="D9:F9"/>
    <mergeCell ref="A24:C27"/>
    <mergeCell ref="A13:B13"/>
    <mergeCell ref="A9:C9"/>
    <mergeCell ref="D13:E13"/>
    <mergeCell ref="D14:E14"/>
    <mergeCell ref="D15:E15"/>
    <mergeCell ref="A17:B17"/>
    <mergeCell ref="D17:E17"/>
    <mergeCell ref="D20:E20"/>
    <mergeCell ref="D19:E19"/>
    <mergeCell ref="A19:C19"/>
    <mergeCell ref="A16:B16"/>
    <mergeCell ref="D16:E16"/>
    <mergeCell ref="A18:B18"/>
    <mergeCell ref="D18:E18"/>
  </mergeCells>
  <printOptions horizontalCentered="1" verticalCentered="1"/>
  <pageMargins left="0" right="0" top="0" bottom="0" header="0" footer="0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E1A3-2263-4B5E-8AED-B70606F3FE02}">
  <sheetPr>
    <tabColor rgb="FF8496B0"/>
    <outlinePr summaryBelow="0" summaryRight="0"/>
    <pageSetUpPr fitToPage="1"/>
  </sheetPr>
  <dimension ref="A1:G999"/>
  <sheetViews>
    <sheetView showGridLines="0" topLeftCell="A7" zoomScaleNormal="100" workbookViewId="0">
      <selection activeCell="A29" sqref="A29:C29"/>
    </sheetView>
  </sheetViews>
  <sheetFormatPr defaultColWidth="14.42578125" defaultRowHeight="15" customHeight="1"/>
  <cols>
    <col min="1" max="1" width="25.42578125" customWidth="1"/>
    <col min="2" max="2" width="15.5703125" customWidth="1"/>
    <col min="3" max="3" width="34.140625" customWidth="1"/>
    <col min="4" max="4" width="12.140625" customWidth="1"/>
    <col min="5" max="5" width="15.28515625" customWidth="1"/>
    <col min="6" max="6" width="47.28515625" customWidth="1"/>
    <col min="7" max="7" width="7.42578125" customWidth="1"/>
    <col min="8" max="24" width="17.28515625" customWidth="1"/>
  </cols>
  <sheetData>
    <row r="1" spans="1:7" ht="36.6" customHeight="1">
      <c r="A1" s="61" t="s">
        <v>0</v>
      </c>
      <c r="B1" s="62"/>
      <c r="C1" s="62"/>
      <c r="D1" s="62"/>
      <c r="E1" s="62"/>
      <c r="F1" s="63"/>
      <c r="G1" s="1"/>
    </row>
    <row r="2" spans="1:7" ht="20.25" customHeight="1">
      <c r="A2" s="68" t="s">
        <v>1</v>
      </c>
      <c r="B2" s="69"/>
      <c r="C2" s="69"/>
      <c r="D2" s="69"/>
      <c r="E2" s="69"/>
      <c r="F2" s="70"/>
      <c r="G2" s="1"/>
    </row>
    <row r="3" spans="1:7" ht="18.75" customHeight="1">
      <c r="A3" s="71" t="s">
        <v>2</v>
      </c>
      <c r="B3" s="72"/>
      <c r="C3" s="72"/>
      <c r="D3" s="72"/>
      <c r="E3" s="72"/>
      <c r="F3" s="73"/>
      <c r="G3" s="3"/>
    </row>
    <row r="4" spans="1:7" ht="18.75" customHeight="1">
      <c r="A4" s="74" t="s">
        <v>3</v>
      </c>
      <c r="B4" s="75"/>
      <c r="C4" s="75"/>
      <c r="D4" s="75"/>
      <c r="E4" s="75"/>
      <c r="F4" s="76"/>
      <c r="G4" s="3"/>
    </row>
    <row r="5" spans="1:7" ht="4.1500000000000004" customHeight="1">
      <c r="A5" s="112"/>
      <c r="B5" s="113"/>
      <c r="C5" s="113"/>
      <c r="D5" s="113"/>
      <c r="E5" s="113"/>
      <c r="F5" s="114"/>
      <c r="G5" s="5"/>
    </row>
    <row r="6" spans="1:7" ht="17.45" customHeight="1">
      <c r="A6" s="64" t="s">
        <v>25</v>
      </c>
      <c r="B6" s="65"/>
      <c r="C6" s="65"/>
      <c r="D6" s="65" t="s">
        <v>26</v>
      </c>
      <c r="E6" s="65"/>
      <c r="F6" s="93"/>
      <c r="G6" s="6"/>
    </row>
    <row r="7" spans="1:7" ht="16.899999999999999" customHeight="1">
      <c r="A7" s="66"/>
      <c r="B7" s="67"/>
      <c r="C7" s="67"/>
      <c r="D7" s="67"/>
      <c r="E7" s="67"/>
      <c r="F7" s="94"/>
      <c r="G7" s="5"/>
    </row>
    <row r="8" spans="1:7" ht="4.1500000000000004" customHeight="1">
      <c r="A8" s="55"/>
      <c r="B8" s="56"/>
      <c r="C8" s="56"/>
      <c r="D8" s="56"/>
      <c r="E8" s="56"/>
      <c r="F8" s="57"/>
      <c r="G8" s="5"/>
    </row>
    <row r="9" spans="1:7" ht="22.15" customHeight="1">
      <c r="A9" s="50" t="s">
        <v>6</v>
      </c>
      <c r="B9" s="41"/>
      <c r="C9" s="41"/>
      <c r="D9" s="41" t="s">
        <v>7</v>
      </c>
      <c r="E9" s="41"/>
      <c r="F9" s="42"/>
      <c r="G9" s="7"/>
    </row>
    <row r="10" spans="1:7" ht="18" customHeight="1">
      <c r="A10" s="58" t="s">
        <v>27</v>
      </c>
      <c r="B10" s="59"/>
      <c r="C10" s="59"/>
      <c r="D10" s="59" t="s">
        <v>27</v>
      </c>
      <c r="E10" s="59"/>
      <c r="F10" s="60"/>
      <c r="G10" s="4"/>
    </row>
    <row r="11" spans="1:7" ht="18" customHeight="1">
      <c r="A11" s="58" t="s">
        <v>28</v>
      </c>
      <c r="B11" s="59"/>
      <c r="C11" s="59"/>
      <c r="D11" s="59" t="s">
        <v>28</v>
      </c>
      <c r="E11" s="59"/>
      <c r="F11" s="60"/>
      <c r="G11" s="9"/>
    </row>
    <row r="12" spans="1:7" ht="4.1500000000000004" customHeight="1">
      <c r="A12" s="21"/>
      <c r="B12" s="8"/>
      <c r="D12" s="25"/>
      <c r="E12" s="8"/>
      <c r="F12" s="22"/>
      <c r="G12" s="8"/>
    </row>
    <row r="13" spans="1:7" ht="18" customHeight="1">
      <c r="A13" s="49" t="s">
        <v>10</v>
      </c>
      <c r="B13" s="115"/>
      <c r="C13" s="26" t="s">
        <v>11</v>
      </c>
      <c r="D13" s="51" t="s">
        <v>12</v>
      </c>
      <c r="E13" s="115"/>
      <c r="F13" s="27" t="s">
        <v>13</v>
      </c>
      <c r="G13" s="5"/>
    </row>
    <row r="14" spans="1:7" ht="18" customHeight="1">
      <c r="A14" s="92" t="s">
        <v>29</v>
      </c>
      <c r="B14" s="116"/>
      <c r="C14" s="10">
        <v>1500</v>
      </c>
      <c r="D14" s="52">
        <v>2080</v>
      </c>
      <c r="E14" s="117"/>
      <c r="F14" s="37">
        <f>D14*C14</f>
        <v>3120000</v>
      </c>
      <c r="G14" s="11"/>
    </row>
    <row r="15" spans="1:7" ht="18" customHeight="1">
      <c r="A15" s="54"/>
      <c r="B15" s="118"/>
      <c r="C15" s="12"/>
      <c r="D15" s="53"/>
      <c r="E15" s="118"/>
      <c r="F15" s="23"/>
      <c r="G15" s="11"/>
    </row>
    <row r="16" spans="1:7" ht="18" customHeight="1">
      <c r="A16" s="83"/>
      <c r="B16" s="118"/>
      <c r="C16" s="13"/>
      <c r="D16" s="84"/>
      <c r="E16" s="118"/>
      <c r="F16" s="23"/>
      <c r="G16" s="11"/>
    </row>
    <row r="17" spans="1:7" ht="18" customHeight="1">
      <c r="A17" s="54"/>
      <c r="B17" s="118"/>
      <c r="C17" s="12"/>
      <c r="D17" s="53"/>
      <c r="E17" s="118"/>
      <c r="F17" s="23"/>
      <c r="G17" s="11"/>
    </row>
    <row r="18" spans="1:7" ht="18" customHeight="1">
      <c r="A18" s="83"/>
      <c r="B18" s="118"/>
      <c r="C18" s="13"/>
      <c r="D18" s="84"/>
      <c r="E18" s="118"/>
      <c r="F18" s="23"/>
      <c r="G18" s="11"/>
    </row>
    <row r="19" spans="1:7" ht="18" customHeight="1">
      <c r="A19" s="54"/>
      <c r="B19" s="118"/>
      <c r="C19" s="12"/>
      <c r="D19" s="53"/>
      <c r="E19" s="118"/>
      <c r="F19" s="23"/>
      <c r="G19" s="11"/>
    </row>
    <row r="20" spans="1:7" ht="18" customHeight="1">
      <c r="A20" s="83"/>
      <c r="B20" s="118"/>
      <c r="C20" s="13"/>
      <c r="D20" s="84"/>
      <c r="E20" s="118"/>
      <c r="F20" s="23"/>
      <c r="G20" s="11"/>
    </row>
    <row r="21" spans="1:7" ht="18" customHeight="1">
      <c r="A21" s="54"/>
      <c r="B21" s="118"/>
      <c r="C21" s="12"/>
      <c r="D21" s="53"/>
      <c r="E21" s="118"/>
      <c r="F21" s="23"/>
      <c r="G21" s="11"/>
    </row>
    <row r="22" spans="1:7" ht="18" customHeight="1">
      <c r="A22" s="83"/>
      <c r="B22" s="118"/>
      <c r="C22" s="13"/>
      <c r="D22" s="84"/>
      <c r="E22" s="118"/>
      <c r="F22" s="23"/>
      <c r="G22" s="11"/>
    </row>
    <row r="23" spans="1:7" ht="18" customHeight="1">
      <c r="A23" s="54"/>
      <c r="B23" s="118"/>
      <c r="C23" s="12"/>
      <c r="D23" s="53"/>
      <c r="E23" s="118"/>
      <c r="F23" s="23"/>
      <c r="G23" s="11"/>
    </row>
    <row r="24" spans="1:7" ht="18" customHeight="1">
      <c r="A24" s="83"/>
      <c r="B24" s="118"/>
      <c r="C24" s="13"/>
      <c r="D24" s="85"/>
      <c r="E24" s="119"/>
      <c r="F24" s="24"/>
      <c r="G24" s="11"/>
    </row>
    <row r="25" spans="1:7" ht="19.5" customHeight="1">
      <c r="A25" s="81" t="s">
        <v>15</v>
      </c>
      <c r="B25" s="82"/>
      <c r="C25" s="82"/>
      <c r="D25" s="79" t="s">
        <v>16</v>
      </c>
      <c r="E25" s="80"/>
      <c r="F25" s="38">
        <f>F14</f>
        <v>3120000</v>
      </c>
      <c r="G25" s="14"/>
    </row>
    <row r="26" spans="1:7" ht="19.5" customHeight="1">
      <c r="A26" s="89" t="s">
        <v>17</v>
      </c>
      <c r="B26" s="90"/>
      <c r="C26" s="91"/>
      <c r="D26" s="77" t="s">
        <v>18</v>
      </c>
      <c r="E26" s="78"/>
      <c r="F26" s="38">
        <f>1500*12</f>
        <v>18000</v>
      </c>
      <c r="G26" s="14"/>
    </row>
    <row r="27" spans="1:7" ht="19.5" customHeight="1">
      <c r="A27" s="58" t="s">
        <v>19</v>
      </c>
      <c r="B27" s="59"/>
      <c r="C27" s="104"/>
      <c r="D27" s="77" t="s">
        <v>20</v>
      </c>
      <c r="E27" s="78"/>
      <c r="F27" s="38">
        <f>F25-F26</f>
        <v>3102000</v>
      </c>
      <c r="G27" s="14"/>
    </row>
    <row r="28" spans="1:7" ht="19.5" customHeight="1">
      <c r="A28" s="58" t="s">
        <v>21</v>
      </c>
      <c r="B28" s="59"/>
      <c r="C28" s="104"/>
      <c r="D28" s="99" t="s">
        <v>22</v>
      </c>
      <c r="E28" s="100"/>
      <c r="F28" s="38">
        <v>407293</v>
      </c>
      <c r="G28" s="15"/>
    </row>
    <row r="29" spans="1:7" ht="19.5" customHeight="1">
      <c r="A29" s="101" t="s">
        <v>23</v>
      </c>
      <c r="B29" s="102"/>
      <c r="C29" s="103"/>
      <c r="D29" s="95" t="s">
        <v>24</v>
      </c>
      <c r="E29" s="96"/>
      <c r="F29" s="86">
        <f>F27+F28</f>
        <v>3509293</v>
      </c>
      <c r="G29" s="14"/>
    </row>
    <row r="30" spans="1:7" ht="19.5" customHeight="1">
      <c r="A30" s="43" t="s">
        <v>1</v>
      </c>
      <c r="B30" s="44"/>
      <c r="C30" s="45"/>
      <c r="D30" s="95"/>
      <c r="E30" s="96"/>
      <c r="F30" s="87"/>
      <c r="G30" s="14"/>
    </row>
    <row r="31" spans="1:7" ht="18" customHeight="1">
      <c r="A31" s="43"/>
      <c r="B31" s="44"/>
      <c r="C31" s="45"/>
      <c r="D31" s="97"/>
      <c r="E31" s="98"/>
      <c r="F31" s="88"/>
      <c r="G31" s="16"/>
    </row>
    <row r="32" spans="1:7" ht="22.9" customHeight="1">
      <c r="A32" s="43"/>
      <c r="B32" s="44"/>
      <c r="C32" s="45"/>
      <c r="D32" s="33"/>
      <c r="E32" s="33"/>
      <c r="F32" s="34"/>
      <c r="G32" s="17"/>
    </row>
    <row r="33" spans="1:7" ht="22.9" customHeight="1">
      <c r="A33" s="46"/>
      <c r="B33" s="47"/>
      <c r="C33" s="48"/>
      <c r="D33" s="35"/>
      <c r="E33" s="35"/>
      <c r="F33" s="36"/>
      <c r="G33" s="17"/>
    </row>
    <row r="34" spans="1:7" ht="9.6" customHeight="1" thickBot="1">
      <c r="A34" s="28"/>
      <c r="B34" s="29"/>
      <c r="C34" s="29"/>
      <c r="D34" s="31"/>
      <c r="E34" s="31"/>
      <c r="F34" s="32"/>
      <c r="G34" s="17"/>
    </row>
    <row r="35" spans="1:7" ht="15.75" customHeight="1">
      <c r="A35" s="30"/>
      <c r="G35" s="18"/>
    </row>
    <row r="36" spans="1:7" ht="15.75" customHeight="1">
      <c r="A36" s="30"/>
      <c r="D36" s="2"/>
      <c r="E36" s="2"/>
      <c r="F36" s="2"/>
      <c r="G36" s="19"/>
    </row>
    <row r="37" spans="1:7" ht="21" customHeight="1">
      <c r="A37" s="20"/>
      <c r="G37" s="20"/>
    </row>
    <row r="38" spans="1:7" ht="15.75" customHeight="1">
      <c r="A38" s="2"/>
      <c r="B38" s="2"/>
      <c r="C38" s="2"/>
      <c r="G38" s="2"/>
    </row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0">
    <mergeCell ref="A28:C28"/>
    <mergeCell ref="D28:E28"/>
    <mergeCell ref="A29:C29"/>
    <mergeCell ref="D29:E31"/>
    <mergeCell ref="F29:F31"/>
    <mergeCell ref="A30:C33"/>
    <mergeCell ref="A25:C25"/>
    <mergeCell ref="D25:E25"/>
    <mergeCell ref="A26:C26"/>
    <mergeCell ref="D26:E26"/>
    <mergeCell ref="A27:C27"/>
    <mergeCell ref="D27:E27"/>
    <mergeCell ref="A22:B22"/>
    <mergeCell ref="D22:E22"/>
    <mergeCell ref="A23:B23"/>
    <mergeCell ref="D23:E23"/>
    <mergeCell ref="A24:B24"/>
    <mergeCell ref="D24:E24"/>
    <mergeCell ref="A19:B19"/>
    <mergeCell ref="D19:E19"/>
    <mergeCell ref="A20:B20"/>
    <mergeCell ref="D20:E20"/>
    <mergeCell ref="A21:B21"/>
    <mergeCell ref="D21:E21"/>
    <mergeCell ref="A16:B16"/>
    <mergeCell ref="D16:E16"/>
    <mergeCell ref="A17:B17"/>
    <mergeCell ref="D17:E17"/>
    <mergeCell ref="A18:B18"/>
    <mergeCell ref="D18:E18"/>
    <mergeCell ref="A13:B13"/>
    <mergeCell ref="D13:E13"/>
    <mergeCell ref="A14:B14"/>
    <mergeCell ref="D14:E14"/>
    <mergeCell ref="A15:B15"/>
    <mergeCell ref="D15:E15"/>
    <mergeCell ref="A3:F3"/>
    <mergeCell ref="A4:F4"/>
    <mergeCell ref="A11:C11"/>
    <mergeCell ref="D11:F11"/>
    <mergeCell ref="A1:F1"/>
    <mergeCell ref="A5:F5"/>
    <mergeCell ref="A6:C7"/>
    <mergeCell ref="D6:F7"/>
    <mergeCell ref="A8:F8"/>
    <mergeCell ref="A9:C9"/>
    <mergeCell ref="D9:F9"/>
    <mergeCell ref="A10:C10"/>
    <mergeCell ref="D10:F10"/>
    <mergeCell ref="A2:F2"/>
  </mergeCells>
  <printOptions horizontalCentered="1" verticalCentered="1"/>
  <pageMargins left="0" right="0" top="0" bottom="0" header="0" footer="0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FEA1-4E73-4A65-A2C4-212600B9288D}">
  <sheetPr>
    <tabColor rgb="FF8496B0"/>
    <outlinePr summaryBelow="0" summaryRight="0"/>
    <pageSetUpPr fitToPage="1"/>
  </sheetPr>
  <dimension ref="A1:G999"/>
  <sheetViews>
    <sheetView showGridLines="0" topLeftCell="A16" zoomScaleNormal="100" workbookViewId="0">
      <selection activeCell="A26" sqref="A26:C26"/>
    </sheetView>
  </sheetViews>
  <sheetFormatPr defaultColWidth="14.42578125" defaultRowHeight="15" customHeight="1"/>
  <cols>
    <col min="1" max="1" width="25.42578125" customWidth="1"/>
    <col min="2" max="2" width="15.5703125" customWidth="1"/>
    <col min="3" max="3" width="51.7109375" customWidth="1"/>
    <col min="4" max="4" width="12.140625" customWidth="1"/>
    <col min="5" max="5" width="15.28515625" customWidth="1"/>
    <col min="6" max="6" width="63.7109375" customWidth="1"/>
    <col min="7" max="7" width="7.42578125" customWidth="1"/>
    <col min="8" max="24" width="17.28515625" customWidth="1"/>
  </cols>
  <sheetData>
    <row r="1" spans="1:7" ht="36.6" customHeight="1">
      <c r="A1" s="61" t="s">
        <v>0</v>
      </c>
      <c r="B1" s="62"/>
      <c r="C1" s="62"/>
      <c r="D1" s="62"/>
      <c r="E1" s="62"/>
      <c r="F1" s="63"/>
      <c r="G1" s="1"/>
    </row>
    <row r="2" spans="1:7" ht="20.25" customHeight="1">
      <c r="A2" s="68" t="s">
        <v>1</v>
      </c>
      <c r="B2" s="69"/>
      <c r="C2" s="69"/>
      <c r="D2" s="69"/>
      <c r="E2" s="69"/>
      <c r="F2" s="70"/>
      <c r="G2" s="1"/>
    </row>
    <row r="3" spans="1:7" ht="18.75" customHeight="1">
      <c r="A3" s="71" t="s">
        <v>2</v>
      </c>
      <c r="B3" s="72"/>
      <c r="C3" s="72"/>
      <c r="D3" s="72"/>
      <c r="E3" s="72"/>
      <c r="F3" s="73"/>
      <c r="G3" s="3"/>
    </row>
    <row r="4" spans="1:7" ht="18.75" customHeight="1">
      <c r="A4" s="74" t="s">
        <v>3</v>
      </c>
      <c r="B4" s="75"/>
      <c r="C4" s="75"/>
      <c r="D4" s="75"/>
      <c r="E4" s="75"/>
      <c r="F4" s="76"/>
      <c r="G4" s="3"/>
    </row>
    <row r="5" spans="1:7" ht="4.1500000000000004" customHeight="1">
      <c r="A5" s="112"/>
      <c r="B5" s="113"/>
      <c r="C5" s="113"/>
      <c r="D5" s="113"/>
      <c r="E5" s="113"/>
      <c r="F5" s="114"/>
      <c r="G5" s="5"/>
    </row>
    <row r="6" spans="1:7" ht="17.45" customHeight="1">
      <c r="A6" s="64" t="s">
        <v>30</v>
      </c>
      <c r="B6" s="65"/>
      <c r="C6" s="65"/>
      <c r="D6" s="65" t="s">
        <v>31</v>
      </c>
      <c r="E6" s="65"/>
      <c r="F6" s="93"/>
      <c r="G6" s="6"/>
    </row>
    <row r="7" spans="1:7" ht="16.899999999999999" customHeight="1">
      <c r="A7" s="66"/>
      <c r="B7" s="67"/>
      <c r="C7" s="67"/>
      <c r="D7" s="67"/>
      <c r="E7" s="67"/>
      <c r="F7" s="94"/>
      <c r="G7" s="5"/>
    </row>
    <row r="8" spans="1:7" ht="4.1500000000000004" customHeight="1">
      <c r="A8" s="55"/>
      <c r="B8" s="56"/>
      <c r="C8" s="56"/>
      <c r="D8" s="56"/>
      <c r="E8" s="56"/>
      <c r="F8" s="57"/>
      <c r="G8" s="5"/>
    </row>
    <row r="9" spans="1:7" ht="22.15" customHeight="1">
      <c r="A9" s="50" t="s">
        <v>6</v>
      </c>
      <c r="B9" s="41"/>
      <c r="C9" s="41"/>
      <c r="D9" s="41" t="s">
        <v>7</v>
      </c>
      <c r="E9" s="41"/>
      <c r="F9" s="42"/>
      <c r="G9" s="7"/>
    </row>
    <row r="10" spans="1:7" ht="18" customHeight="1">
      <c r="A10" s="58" t="s">
        <v>32</v>
      </c>
      <c r="B10" s="59"/>
      <c r="C10" s="59"/>
      <c r="D10" s="59" t="s">
        <v>32</v>
      </c>
      <c r="E10" s="59"/>
      <c r="F10" s="60"/>
      <c r="G10" s="4"/>
    </row>
    <row r="11" spans="1:7" ht="18" customHeight="1">
      <c r="A11" s="58" t="s">
        <v>33</v>
      </c>
      <c r="B11" s="59"/>
      <c r="C11" s="59"/>
      <c r="D11" s="59" t="s">
        <v>33</v>
      </c>
      <c r="E11" s="59"/>
      <c r="F11" s="60"/>
      <c r="G11" s="9"/>
    </row>
    <row r="12" spans="1:7" ht="4.1500000000000004" customHeight="1">
      <c r="A12" s="21"/>
      <c r="B12" s="8"/>
      <c r="D12" s="25"/>
      <c r="E12" s="8"/>
      <c r="F12" s="22"/>
      <c r="G12" s="8"/>
    </row>
    <row r="13" spans="1:7" ht="18" customHeight="1">
      <c r="A13" s="49" t="s">
        <v>10</v>
      </c>
      <c r="B13" s="115"/>
      <c r="C13" s="26" t="s">
        <v>11</v>
      </c>
      <c r="D13" s="51" t="s">
        <v>12</v>
      </c>
      <c r="E13" s="115"/>
      <c r="F13" s="27" t="s">
        <v>13</v>
      </c>
      <c r="G13" s="5"/>
    </row>
    <row r="14" spans="1:7" ht="18" customHeight="1">
      <c r="A14" s="92" t="s">
        <v>34</v>
      </c>
      <c r="B14" s="116"/>
      <c r="C14" s="10">
        <v>1000</v>
      </c>
      <c r="D14" s="52">
        <v>1960</v>
      </c>
      <c r="E14" s="117"/>
      <c r="F14" s="37">
        <f>D14*C14</f>
        <v>1960000</v>
      </c>
      <c r="G14" s="11"/>
    </row>
    <row r="15" spans="1:7" ht="18" customHeight="1">
      <c r="A15" s="54"/>
      <c r="B15" s="118"/>
      <c r="C15" s="12"/>
      <c r="D15" s="53"/>
      <c r="E15" s="118"/>
      <c r="F15" s="23"/>
      <c r="G15" s="11"/>
    </row>
    <row r="16" spans="1:7" ht="18" customHeight="1">
      <c r="A16" s="83"/>
      <c r="B16" s="118"/>
      <c r="C16" s="13"/>
      <c r="D16" s="84"/>
      <c r="E16" s="118"/>
      <c r="F16" s="23"/>
      <c r="G16" s="11"/>
    </row>
    <row r="17" spans="1:7" ht="18" customHeight="1">
      <c r="A17" s="54"/>
      <c r="B17" s="118"/>
      <c r="C17" s="12"/>
      <c r="D17" s="53"/>
      <c r="E17" s="118"/>
      <c r="F17" s="23"/>
      <c r="G17" s="11"/>
    </row>
    <row r="18" spans="1:7" ht="18" customHeight="1">
      <c r="A18" s="83"/>
      <c r="B18" s="118"/>
      <c r="C18" s="13"/>
      <c r="D18" s="84"/>
      <c r="E18" s="118"/>
      <c r="F18" s="23"/>
      <c r="G18" s="11"/>
    </row>
    <row r="19" spans="1:7" ht="18" customHeight="1">
      <c r="A19" s="54"/>
      <c r="B19" s="118"/>
      <c r="C19" s="12"/>
      <c r="D19" s="53"/>
      <c r="E19" s="118"/>
      <c r="F19" s="23"/>
      <c r="G19" s="11"/>
    </row>
    <row r="20" spans="1:7" ht="18" customHeight="1">
      <c r="A20" s="83"/>
      <c r="B20" s="118"/>
      <c r="C20" s="13"/>
      <c r="D20" s="84"/>
      <c r="E20" s="118"/>
      <c r="F20" s="23"/>
      <c r="G20" s="11"/>
    </row>
    <row r="21" spans="1:7" ht="18" customHeight="1">
      <c r="A21" s="54"/>
      <c r="B21" s="118"/>
      <c r="C21" s="12"/>
      <c r="D21" s="53"/>
      <c r="E21" s="118"/>
      <c r="F21" s="23"/>
      <c r="G21" s="11"/>
    </row>
    <row r="22" spans="1:7" ht="18" customHeight="1">
      <c r="A22" s="83"/>
      <c r="B22" s="118"/>
      <c r="C22" s="13"/>
      <c r="D22" s="84"/>
      <c r="E22" s="118"/>
      <c r="F22" s="23"/>
      <c r="G22" s="11"/>
    </row>
    <row r="23" spans="1:7" ht="18" customHeight="1">
      <c r="A23" s="54"/>
      <c r="B23" s="118"/>
      <c r="C23" s="12"/>
      <c r="D23" s="53"/>
      <c r="E23" s="118"/>
      <c r="F23" s="23"/>
      <c r="G23" s="11"/>
    </row>
    <row r="24" spans="1:7" ht="18" customHeight="1">
      <c r="A24" s="83"/>
      <c r="B24" s="118"/>
      <c r="C24" s="13"/>
      <c r="D24" s="85"/>
      <c r="E24" s="119"/>
      <c r="F24" s="24"/>
      <c r="G24" s="11"/>
    </row>
    <row r="25" spans="1:7" ht="19.5" customHeight="1">
      <c r="A25" s="81" t="s">
        <v>15</v>
      </c>
      <c r="B25" s="82"/>
      <c r="C25" s="82"/>
      <c r="D25" s="79" t="s">
        <v>16</v>
      </c>
      <c r="E25" s="80"/>
      <c r="F25" s="39">
        <f>F14</f>
        <v>1960000</v>
      </c>
      <c r="G25" s="14"/>
    </row>
    <row r="26" spans="1:7" ht="19.5" customHeight="1">
      <c r="A26" s="89" t="s">
        <v>17</v>
      </c>
      <c r="B26" s="90"/>
      <c r="C26" s="91"/>
      <c r="D26" s="77" t="s">
        <v>18</v>
      </c>
      <c r="E26" s="78"/>
      <c r="F26" s="39">
        <f>1000*10</f>
        <v>10000</v>
      </c>
      <c r="G26" s="14"/>
    </row>
    <row r="27" spans="1:7" ht="19.5" customHeight="1">
      <c r="A27" s="58" t="s">
        <v>19</v>
      </c>
      <c r="B27" s="59"/>
      <c r="C27" s="104"/>
      <c r="D27" s="77" t="s">
        <v>20</v>
      </c>
      <c r="E27" s="78"/>
      <c r="F27" s="39">
        <f>F25-F26</f>
        <v>1950000</v>
      </c>
      <c r="G27" s="14"/>
    </row>
    <row r="28" spans="1:7" ht="19.5" customHeight="1">
      <c r="A28" s="58" t="s">
        <v>21</v>
      </c>
      <c r="B28" s="59"/>
      <c r="C28" s="104"/>
      <c r="D28" s="99" t="s">
        <v>22</v>
      </c>
      <c r="E28" s="100"/>
      <c r="F28" s="39">
        <v>256035</v>
      </c>
      <c r="G28" s="15"/>
    </row>
    <row r="29" spans="1:7" ht="19.5" customHeight="1">
      <c r="A29" s="101" t="s">
        <v>23</v>
      </c>
      <c r="B29" s="102"/>
      <c r="C29" s="103"/>
      <c r="D29" s="95" t="s">
        <v>24</v>
      </c>
      <c r="E29" s="96"/>
      <c r="F29" s="105">
        <f>F27+F28</f>
        <v>2206035</v>
      </c>
      <c r="G29" s="14"/>
    </row>
    <row r="30" spans="1:7" ht="19.5" customHeight="1">
      <c r="A30" s="43" t="s">
        <v>1</v>
      </c>
      <c r="B30" s="44"/>
      <c r="C30" s="45"/>
      <c r="D30" s="95"/>
      <c r="E30" s="96"/>
      <c r="F30" s="106"/>
      <c r="G30" s="14"/>
    </row>
    <row r="31" spans="1:7" ht="18" customHeight="1">
      <c r="A31" s="43"/>
      <c r="B31" s="44"/>
      <c r="C31" s="45"/>
      <c r="D31" s="97"/>
      <c r="E31" s="98"/>
      <c r="F31" s="107"/>
      <c r="G31" s="16"/>
    </row>
    <row r="32" spans="1:7" ht="22.9" customHeight="1">
      <c r="A32" s="43"/>
      <c r="B32" s="44"/>
      <c r="C32" s="45"/>
      <c r="D32" s="33"/>
      <c r="E32" s="33"/>
      <c r="F32" s="34"/>
      <c r="G32" s="17"/>
    </row>
    <row r="33" spans="1:7" ht="22.9" customHeight="1">
      <c r="A33" s="46"/>
      <c r="B33" s="47"/>
      <c r="C33" s="48"/>
      <c r="D33" s="35"/>
      <c r="E33" s="35"/>
      <c r="F33" s="36"/>
      <c r="G33" s="17"/>
    </row>
    <row r="34" spans="1:7" ht="9.6" customHeight="1" thickBot="1">
      <c r="A34" s="28"/>
      <c r="B34" s="29"/>
      <c r="C34" s="29"/>
      <c r="D34" s="31"/>
      <c r="E34" s="31"/>
      <c r="F34" s="32"/>
      <c r="G34" s="17"/>
    </row>
    <row r="35" spans="1:7" ht="15.75" customHeight="1">
      <c r="A35" s="30"/>
      <c r="G35" s="18"/>
    </row>
    <row r="36" spans="1:7" ht="15.75" customHeight="1">
      <c r="A36" s="30"/>
      <c r="D36" s="2"/>
      <c r="E36" s="2"/>
      <c r="F36" s="2"/>
      <c r="G36" s="19"/>
    </row>
    <row r="37" spans="1:7" ht="21" customHeight="1">
      <c r="A37" s="20"/>
      <c r="G37" s="20"/>
    </row>
    <row r="38" spans="1:7" ht="15.75" customHeight="1">
      <c r="A38" s="2"/>
      <c r="B38" s="2"/>
      <c r="C38" s="2"/>
      <c r="G38" s="2"/>
    </row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0">
    <mergeCell ref="A28:C28"/>
    <mergeCell ref="D28:E28"/>
    <mergeCell ref="A29:C29"/>
    <mergeCell ref="D29:E31"/>
    <mergeCell ref="F29:F31"/>
    <mergeCell ref="A30:C33"/>
    <mergeCell ref="A25:C25"/>
    <mergeCell ref="D25:E25"/>
    <mergeCell ref="A26:C26"/>
    <mergeCell ref="D26:E26"/>
    <mergeCell ref="A27:C27"/>
    <mergeCell ref="D27:E27"/>
    <mergeCell ref="A22:B22"/>
    <mergeCell ref="D22:E22"/>
    <mergeCell ref="A23:B23"/>
    <mergeCell ref="D23:E23"/>
    <mergeCell ref="A24:B24"/>
    <mergeCell ref="D24:E24"/>
    <mergeCell ref="A19:B19"/>
    <mergeCell ref="D19:E19"/>
    <mergeCell ref="A20:B20"/>
    <mergeCell ref="D20:E20"/>
    <mergeCell ref="A21:B21"/>
    <mergeCell ref="D21:E21"/>
    <mergeCell ref="A16:B16"/>
    <mergeCell ref="D16:E16"/>
    <mergeCell ref="A17:B17"/>
    <mergeCell ref="D17:E17"/>
    <mergeCell ref="A18:B18"/>
    <mergeCell ref="D18:E18"/>
    <mergeCell ref="A13:B13"/>
    <mergeCell ref="D13:E13"/>
    <mergeCell ref="A14:B14"/>
    <mergeCell ref="D14:E14"/>
    <mergeCell ref="A15:B15"/>
    <mergeCell ref="D15:E15"/>
    <mergeCell ref="A3:F3"/>
    <mergeCell ref="A4:F4"/>
    <mergeCell ref="A11:C11"/>
    <mergeCell ref="D11:F11"/>
    <mergeCell ref="A1:F1"/>
    <mergeCell ref="A5:F5"/>
    <mergeCell ref="A6:C7"/>
    <mergeCell ref="D6:F7"/>
    <mergeCell ref="A8:F8"/>
    <mergeCell ref="A9:C9"/>
    <mergeCell ref="D9:F9"/>
    <mergeCell ref="A10:C10"/>
    <mergeCell ref="D10:F10"/>
    <mergeCell ref="A2:F2"/>
  </mergeCells>
  <printOptions horizontalCentered="1" verticalCentered="1"/>
  <pageMargins left="0" right="0" top="0" bottom="0" header="0" footer="0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359D-0A48-4FFC-964B-CB8F97EE3F54}">
  <sheetPr>
    <tabColor rgb="FF8496B0"/>
    <outlinePr summaryBelow="0" summaryRight="0"/>
    <pageSetUpPr fitToPage="1"/>
  </sheetPr>
  <dimension ref="A1:G999"/>
  <sheetViews>
    <sheetView showGridLines="0" topLeftCell="A13" zoomScale="96" workbookViewId="0">
      <selection activeCell="D22" sqref="D22:E22"/>
    </sheetView>
  </sheetViews>
  <sheetFormatPr defaultColWidth="14.42578125" defaultRowHeight="15" customHeight="1"/>
  <cols>
    <col min="1" max="1" width="25.42578125" customWidth="1"/>
    <col min="2" max="2" width="15.5703125" customWidth="1"/>
    <col min="3" max="3" width="43.7109375" customWidth="1"/>
    <col min="4" max="4" width="12.140625" customWidth="1"/>
    <col min="5" max="5" width="15.28515625" customWidth="1"/>
    <col min="6" max="6" width="57.140625" customWidth="1"/>
    <col min="7" max="7" width="7.42578125" customWidth="1"/>
    <col min="8" max="24" width="17.28515625" customWidth="1"/>
  </cols>
  <sheetData>
    <row r="1" spans="1:7" ht="36.6" customHeight="1">
      <c r="A1" s="61" t="s">
        <v>0</v>
      </c>
      <c r="B1" s="62"/>
      <c r="C1" s="62"/>
      <c r="D1" s="62"/>
      <c r="E1" s="62"/>
      <c r="F1" s="63"/>
      <c r="G1" s="1"/>
    </row>
    <row r="2" spans="1:7" ht="20.25" customHeight="1">
      <c r="A2" s="68" t="s">
        <v>1</v>
      </c>
      <c r="B2" s="69"/>
      <c r="C2" s="69"/>
      <c r="D2" s="69"/>
      <c r="E2" s="69"/>
      <c r="F2" s="70"/>
      <c r="G2" s="1"/>
    </row>
    <row r="3" spans="1:7" ht="18.75" customHeight="1">
      <c r="A3" s="71" t="s">
        <v>2</v>
      </c>
      <c r="B3" s="72"/>
      <c r="C3" s="72"/>
      <c r="D3" s="72"/>
      <c r="E3" s="72"/>
      <c r="F3" s="73"/>
      <c r="G3" s="3"/>
    </row>
    <row r="4" spans="1:7" ht="18.75" customHeight="1">
      <c r="A4" s="74" t="s">
        <v>3</v>
      </c>
      <c r="B4" s="75"/>
      <c r="C4" s="75"/>
      <c r="D4" s="75"/>
      <c r="E4" s="75"/>
      <c r="F4" s="76"/>
      <c r="G4" s="3"/>
    </row>
    <row r="5" spans="1:7" ht="4.1500000000000004" customHeight="1">
      <c r="A5" s="112"/>
      <c r="B5" s="113"/>
      <c r="C5" s="113"/>
      <c r="D5" s="113"/>
      <c r="E5" s="113"/>
      <c r="F5" s="114"/>
      <c r="G5" s="5"/>
    </row>
    <row r="6" spans="1:7" ht="17.45" customHeight="1">
      <c r="A6" s="64" t="s">
        <v>35</v>
      </c>
      <c r="B6" s="65"/>
      <c r="C6" s="65"/>
      <c r="D6" s="65" t="s">
        <v>31</v>
      </c>
      <c r="E6" s="65"/>
      <c r="F6" s="93"/>
      <c r="G6" s="6"/>
    </row>
    <row r="7" spans="1:7" ht="16.899999999999999" customHeight="1">
      <c r="A7" s="66"/>
      <c r="B7" s="67"/>
      <c r="C7" s="67"/>
      <c r="D7" s="67"/>
      <c r="E7" s="67"/>
      <c r="F7" s="94"/>
      <c r="G7" s="5"/>
    </row>
    <row r="8" spans="1:7" ht="4.1500000000000004" customHeight="1">
      <c r="A8" s="55"/>
      <c r="B8" s="56"/>
      <c r="C8" s="56"/>
      <c r="D8" s="56"/>
      <c r="E8" s="56"/>
      <c r="F8" s="57"/>
      <c r="G8" s="5"/>
    </row>
    <row r="9" spans="1:7" ht="22.15" customHeight="1">
      <c r="A9" s="50" t="s">
        <v>6</v>
      </c>
      <c r="B9" s="41"/>
      <c r="C9" s="41"/>
      <c r="D9" s="41" t="s">
        <v>7</v>
      </c>
      <c r="E9" s="41"/>
      <c r="F9" s="42"/>
      <c r="G9" s="7"/>
    </row>
    <row r="10" spans="1:7" ht="18" customHeight="1">
      <c r="A10" s="58" t="s">
        <v>36</v>
      </c>
      <c r="B10" s="59"/>
      <c r="C10" s="59"/>
      <c r="D10" s="59" t="s">
        <v>36</v>
      </c>
      <c r="E10" s="59"/>
      <c r="F10" s="60"/>
      <c r="G10" s="4"/>
    </row>
    <row r="11" spans="1:7" ht="18" customHeight="1">
      <c r="A11" s="110" t="s">
        <v>37</v>
      </c>
      <c r="B11" s="108"/>
      <c r="C11" s="108"/>
      <c r="D11" s="108" t="s">
        <v>37</v>
      </c>
      <c r="E11" s="108"/>
      <c r="F11" s="109"/>
      <c r="G11" s="9"/>
    </row>
    <row r="12" spans="1:7" ht="4.1500000000000004" customHeight="1">
      <c r="A12" s="21"/>
      <c r="B12" s="8"/>
      <c r="D12" s="25"/>
      <c r="E12" s="8"/>
      <c r="F12" s="22"/>
      <c r="G12" s="8"/>
    </row>
    <row r="13" spans="1:7" ht="18" customHeight="1">
      <c r="A13" s="49" t="s">
        <v>10</v>
      </c>
      <c r="B13" s="115"/>
      <c r="C13" s="26" t="s">
        <v>11</v>
      </c>
      <c r="D13" s="51" t="s">
        <v>12</v>
      </c>
      <c r="E13" s="115"/>
      <c r="F13" s="27" t="s">
        <v>13</v>
      </c>
      <c r="G13" s="5"/>
    </row>
    <row r="14" spans="1:7" ht="18" customHeight="1">
      <c r="A14" s="92" t="s">
        <v>34</v>
      </c>
      <c r="B14" s="116"/>
      <c r="C14" s="10">
        <v>2000</v>
      </c>
      <c r="D14" s="111">
        <v>1960</v>
      </c>
      <c r="E14" s="120"/>
      <c r="F14" s="40">
        <f>D14*C14</f>
        <v>3920000</v>
      </c>
      <c r="G14" s="11"/>
    </row>
    <row r="15" spans="1:7" ht="18" customHeight="1">
      <c r="A15" s="54"/>
      <c r="B15" s="118"/>
      <c r="C15" s="12"/>
      <c r="D15" s="53"/>
      <c r="E15" s="118"/>
      <c r="F15" s="23"/>
      <c r="G15" s="11"/>
    </row>
    <row r="16" spans="1:7" ht="18" customHeight="1">
      <c r="A16" s="83"/>
      <c r="B16" s="118"/>
      <c r="C16" s="13"/>
      <c r="D16" s="84"/>
      <c r="E16" s="118"/>
      <c r="F16" s="23"/>
      <c r="G16" s="11"/>
    </row>
    <row r="17" spans="1:7" ht="18" customHeight="1">
      <c r="A17" s="54"/>
      <c r="B17" s="118"/>
      <c r="C17" s="12"/>
      <c r="D17" s="53"/>
      <c r="E17" s="118"/>
      <c r="F17" s="23"/>
      <c r="G17" s="11"/>
    </row>
    <row r="18" spans="1:7" ht="18" customHeight="1">
      <c r="A18" s="83"/>
      <c r="B18" s="118"/>
      <c r="C18" s="13"/>
      <c r="D18" s="84"/>
      <c r="E18" s="118"/>
      <c r="F18" s="23"/>
      <c r="G18" s="11"/>
    </row>
    <row r="19" spans="1:7" ht="18" customHeight="1">
      <c r="A19" s="54"/>
      <c r="B19" s="118"/>
      <c r="C19" s="12"/>
      <c r="D19" s="53"/>
      <c r="E19" s="118"/>
      <c r="F19" s="23"/>
      <c r="G19" s="11"/>
    </row>
    <row r="20" spans="1:7" ht="18" customHeight="1">
      <c r="A20" s="83"/>
      <c r="B20" s="118"/>
      <c r="C20" s="13"/>
      <c r="D20" s="84"/>
      <c r="E20" s="118"/>
      <c r="F20" s="23"/>
      <c r="G20" s="11"/>
    </row>
    <row r="21" spans="1:7" ht="18" customHeight="1">
      <c r="A21" s="54"/>
      <c r="B21" s="118"/>
      <c r="C21" s="12"/>
      <c r="D21" s="53"/>
      <c r="E21" s="118"/>
      <c r="F21" s="23"/>
      <c r="G21" s="11"/>
    </row>
    <row r="22" spans="1:7" ht="18" customHeight="1">
      <c r="A22" s="83"/>
      <c r="B22" s="118"/>
      <c r="C22" s="13"/>
      <c r="D22" s="84"/>
      <c r="E22" s="118"/>
      <c r="F22" s="23"/>
      <c r="G22" s="11"/>
    </row>
    <row r="23" spans="1:7" ht="18" customHeight="1">
      <c r="A23" s="54"/>
      <c r="B23" s="118"/>
      <c r="C23" s="12"/>
      <c r="D23" s="53"/>
      <c r="E23" s="118"/>
      <c r="F23" s="23"/>
      <c r="G23" s="11"/>
    </row>
    <row r="24" spans="1:7" ht="18" customHeight="1">
      <c r="A24" s="83"/>
      <c r="B24" s="118"/>
      <c r="C24" s="13"/>
      <c r="D24" s="85"/>
      <c r="E24" s="119"/>
      <c r="F24" s="24"/>
      <c r="G24" s="11"/>
    </row>
    <row r="25" spans="1:7" ht="19.5" customHeight="1">
      <c r="A25" s="81" t="s">
        <v>15</v>
      </c>
      <c r="B25" s="82"/>
      <c r="C25" s="82"/>
      <c r="D25" s="79" t="s">
        <v>16</v>
      </c>
      <c r="E25" s="80"/>
      <c r="F25" s="39">
        <f>F14</f>
        <v>3920000</v>
      </c>
      <c r="G25" s="14"/>
    </row>
    <row r="26" spans="1:7" ht="19.5" customHeight="1">
      <c r="A26" s="89" t="s">
        <v>17</v>
      </c>
      <c r="B26" s="90"/>
      <c r="C26" s="91"/>
      <c r="D26" s="77" t="s">
        <v>18</v>
      </c>
      <c r="E26" s="78"/>
      <c r="F26" s="39">
        <f>2000*10</f>
        <v>20000</v>
      </c>
      <c r="G26" s="14"/>
    </row>
    <row r="27" spans="1:7" ht="19.5" customHeight="1">
      <c r="A27" s="58" t="s">
        <v>19</v>
      </c>
      <c r="B27" s="59"/>
      <c r="C27" s="104"/>
      <c r="D27" s="77" t="s">
        <v>20</v>
      </c>
      <c r="E27" s="78"/>
      <c r="F27" s="39">
        <f>F25-F26</f>
        <v>3900000</v>
      </c>
      <c r="G27" s="14"/>
    </row>
    <row r="28" spans="1:7" ht="19.5" customHeight="1">
      <c r="A28" s="58" t="s">
        <v>21</v>
      </c>
      <c r="B28" s="59"/>
      <c r="C28" s="104"/>
      <c r="D28" s="99" t="s">
        <v>22</v>
      </c>
      <c r="E28" s="100"/>
      <c r="F28" s="39">
        <v>512070</v>
      </c>
      <c r="G28" s="15"/>
    </row>
    <row r="29" spans="1:7" ht="19.5" customHeight="1">
      <c r="A29" s="101" t="s">
        <v>23</v>
      </c>
      <c r="B29" s="102"/>
      <c r="C29" s="103"/>
      <c r="D29" s="95" t="s">
        <v>24</v>
      </c>
      <c r="E29" s="96"/>
      <c r="F29" s="105">
        <f>F27+F28</f>
        <v>4412070</v>
      </c>
      <c r="G29" s="14"/>
    </row>
    <row r="30" spans="1:7" ht="19.5" customHeight="1">
      <c r="A30" s="43" t="s">
        <v>1</v>
      </c>
      <c r="B30" s="44"/>
      <c r="C30" s="45"/>
      <c r="D30" s="95"/>
      <c r="E30" s="96"/>
      <c r="F30" s="106"/>
      <c r="G30" s="14"/>
    </row>
    <row r="31" spans="1:7" ht="18" customHeight="1">
      <c r="A31" s="43"/>
      <c r="B31" s="44"/>
      <c r="C31" s="45"/>
      <c r="D31" s="97"/>
      <c r="E31" s="98"/>
      <c r="F31" s="107"/>
      <c r="G31" s="16"/>
    </row>
    <row r="32" spans="1:7" ht="22.9" customHeight="1">
      <c r="A32" s="43"/>
      <c r="B32" s="44"/>
      <c r="C32" s="45"/>
      <c r="D32" s="33"/>
      <c r="E32" s="33"/>
      <c r="F32" s="34"/>
      <c r="G32" s="17"/>
    </row>
    <row r="33" spans="1:7" ht="22.9" customHeight="1">
      <c r="A33" s="46"/>
      <c r="B33" s="47"/>
      <c r="C33" s="48"/>
      <c r="D33" s="35"/>
      <c r="E33" s="35"/>
      <c r="F33" s="36"/>
      <c r="G33" s="17"/>
    </row>
    <row r="34" spans="1:7" ht="9.6" customHeight="1" thickBot="1">
      <c r="A34" s="28"/>
      <c r="B34" s="29"/>
      <c r="C34" s="29"/>
      <c r="D34" s="31"/>
      <c r="E34" s="31"/>
      <c r="F34" s="32"/>
      <c r="G34" s="17"/>
    </row>
    <row r="35" spans="1:7" ht="15.75" customHeight="1">
      <c r="A35" s="30"/>
      <c r="G35" s="18"/>
    </row>
    <row r="36" spans="1:7" ht="15.75" customHeight="1">
      <c r="A36" s="30"/>
      <c r="D36" s="2"/>
      <c r="E36" s="2"/>
      <c r="F36" s="2"/>
      <c r="G36" s="19"/>
    </row>
    <row r="37" spans="1:7" ht="21" customHeight="1">
      <c r="A37" s="20"/>
      <c r="G37" s="20"/>
    </row>
    <row r="38" spans="1:7" ht="15.75" customHeight="1">
      <c r="A38" s="2"/>
      <c r="B38" s="2"/>
      <c r="C38" s="2"/>
      <c r="G38" s="2"/>
    </row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0">
    <mergeCell ref="A28:C28"/>
    <mergeCell ref="D28:E28"/>
    <mergeCell ref="A29:C29"/>
    <mergeCell ref="D29:E31"/>
    <mergeCell ref="F29:F31"/>
    <mergeCell ref="A30:C33"/>
    <mergeCell ref="A25:C25"/>
    <mergeCell ref="D25:E25"/>
    <mergeCell ref="A26:C26"/>
    <mergeCell ref="D26:E26"/>
    <mergeCell ref="A27:C27"/>
    <mergeCell ref="D27:E27"/>
    <mergeCell ref="A22:B22"/>
    <mergeCell ref="D22:E22"/>
    <mergeCell ref="A23:B23"/>
    <mergeCell ref="D23:E23"/>
    <mergeCell ref="A24:B24"/>
    <mergeCell ref="D24:E24"/>
    <mergeCell ref="A19:B19"/>
    <mergeCell ref="D19:E19"/>
    <mergeCell ref="A20:B20"/>
    <mergeCell ref="D20:E20"/>
    <mergeCell ref="A21:B21"/>
    <mergeCell ref="D21:E21"/>
    <mergeCell ref="A16:B16"/>
    <mergeCell ref="D16:E16"/>
    <mergeCell ref="A17:B17"/>
    <mergeCell ref="D17:E17"/>
    <mergeCell ref="A18:B18"/>
    <mergeCell ref="D18:E18"/>
    <mergeCell ref="A13:B13"/>
    <mergeCell ref="D13:E13"/>
    <mergeCell ref="A14:B14"/>
    <mergeCell ref="D14:E14"/>
    <mergeCell ref="A15:B15"/>
    <mergeCell ref="D15:E15"/>
    <mergeCell ref="A8:F8"/>
    <mergeCell ref="A9:C9"/>
    <mergeCell ref="D9:F9"/>
    <mergeCell ref="D10:F10"/>
    <mergeCell ref="D11:F11"/>
    <mergeCell ref="A10:C10"/>
    <mergeCell ref="A11:C11"/>
    <mergeCell ref="A6:C7"/>
    <mergeCell ref="D6:F7"/>
    <mergeCell ref="A1:F1"/>
    <mergeCell ref="A5:F5"/>
    <mergeCell ref="A2:F2"/>
    <mergeCell ref="A3:F3"/>
    <mergeCell ref="A4:F4"/>
  </mergeCells>
  <printOptions horizontalCentered="1" verticalCentered="1"/>
  <pageMargins left="0" right="0" top="0" bottom="0" header="0" footer="0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3273-5EF6-4206-9F44-CBA5C2E558D5}">
  <sheetPr>
    <tabColor rgb="FF8496B0"/>
    <outlinePr summaryBelow="0" summaryRight="0"/>
    <pageSetUpPr fitToPage="1"/>
  </sheetPr>
  <dimension ref="A1:G999"/>
  <sheetViews>
    <sheetView showGridLines="0" topLeftCell="A10" workbookViewId="0">
      <selection activeCell="D24" sqref="D24:E24"/>
    </sheetView>
  </sheetViews>
  <sheetFormatPr defaultColWidth="14.42578125" defaultRowHeight="15" customHeight="1"/>
  <cols>
    <col min="1" max="1" width="25.42578125" customWidth="1"/>
    <col min="2" max="2" width="15.5703125" customWidth="1"/>
    <col min="3" max="3" width="35.5703125" customWidth="1"/>
    <col min="4" max="4" width="12.140625" customWidth="1"/>
    <col min="5" max="5" width="15.28515625" customWidth="1"/>
    <col min="6" max="6" width="49.85546875" customWidth="1"/>
    <col min="7" max="7" width="7.42578125" customWidth="1"/>
    <col min="8" max="24" width="17.28515625" customWidth="1"/>
  </cols>
  <sheetData>
    <row r="1" spans="1:7" ht="36.6" customHeight="1">
      <c r="A1" s="61" t="s">
        <v>0</v>
      </c>
      <c r="B1" s="62"/>
      <c r="C1" s="62"/>
      <c r="D1" s="62"/>
      <c r="E1" s="62"/>
      <c r="F1" s="63"/>
      <c r="G1" s="1"/>
    </row>
    <row r="2" spans="1:7" ht="20.25" customHeight="1">
      <c r="A2" s="68" t="s">
        <v>1</v>
      </c>
      <c r="B2" s="69"/>
      <c r="C2" s="69"/>
      <c r="D2" s="69"/>
      <c r="E2" s="69"/>
      <c r="F2" s="70"/>
      <c r="G2" s="1"/>
    </row>
    <row r="3" spans="1:7" ht="18.75" customHeight="1">
      <c r="A3" s="71" t="s">
        <v>2</v>
      </c>
      <c r="B3" s="72"/>
      <c r="C3" s="72"/>
      <c r="D3" s="72"/>
      <c r="E3" s="72"/>
      <c r="F3" s="73"/>
      <c r="G3" s="3"/>
    </row>
    <row r="4" spans="1:7" ht="18.75" customHeight="1">
      <c r="A4" s="74" t="s">
        <v>3</v>
      </c>
      <c r="B4" s="75"/>
      <c r="C4" s="75"/>
      <c r="D4" s="75"/>
      <c r="E4" s="75"/>
      <c r="F4" s="76"/>
      <c r="G4" s="3"/>
    </row>
    <row r="5" spans="1:7" ht="4.1500000000000004" customHeight="1">
      <c r="A5" s="112"/>
      <c r="B5" s="113"/>
      <c r="C5" s="113"/>
      <c r="D5" s="113"/>
      <c r="E5" s="113"/>
      <c r="F5" s="114"/>
      <c r="G5" s="5"/>
    </row>
    <row r="6" spans="1:7" ht="17.45" customHeight="1">
      <c r="A6" s="64" t="s">
        <v>38</v>
      </c>
      <c r="B6" s="65"/>
      <c r="C6" s="65"/>
      <c r="D6" s="65" t="s">
        <v>39</v>
      </c>
      <c r="E6" s="65"/>
      <c r="F6" s="93"/>
      <c r="G6" s="6"/>
    </row>
    <row r="7" spans="1:7" ht="16.899999999999999" customHeight="1">
      <c r="A7" s="66"/>
      <c r="B7" s="67"/>
      <c r="C7" s="67"/>
      <c r="D7" s="67"/>
      <c r="E7" s="67"/>
      <c r="F7" s="94"/>
      <c r="G7" s="5"/>
    </row>
    <row r="8" spans="1:7" ht="4.1500000000000004" customHeight="1">
      <c r="A8" s="55"/>
      <c r="B8" s="56"/>
      <c r="C8" s="56"/>
      <c r="D8" s="56"/>
      <c r="E8" s="56"/>
      <c r="F8" s="57"/>
      <c r="G8" s="5"/>
    </row>
    <row r="9" spans="1:7" ht="22.15" customHeight="1">
      <c r="A9" s="50" t="s">
        <v>6</v>
      </c>
      <c r="B9" s="41"/>
      <c r="C9" s="41"/>
      <c r="D9" s="41" t="s">
        <v>7</v>
      </c>
      <c r="E9" s="41"/>
      <c r="F9" s="42"/>
      <c r="G9" s="7"/>
    </row>
    <row r="10" spans="1:7" ht="18" customHeight="1">
      <c r="A10" s="58" t="s">
        <v>8</v>
      </c>
      <c r="B10" s="59"/>
      <c r="C10" s="59"/>
      <c r="D10" s="59" t="s">
        <v>8</v>
      </c>
      <c r="E10" s="59"/>
      <c r="F10" s="60"/>
      <c r="G10" s="4"/>
    </row>
    <row r="11" spans="1:7" ht="18" customHeight="1">
      <c r="A11" s="58" t="s">
        <v>9</v>
      </c>
      <c r="B11" s="59"/>
      <c r="C11" s="59"/>
      <c r="D11" s="59" t="s">
        <v>9</v>
      </c>
      <c r="E11" s="59"/>
      <c r="F11" s="60"/>
      <c r="G11" s="9"/>
    </row>
    <row r="12" spans="1:7" ht="4.1500000000000004" customHeight="1">
      <c r="A12" s="21"/>
      <c r="B12" s="8"/>
      <c r="D12" s="25"/>
      <c r="E12" s="8"/>
      <c r="F12" s="22"/>
      <c r="G12" s="8"/>
    </row>
    <row r="13" spans="1:7" ht="18" customHeight="1">
      <c r="A13" s="49" t="s">
        <v>40</v>
      </c>
      <c r="B13" s="115"/>
      <c r="C13" s="26" t="s">
        <v>41</v>
      </c>
      <c r="D13" s="51" t="s">
        <v>42</v>
      </c>
      <c r="E13" s="115"/>
      <c r="F13" s="27" t="s">
        <v>43</v>
      </c>
      <c r="G13" s="5"/>
    </row>
    <row r="14" spans="1:7" ht="18" customHeight="1">
      <c r="A14" s="92" t="s">
        <v>44</v>
      </c>
      <c r="B14" s="116"/>
      <c r="C14" s="10">
        <v>2000</v>
      </c>
      <c r="D14" s="111">
        <v>2170</v>
      </c>
      <c r="E14" s="120"/>
      <c r="F14" s="40">
        <f>D14*C14</f>
        <v>4340000</v>
      </c>
      <c r="G14" s="11"/>
    </row>
    <row r="15" spans="1:7" ht="18" customHeight="1">
      <c r="A15" s="54"/>
      <c r="B15" s="118"/>
      <c r="C15" s="12"/>
      <c r="D15" s="53"/>
      <c r="E15" s="118"/>
      <c r="F15" s="23"/>
      <c r="G15" s="11"/>
    </row>
    <row r="16" spans="1:7" ht="18" customHeight="1">
      <c r="A16" s="83"/>
      <c r="B16" s="118"/>
      <c r="C16" s="13"/>
      <c r="D16" s="84"/>
      <c r="E16" s="118"/>
      <c r="F16" s="23"/>
      <c r="G16" s="11"/>
    </row>
    <row r="17" spans="1:7" ht="18" customHeight="1">
      <c r="A17" s="54"/>
      <c r="B17" s="118"/>
      <c r="C17" s="12"/>
      <c r="D17" s="53"/>
      <c r="E17" s="118"/>
      <c r="F17" s="23"/>
      <c r="G17" s="11"/>
    </row>
    <row r="18" spans="1:7" ht="18" customHeight="1">
      <c r="A18" s="83"/>
      <c r="B18" s="118"/>
      <c r="C18" s="13"/>
      <c r="D18" s="84"/>
      <c r="E18" s="118"/>
      <c r="F18" s="23"/>
      <c r="G18" s="11"/>
    </row>
    <row r="19" spans="1:7" ht="18" customHeight="1">
      <c r="A19" s="54"/>
      <c r="B19" s="118"/>
      <c r="C19" s="12"/>
      <c r="D19" s="53"/>
      <c r="E19" s="118"/>
      <c r="F19" s="23"/>
      <c r="G19" s="11"/>
    </row>
    <row r="20" spans="1:7" ht="18" customHeight="1">
      <c r="A20" s="83"/>
      <c r="B20" s="118"/>
      <c r="C20" s="13"/>
      <c r="D20" s="84"/>
      <c r="E20" s="118"/>
      <c r="F20" s="23"/>
      <c r="G20" s="11"/>
    </row>
    <row r="21" spans="1:7" ht="18" customHeight="1">
      <c r="A21" s="54"/>
      <c r="B21" s="118"/>
      <c r="C21" s="12"/>
      <c r="D21" s="53"/>
      <c r="E21" s="118"/>
      <c r="F21" s="23"/>
      <c r="G21" s="11"/>
    </row>
    <row r="22" spans="1:7" ht="18" customHeight="1">
      <c r="A22" s="83"/>
      <c r="B22" s="118"/>
      <c r="C22" s="13"/>
      <c r="D22" s="84"/>
      <c r="E22" s="118"/>
      <c r="F22" s="23"/>
      <c r="G22" s="11"/>
    </row>
    <row r="23" spans="1:7" ht="18" customHeight="1">
      <c r="A23" s="54"/>
      <c r="B23" s="118"/>
      <c r="C23" s="12"/>
      <c r="D23" s="53"/>
      <c r="E23" s="118"/>
      <c r="F23" s="23"/>
      <c r="G23" s="11"/>
    </row>
    <row r="24" spans="1:7" ht="18" customHeight="1">
      <c r="A24" s="83"/>
      <c r="B24" s="118"/>
      <c r="C24" s="13"/>
      <c r="D24" s="85"/>
      <c r="E24" s="119"/>
      <c r="F24" s="24"/>
      <c r="G24" s="11"/>
    </row>
    <row r="25" spans="1:7" ht="19.5" customHeight="1">
      <c r="A25" s="81" t="s">
        <v>15</v>
      </c>
      <c r="B25" s="82"/>
      <c r="C25" s="82"/>
      <c r="D25" s="79" t="s">
        <v>16</v>
      </c>
      <c r="E25" s="80"/>
      <c r="F25" s="39">
        <f>F14</f>
        <v>4340000</v>
      </c>
      <c r="G25" s="14"/>
    </row>
    <row r="26" spans="1:7" ht="19.5" customHeight="1">
      <c r="A26" s="89" t="s">
        <v>17</v>
      </c>
      <c r="B26" s="90"/>
      <c r="C26" s="91"/>
      <c r="D26" s="77" t="s">
        <v>18</v>
      </c>
      <c r="E26" s="78"/>
      <c r="F26" s="39">
        <f>2000*15</f>
        <v>30000</v>
      </c>
      <c r="G26" s="14"/>
    </row>
    <row r="27" spans="1:7" ht="19.5" customHeight="1">
      <c r="A27" s="58" t="s">
        <v>19</v>
      </c>
      <c r="B27" s="59"/>
      <c r="C27" s="104"/>
      <c r="D27" s="77" t="s">
        <v>20</v>
      </c>
      <c r="E27" s="78"/>
      <c r="F27" s="39">
        <f>F25-F26</f>
        <v>4310000</v>
      </c>
      <c r="G27" s="14"/>
    </row>
    <row r="28" spans="1:7" ht="19.5" customHeight="1">
      <c r="A28" s="58" t="s">
        <v>21</v>
      </c>
      <c r="B28" s="59"/>
      <c r="C28" s="104"/>
      <c r="D28" s="99" t="s">
        <v>22</v>
      </c>
      <c r="E28" s="100"/>
      <c r="F28" s="39">
        <v>565903</v>
      </c>
      <c r="G28" s="15"/>
    </row>
    <row r="29" spans="1:7" ht="19.5" customHeight="1">
      <c r="A29" s="101" t="s">
        <v>23</v>
      </c>
      <c r="B29" s="102"/>
      <c r="C29" s="103"/>
      <c r="D29" s="95" t="s">
        <v>24</v>
      </c>
      <c r="E29" s="96"/>
      <c r="F29" s="105">
        <f>F27+F28</f>
        <v>4875903</v>
      </c>
      <c r="G29" s="14"/>
    </row>
    <row r="30" spans="1:7" ht="19.5" customHeight="1">
      <c r="A30" s="43" t="s">
        <v>1</v>
      </c>
      <c r="B30" s="44"/>
      <c r="C30" s="45"/>
      <c r="D30" s="95"/>
      <c r="E30" s="96"/>
      <c r="F30" s="106"/>
      <c r="G30" s="14"/>
    </row>
    <row r="31" spans="1:7" ht="18" customHeight="1">
      <c r="A31" s="43"/>
      <c r="B31" s="44"/>
      <c r="C31" s="45"/>
      <c r="D31" s="97"/>
      <c r="E31" s="98"/>
      <c r="F31" s="107"/>
      <c r="G31" s="16"/>
    </row>
    <row r="32" spans="1:7" ht="22.9" customHeight="1">
      <c r="A32" s="43"/>
      <c r="B32" s="44"/>
      <c r="C32" s="45"/>
      <c r="D32" s="33"/>
      <c r="E32" s="33"/>
      <c r="F32" s="34"/>
      <c r="G32" s="17"/>
    </row>
    <row r="33" spans="1:7" ht="22.9" customHeight="1">
      <c r="A33" s="46"/>
      <c r="B33" s="47"/>
      <c r="C33" s="48"/>
      <c r="D33" s="35"/>
      <c r="E33" s="35"/>
      <c r="F33" s="36"/>
      <c r="G33" s="17"/>
    </row>
    <row r="34" spans="1:7" ht="9.6" customHeight="1" thickBot="1">
      <c r="A34" s="28"/>
      <c r="B34" s="29"/>
      <c r="C34" s="29"/>
      <c r="D34" s="31"/>
      <c r="E34" s="31"/>
      <c r="F34" s="32"/>
      <c r="G34" s="17"/>
    </row>
    <row r="35" spans="1:7" ht="15.75" customHeight="1">
      <c r="A35" s="30"/>
      <c r="G35" s="18"/>
    </row>
    <row r="36" spans="1:7" ht="15.75" customHeight="1">
      <c r="A36" s="30"/>
      <c r="D36" s="2"/>
      <c r="E36" s="2"/>
      <c r="F36" s="2"/>
      <c r="G36" s="19"/>
    </row>
    <row r="37" spans="1:7" ht="21" customHeight="1">
      <c r="A37" s="20"/>
      <c r="G37" s="20"/>
    </row>
    <row r="38" spans="1:7" ht="15.75" customHeight="1">
      <c r="A38" s="2"/>
      <c r="B38" s="2"/>
      <c r="C38" s="2"/>
      <c r="G38" s="2"/>
    </row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0">
    <mergeCell ref="A28:C28"/>
    <mergeCell ref="D28:E28"/>
    <mergeCell ref="A29:C29"/>
    <mergeCell ref="D29:E31"/>
    <mergeCell ref="F29:F31"/>
    <mergeCell ref="A30:C33"/>
    <mergeCell ref="A25:C25"/>
    <mergeCell ref="D25:E25"/>
    <mergeCell ref="A26:C26"/>
    <mergeCell ref="D26:E26"/>
    <mergeCell ref="A27:C27"/>
    <mergeCell ref="D27:E27"/>
    <mergeCell ref="A22:B22"/>
    <mergeCell ref="D22:E22"/>
    <mergeCell ref="A23:B23"/>
    <mergeCell ref="D23:E23"/>
    <mergeCell ref="A24:B24"/>
    <mergeCell ref="D24:E24"/>
    <mergeCell ref="A19:B19"/>
    <mergeCell ref="D19:E19"/>
    <mergeCell ref="A20:B20"/>
    <mergeCell ref="D20:E20"/>
    <mergeCell ref="A21:B21"/>
    <mergeCell ref="D21:E21"/>
    <mergeCell ref="A16:B16"/>
    <mergeCell ref="D16:E16"/>
    <mergeCell ref="A17:B17"/>
    <mergeCell ref="D17:E17"/>
    <mergeCell ref="A18:B18"/>
    <mergeCell ref="D18:E18"/>
    <mergeCell ref="A13:B13"/>
    <mergeCell ref="D13:E13"/>
    <mergeCell ref="A14:B14"/>
    <mergeCell ref="D14:E14"/>
    <mergeCell ref="A15:B15"/>
    <mergeCell ref="D15:E15"/>
    <mergeCell ref="A4:F4"/>
    <mergeCell ref="A11:C11"/>
    <mergeCell ref="D11:F11"/>
    <mergeCell ref="A1:F1"/>
    <mergeCell ref="A5:F5"/>
    <mergeCell ref="A6:C7"/>
    <mergeCell ref="D6:F7"/>
    <mergeCell ref="A8:F8"/>
    <mergeCell ref="A9:C9"/>
    <mergeCell ref="D9:F9"/>
    <mergeCell ref="A10:C10"/>
    <mergeCell ref="D10:F10"/>
    <mergeCell ref="A2:F2"/>
    <mergeCell ref="A3:F3"/>
  </mergeCells>
  <printOptions horizontalCentered="1" verticalCentered="1"/>
  <pageMargins left="0" right="0" top="0" bottom="0" header="0" footer="0"/>
  <pageSetup paperSize="9" scale="9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BEC6-EB62-47D8-BD55-41C60F413781}">
  <sheetPr>
    <tabColor rgb="FF8496B0"/>
    <outlinePr summaryBelow="0" summaryRight="0"/>
    <pageSetUpPr fitToPage="1"/>
  </sheetPr>
  <dimension ref="A1:G999"/>
  <sheetViews>
    <sheetView showGridLines="0" topLeftCell="A14" workbookViewId="0">
      <selection activeCell="D23" sqref="D23:E23"/>
    </sheetView>
  </sheetViews>
  <sheetFormatPr defaultColWidth="14.42578125" defaultRowHeight="15" customHeight="1"/>
  <cols>
    <col min="1" max="1" width="25.42578125" customWidth="1"/>
    <col min="2" max="2" width="15.5703125" customWidth="1"/>
    <col min="3" max="3" width="33.7109375" customWidth="1"/>
    <col min="4" max="4" width="12.140625" customWidth="1"/>
    <col min="5" max="5" width="15.28515625" customWidth="1"/>
    <col min="6" max="6" width="47.140625" customWidth="1"/>
    <col min="7" max="7" width="7.42578125" customWidth="1"/>
    <col min="8" max="24" width="17.28515625" customWidth="1"/>
  </cols>
  <sheetData>
    <row r="1" spans="1:7" ht="36.6" customHeight="1">
      <c r="A1" s="61" t="s">
        <v>0</v>
      </c>
      <c r="B1" s="62"/>
      <c r="C1" s="62"/>
      <c r="D1" s="62"/>
      <c r="E1" s="62"/>
      <c r="F1" s="63"/>
      <c r="G1" s="1"/>
    </row>
    <row r="2" spans="1:7" ht="20.25" customHeight="1">
      <c r="A2" s="68" t="s">
        <v>1</v>
      </c>
      <c r="B2" s="69"/>
      <c r="C2" s="69"/>
      <c r="D2" s="69"/>
      <c r="E2" s="69"/>
      <c r="F2" s="70"/>
      <c r="G2" s="1"/>
    </row>
    <row r="3" spans="1:7" ht="18.75" customHeight="1">
      <c r="A3" s="71" t="s">
        <v>2</v>
      </c>
      <c r="B3" s="72"/>
      <c r="C3" s="72"/>
      <c r="D3" s="72"/>
      <c r="E3" s="72"/>
      <c r="F3" s="73"/>
      <c r="G3" s="3"/>
    </row>
    <row r="4" spans="1:7" ht="18.75" customHeight="1">
      <c r="A4" s="74" t="s">
        <v>3</v>
      </c>
      <c r="B4" s="75"/>
      <c r="C4" s="75"/>
      <c r="D4" s="75"/>
      <c r="E4" s="75"/>
      <c r="F4" s="76"/>
      <c r="G4" s="3"/>
    </row>
    <row r="5" spans="1:7" ht="4.1500000000000004" customHeight="1">
      <c r="A5" s="112"/>
      <c r="B5" s="113"/>
      <c r="C5" s="113"/>
      <c r="D5" s="113"/>
      <c r="E5" s="113"/>
      <c r="F5" s="114"/>
      <c r="G5" s="5"/>
    </row>
    <row r="6" spans="1:7" ht="17.45" customHeight="1">
      <c r="A6" s="64" t="s">
        <v>45</v>
      </c>
      <c r="B6" s="65"/>
      <c r="C6" s="65"/>
      <c r="D6" s="65" t="s">
        <v>46</v>
      </c>
      <c r="E6" s="65"/>
      <c r="F6" s="93"/>
      <c r="G6" s="6"/>
    </row>
    <row r="7" spans="1:7" ht="16.899999999999999" customHeight="1">
      <c r="A7" s="66"/>
      <c r="B7" s="67"/>
      <c r="C7" s="67"/>
      <c r="D7" s="67"/>
      <c r="E7" s="67"/>
      <c r="F7" s="94"/>
      <c r="G7" s="5"/>
    </row>
    <row r="8" spans="1:7" ht="4.1500000000000004" customHeight="1">
      <c r="A8" s="55"/>
      <c r="B8" s="56"/>
      <c r="C8" s="56"/>
      <c r="D8" s="56"/>
      <c r="E8" s="56"/>
      <c r="F8" s="57"/>
      <c r="G8" s="5"/>
    </row>
    <row r="9" spans="1:7" ht="22.15" customHeight="1">
      <c r="A9" s="50" t="s">
        <v>6</v>
      </c>
      <c r="B9" s="41"/>
      <c r="C9" s="41"/>
      <c r="D9" s="41" t="s">
        <v>7</v>
      </c>
      <c r="E9" s="41"/>
      <c r="F9" s="42"/>
      <c r="G9" s="7"/>
    </row>
    <row r="10" spans="1:7" ht="18" customHeight="1">
      <c r="A10" s="58" t="s">
        <v>27</v>
      </c>
      <c r="B10" s="59"/>
      <c r="C10" s="59"/>
      <c r="D10" s="59" t="s">
        <v>27</v>
      </c>
      <c r="E10" s="59"/>
      <c r="F10" s="60"/>
      <c r="G10" s="4"/>
    </row>
    <row r="11" spans="1:7" ht="18" customHeight="1">
      <c r="A11" s="58" t="s">
        <v>28</v>
      </c>
      <c r="B11" s="59"/>
      <c r="C11" s="59"/>
      <c r="D11" s="59" t="s">
        <v>28</v>
      </c>
      <c r="E11" s="59"/>
      <c r="F11" s="60"/>
      <c r="G11" s="9"/>
    </row>
    <row r="12" spans="1:7" ht="4.1500000000000004" customHeight="1">
      <c r="A12" s="21"/>
      <c r="B12" s="8"/>
      <c r="D12" s="25"/>
      <c r="E12" s="8"/>
      <c r="F12" s="22"/>
      <c r="G12" s="8"/>
    </row>
    <row r="13" spans="1:7" ht="18" customHeight="1">
      <c r="A13" s="49" t="s">
        <v>10</v>
      </c>
      <c r="B13" s="115"/>
      <c r="C13" s="26" t="s">
        <v>11</v>
      </c>
      <c r="D13" s="51" t="s">
        <v>12</v>
      </c>
      <c r="E13" s="115"/>
      <c r="F13" s="27" t="s">
        <v>13</v>
      </c>
      <c r="G13" s="5"/>
    </row>
    <row r="14" spans="1:7" ht="18" customHeight="1">
      <c r="A14" s="92" t="s">
        <v>47</v>
      </c>
      <c r="B14" s="116"/>
      <c r="C14" s="10">
        <v>1</v>
      </c>
      <c r="D14" s="111">
        <v>85313</v>
      </c>
      <c r="E14" s="120"/>
      <c r="F14" s="40">
        <f>D14*C14</f>
        <v>85313</v>
      </c>
      <c r="G14" s="11"/>
    </row>
    <row r="15" spans="1:7" ht="18" customHeight="1">
      <c r="A15" s="54"/>
      <c r="B15" s="118"/>
      <c r="C15" s="12"/>
      <c r="D15" s="53"/>
      <c r="E15" s="118"/>
      <c r="F15" s="23"/>
      <c r="G15" s="11"/>
    </row>
    <row r="16" spans="1:7" ht="18" customHeight="1">
      <c r="A16" s="83"/>
      <c r="B16" s="118"/>
      <c r="C16" s="13"/>
      <c r="D16" s="84"/>
      <c r="E16" s="118"/>
      <c r="F16" s="23"/>
      <c r="G16" s="11"/>
    </row>
    <row r="17" spans="1:7" ht="18" customHeight="1">
      <c r="A17" s="54"/>
      <c r="B17" s="118"/>
      <c r="C17" s="12"/>
      <c r="D17" s="53"/>
      <c r="E17" s="118"/>
      <c r="F17" s="23"/>
      <c r="G17" s="11"/>
    </row>
    <row r="18" spans="1:7" ht="18" customHeight="1">
      <c r="A18" s="83"/>
      <c r="B18" s="118"/>
      <c r="C18" s="13"/>
      <c r="D18" s="84"/>
      <c r="E18" s="118"/>
      <c r="F18" s="23"/>
      <c r="G18" s="11"/>
    </row>
    <row r="19" spans="1:7" ht="18" customHeight="1">
      <c r="A19" s="54"/>
      <c r="B19" s="118"/>
      <c r="C19" s="12"/>
      <c r="D19" s="53"/>
      <c r="E19" s="118"/>
      <c r="F19" s="23"/>
      <c r="G19" s="11"/>
    </row>
    <row r="20" spans="1:7" ht="18" customHeight="1">
      <c r="A20" s="83"/>
      <c r="B20" s="118"/>
      <c r="C20" s="13"/>
      <c r="D20" s="84"/>
      <c r="E20" s="118"/>
      <c r="F20" s="23"/>
      <c r="G20" s="11"/>
    </row>
    <row r="21" spans="1:7" ht="18" customHeight="1">
      <c r="A21" s="54"/>
      <c r="B21" s="118"/>
      <c r="C21" s="12"/>
      <c r="D21" s="53"/>
      <c r="E21" s="118"/>
      <c r="F21" s="23"/>
      <c r="G21" s="11"/>
    </row>
    <row r="22" spans="1:7" ht="18" customHeight="1">
      <c r="A22" s="83"/>
      <c r="B22" s="118"/>
      <c r="C22" s="13"/>
      <c r="D22" s="84"/>
      <c r="E22" s="118"/>
      <c r="F22" s="23"/>
      <c r="G22" s="11"/>
    </row>
    <row r="23" spans="1:7" ht="18" customHeight="1">
      <c r="A23" s="54"/>
      <c r="B23" s="118"/>
      <c r="C23" s="12"/>
      <c r="D23" s="53"/>
      <c r="E23" s="118"/>
      <c r="F23" s="23"/>
      <c r="G23" s="11"/>
    </row>
    <row r="24" spans="1:7" ht="18" customHeight="1">
      <c r="A24" s="83"/>
      <c r="B24" s="118"/>
      <c r="C24" s="13"/>
      <c r="D24" s="85"/>
      <c r="E24" s="119"/>
      <c r="F24" s="24"/>
      <c r="G24" s="11"/>
    </row>
    <row r="25" spans="1:7" ht="19.5" customHeight="1">
      <c r="A25" s="81" t="s">
        <v>15</v>
      </c>
      <c r="B25" s="82"/>
      <c r="C25" s="82"/>
      <c r="D25" s="79" t="s">
        <v>16</v>
      </c>
      <c r="E25" s="80"/>
      <c r="F25" s="39">
        <f>F14</f>
        <v>85313</v>
      </c>
      <c r="G25" s="14"/>
    </row>
    <row r="26" spans="1:7" ht="19.5" customHeight="1">
      <c r="A26" s="89" t="s">
        <v>17</v>
      </c>
      <c r="B26" s="90"/>
      <c r="C26" s="91"/>
      <c r="D26" s="77" t="s">
        <v>18</v>
      </c>
      <c r="E26" s="78"/>
      <c r="F26" s="39">
        <v>5100</v>
      </c>
      <c r="G26" s="14"/>
    </row>
    <row r="27" spans="1:7" ht="19.5" customHeight="1">
      <c r="A27" s="58" t="s">
        <v>19</v>
      </c>
      <c r="B27" s="59"/>
      <c r="C27" s="104"/>
      <c r="D27" s="77" t="s">
        <v>20</v>
      </c>
      <c r="E27" s="78"/>
      <c r="F27" s="39">
        <f>F25-F26</f>
        <v>80213</v>
      </c>
      <c r="G27" s="14"/>
    </row>
    <row r="28" spans="1:7" ht="19.5" customHeight="1">
      <c r="A28" s="58" t="s">
        <v>21</v>
      </c>
      <c r="B28" s="59"/>
      <c r="C28" s="104"/>
      <c r="D28" s="99" t="s">
        <v>22</v>
      </c>
      <c r="E28" s="100"/>
      <c r="F28" s="39">
        <v>12152</v>
      </c>
      <c r="G28" s="15"/>
    </row>
    <row r="29" spans="1:7" ht="19.5" customHeight="1">
      <c r="A29" s="101" t="s">
        <v>23</v>
      </c>
      <c r="B29" s="102"/>
      <c r="C29" s="103"/>
      <c r="D29" s="95" t="s">
        <v>24</v>
      </c>
      <c r="E29" s="96"/>
      <c r="F29" s="105">
        <f>F27+F28</f>
        <v>92365</v>
      </c>
      <c r="G29" s="14"/>
    </row>
    <row r="30" spans="1:7" ht="19.5" customHeight="1">
      <c r="A30" s="43" t="s">
        <v>1</v>
      </c>
      <c r="B30" s="44"/>
      <c r="C30" s="45"/>
      <c r="D30" s="95"/>
      <c r="E30" s="96"/>
      <c r="F30" s="106"/>
      <c r="G30" s="14"/>
    </row>
    <row r="31" spans="1:7" ht="18" customHeight="1">
      <c r="A31" s="43"/>
      <c r="B31" s="44"/>
      <c r="C31" s="45"/>
      <c r="D31" s="97"/>
      <c r="E31" s="98"/>
      <c r="F31" s="107"/>
      <c r="G31" s="16"/>
    </row>
    <row r="32" spans="1:7" ht="22.9" customHeight="1">
      <c r="A32" s="43"/>
      <c r="B32" s="44"/>
      <c r="C32" s="45"/>
      <c r="D32" s="33"/>
      <c r="E32" s="33"/>
      <c r="F32" s="34"/>
      <c r="G32" s="17"/>
    </row>
    <row r="33" spans="1:7" ht="22.9" customHeight="1">
      <c r="A33" s="46"/>
      <c r="B33" s="47"/>
      <c r="C33" s="48"/>
      <c r="D33" s="35"/>
      <c r="E33" s="35"/>
      <c r="F33" s="36"/>
      <c r="G33" s="17"/>
    </row>
    <row r="34" spans="1:7" ht="9.6" customHeight="1" thickBot="1">
      <c r="A34" s="28"/>
      <c r="B34" s="29"/>
      <c r="C34" s="29"/>
      <c r="D34" s="31"/>
      <c r="E34" s="31"/>
      <c r="F34" s="32"/>
      <c r="G34" s="17"/>
    </row>
    <row r="35" spans="1:7" ht="15.75" customHeight="1">
      <c r="A35" s="30"/>
      <c r="G35" s="18"/>
    </row>
    <row r="36" spans="1:7" ht="15.75" customHeight="1">
      <c r="A36" s="30"/>
      <c r="D36" s="2"/>
      <c r="E36" s="2"/>
      <c r="F36" s="2"/>
      <c r="G36" s="19"/>
    </row>
    <row r="37" spans="1:7" ht="21" customHeight="1">
      <c r="A37" s="20"/>
      <c r="G37" s="20"/>
    </row>
    <row r="38" spans="1:7" ht="15.75" customHeight="1">
      <c r="A38" s="2"/>
      <c r="B38" s="2"/>
      <c r="C38" s="2"/>
      <c r="G38" s="2"/>
    </row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0">
    <mergeCell ref="A28:C28"/>
    <mergeCell ref="D28:E28"/>
    <mergeCell ref="A29:C29"/>
    <mergeCell ref="D29:E31"/>
    <mergeCell ref="F29:F31"/>
    <mergeCell ref="A30:C33"/>
    <mergeCell ref="A25:C25"/>
    <mergeCell ref="D25:E25"/>
    <mergeCell ref="A26:C26"/>
    <mergeCell ref="D26:E26"/>
    <mergeCell ref="A27:C27"/>
    <mergeCell ref="D27:E27"/>
    <mergeCell ref="A22:B22"/>
    <mergeCell ref="D22:E22"/>
    <mergeCell ref="A23:B23"/>
    <mergeCell ref="D23:E23"/>
    <mergeCell ref="A24:B24"/>
    <mergeCell ref="D24:E24"/>
    <mergeCell ref="A19:B19"/>
    <mergeCell ref="D19:E19"/>
    <mergeCell ref="A20:B20"/>
    <mergeCell ref="D20:E20"/>
    <mergeCell ref="A21:B21"/>
    <mergeCell ref="D21:E21"/>
    <mergeCell ref="A16:B16"/>
    <mergeCell ref="D16:E16"/>
    <mergeCell ref="A17:B17"/>
    <mergeCell ref="D17:E17"/>
    <mergeCell ref="A18:B18"/>
    <mergeCell ref="D18:E18"/>
    <mergeCell ref="A13:B13"/>
    <mergeCell ref="D13:E13"/>
    <mergeCell ref="A14:B14"/>
    <mergeCell ref="D14:E14"/>
    <mergeCell ref="A15:B15"/>
    <mergeCell ref="D15:E15"/>
    <mergeCell ref="A4:F4"/>
    <mergeCell ref="A11:C11"/>
    <mergeCell ref="D11:F11"/>
    <mergeCell ref="A1:F1"/>
    <mergeCell ref="A5:F5"/>
    <mergeCell ref="A6:C7"/>
    <mergeCell ref="D6:F7"/>
    <mergeCell ref="A8:F8"/>
    <mergeCell ref="A9:C9"/>
    <mergeCell ref="D9:F9"/>
    <mergeCell ref="A10:C10"/>
    <mergeCell ref="D10:F10"/>
    <mergeCell ref="A2:F2"/>
    <mergeCell ref="A3:F3"/>
  </mergeCells>
  <printOptions horizontalCentered="1" verticalCentered="1"/>
  <pageMargins left="0" right="0" top="0" bottom="0" header="0" footer="0"/>
  <pageSetup paperSize="9" scale="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3D71-C666-44BB-BF2E-DB530F2A5D8A}">
  <sheetPr>
    <tabColor rgb="FF8496B0"/>
    <outlinePr summaryBelow="0" summaryRight="0"/>
    <pageSetUpPr fitToPage="1"/>
  </sheetPr>
  <dimension ref="A1:G999"/>
  <sheetViews>
    <sheetView showGridLines="0" topLeftCell="A11" workbookViewId="0">
      <selection activeCell="A13" sqref="A13:F13"/>
    </sheetView>
  </sheetViews>
  <sheetFormatPr defaultColWidth="14.42578125" defaultRowHeight="15" customHeight="1"/>
  <cols>
    <col min="1" max="1" width="25.42578125" customWidth="1"/>
    <col min="2" max="2" width="15.5703125" customWidth="1"/>
    <col min="3" max="3" width="33" customWidth="1"/>
    <col min="4" max="4" width="12.140625" customWidth="1"/>
    <col min="5" max="5" width="15.28515625" customWidth="1"/>
    <col min="6" max="6" width="47" customWidth="1"/>
    <col min="7" max="7" width="7.42578125" customWidth="1"/>
    <col min="8" max="24" width="17.28515625" customWidth="1"/>
  </cols>
  <sheetData>
    <row r="1" spans="1:7" ht="36.6" customHeight="1">
      <c r="A1" s="61" t="s">
        <v>0</v>
      </c>
      <c r="B1" s="62"/>
      <c r="C1" s="62"/>
      <c r="D1" s="62"/>
      <c r="E1" s="62"/>
      <c r="F1" s="63"/>
      <c r="G1" s="1"/>
    </row>
    <row r="2" spans="1:7" ht="20.25" customHeight="1">
      <c r="A2" s="68" t="s">
        <v>1</v>
      </c>
      <c r="B2" s="69"/>
      <c r="C2" s="69"/>
      <c r="D2" s="69"/>
      <c r="E2" s="69"/>
      <c r="F2" s="70"/>
      <c r="G2" s="1"/>
    </row>
    <row r="3" spans="1:7" ht="18.75" customHeight="1">
      <c r="A3" s="71" t="s">
        <v>2</v>
      </c>
      <c r="B3" s="72"/>
      <c r="C3" s="72"/>
      <c r="D3" s="72"/>
      <c r="E3" s="72"/>
      <c r="F3" s="73"/>
      <c r="G3" s="3"/>
    </row>
    <row r="4" spans="1:7" ht="18.75" customHeight="1">
      <c r="A4" s="74" t="s">
        <v>3</v>
      </c>
      <c r="B4" s="75"/>
      <c r="C4" s="75"/>
      <c r="D4" s="75"/>
      <c r="E4" s="75"/>
      <c r="F4" s="76"/>
      <c r="G4" s="3"/>
    </row>
    <row r="5" spans="1:7" ht="4.1500000000000004" customHeight="1">
      <c r="A5" s="112"/>
      <c r="B5" s="113"/>
      <c r="C5" s="113"/>
      <c r="D5" s="113"/>
      <c r="E5" s="113"/>
      <c r="F5" s="114"/>
      <c r="G5" s="5"/>
    </row>
    <row r="6" spans="1:7" ht="17.45" customHeight="1">
      <c r="A6" s="64" t="s">
        <v>48</v>
      </c>
      <c r="B6" s="65"/>
      <c r="C6" s="65"/>
      <c r="D6" s="65" t="s">
        <v>49</v>
      </c>
      <c r="E6" s="65"/>
      <c r="F6" s="93"/>
      <c r="G6" s="6"/>
    </row>
    <row r="7" spans="1:7" ht="16.899999999999999" customHeight="1">
      <c r="A7" s="66"/>
      <c r="B7" s="67"/>
      <c r="C7" s="67"/>
      <c r="D7" s="67"/>
      <c r="E7" s="67"/>
      <c r="F7" s="94"/>
      <c r="G7" s="5"/>
    </row>
    <row r="8" spans="1:7" ht="4.1500000000000004" customHeight="1">
      <c r="A8" s="55"/>
      <c r="B8" s="56"/>
      <c r="C8" s="56"/>
      <c r="D8" s="56"/>
      <c r="E8" s="56"/>
      <c r="F8" s="57"/>
      <c r="G8" s="5"/>
    </row>
    <row r="9" spans="1:7" ht="22.15" customHeight="1">
      <c r="A9" s="50" t="s">
        <v>6</v>
      </c>
      <c r="B9" s="41"/>
      <c r="C9" s="41"/>
      <c r="D9" s="41" t="s">
        <v>7</v>
      </c>
      <c r="E9" s="41"/>
      <c r="F9" s="42"/>
      <c r="G9" s="7"/>
    </row>
    <row r="10" spans="1:7" ht="18" customHeight="1">
      <c r="A10" s="58" t="s">
        <v>27</v>
      </c>
      <c r="B10" s="59"/>
      <c r="C10" s="59"/>
      <c r="D10" s="59" t="s">
        <v>27</v>
      </c>
      <c r="E10" s="59"/>
      <c r="F10" s="60"/>
      <c r="G10" s="4"/>
    </row>
    <row r="11" spans="1:7" ht="18" customHeight="1">
      <c r="A11" s="58" t="s">
        <v>28</v>
      </c>
      <c r="B11" s="59"/>
      <c r="C11" s="59"/>
      <c r="D11" s="59" t="s">
        <v>28</v>
      </c>
      <c r="E11" s="59"/>
      <c r="F11" s="60"/>
      <c r="G11" s="9"/>
    </row>
    <row r="12" spans="1:7" ht="4.1500000000000004" customHeight="1">
      <c r="A12" s="21"/>
      <c r="B12" s="8"/>
      <c r="D12" s="25"/>
      <c r="E12" s="8"/>
      <c r="F12" s="22"/>
      <c r="G12" s="8"/>
    </row>
    <row r="13" spans="1:7" ht="18" customHeight="1">
      <c r="A13" s="49" t="s">
        <v>10</v>
      </c>
      <c r="B13" s="115"/>
      <c r="C13" s="26" t="s">
        <v>11</v>
      </c>
      <c r="D13" s="51" t="s">
        <v>12</v>
      </c>
      <c r="E13" s="115"/>
      <c r="F13" s="27" t="s">
        <v>13</v>
      </c>
      <c r="G13" s="5"/>
    </row>
    <row r="14" spans="1:7" ht="18" customHeight="1">
      <c r="A14" s="92" t="s">
        <v>50</v>
      </c>
      <c r="B14" s="116"/>
      <c r="C14" s="10">
        <v>2000</v>
      </c>
      <c r="D14" s="111">
        <v>2220</v>
      </c>
      <c r="E14" s="120"/>
      <c r="F14" s="40">
        <f>D14*C14</f>
        <v>4440000</v>
      </c>
      <c r="G14" s="11"/>
    </row>
    <row r="15" spans="1:7" ht="18" customHeight="1">
      <c r="A15" s="54"/>
      <c r="B15" s="118"/>
      <c r="C15" s="12"/>
      <c r="D15" s="53"/>
      <c r="E15" s="118"/>
      <c r="F15" s="23"/>
      <c r="G15" s="11"/>
    </row>
    <row r="16" spans="1:7" ht="18" customHeight="1">
      <c r="A16" s="83"/>
      <c r="B16" s="118"/>
      <c r="C16" s="13"/>
      <c r="D16" s="84"/>
      <c r="E16" s="118"/>
      <c r="F16" s="23"/>
      <c r="G16" s="11"/>
    </row>
    <row r="17" spans="1:7" ht="18" customHeight="1">
      <c r="A17" s="54"/>
      <c r="B17" s="118"/>
      <c r="C17" s="12"/>
      <c r="D17" s="53"/>
      <c r="E17" s="118"/>
      <c r="F17" s="23"/>
      <c r="G17" s="11"/>
    </row>
    <row r="18" spans="1:7" ht="18" customHeight="1">
      <c r="A18" s="83"/>
      <c r="B18" s="118"/>
      <c r="C18" s="13"/>
      <c r="D18" s="84"/>
      <c r="E18" s="118"/>
      <c r="F18" s="23"/>
      <c r="G18" s="11"/>
    </row>
    <row r="19" spans="1:7" ht="18" customHeight="1">
      <c r="A19" s="54"/>
      <c r="B19" s="118"/>
      <c r="C19" s="12"/>
      <c r="D19" s="53"/>
      <c r="E19" s="118"/>
      <c r="F19" s="23"/>
      <c r="G19" s="11"/>
    </row>
    <row r="20" spans="1:7" ht="18" customHeight="1">
      <c r="A20" s="83"/>
      <c r="B20" s="118"/>
      <c r="C20" s="13"/>
      <c r="D20" s="84"/>
      <c r="E20" s="118"/>
      <c r="F20" s="23"/>
      <c r="G20" s="11"/>
    </row>
    <row r="21" spans="1:7" ht="18" customHeight="1">
      <c r="A21" s="54"/>
      <c r="B21" s="118"/>
      <c r="C21" s="12"/>
      <c r="D21" s="53"/>
      <c r="E21" s="118"/>
      <c r="F21" s="23"/>
      <c r="G21" s="11"/>
    </row>
    <row r="22" spans="1:7" ht="18" customHeight="1">
      <c r="A22" s="83"/>
      <c r="B22" s="118"/>
      <c r="C22" s="13"/>
      <c r="D22" s="84"/>
      <c r="E22" s="118"/>
      <c r="F22" s="23"/>
      <c r="G22" s="11"/>
    </row>
    <row r="23" spans="1:7" ht="18" customHeight="1">
      <c r="A23" s="54"/>
      <c r="B23" s="118"/>
      <c r="C23" s="12"/>
      <c r="D23" s="53"/>
      <c r="E23" s="118"/>
      <c r="F23" s="23"/>
      <c r="G23" s="11"/>
    </row>
    <row r="24" spans="1:7" ht="18" customHeight="1">
      <c r="A24" s="83"/>
      <c r="B24" s="118"/>
      <c r="C24" s="13"/>
      <c r="D24" s="85"/>
      <c r="E24" s="119"/>
      <c r="F24" s="24"/>
      <c r="G24" s="11"/>
    </row>
    <row r="25" spans="1:7" ht="19.5" customHeight="1">
      <c r="A25" s="81" t="s">
        <v>15</v>
      </c>
      <c r="B25" s="82"/>
      <c r="C25" s="82"/>
      <c r="D25" s="79" t="s">
        <v>16</v>
      </c>
      <c r="E25" s="80"/>
      <c r="F25" s="39">
        <f>F14</f>
        <v>4440000</v>
      </c>
      <c r="G25" s="14"/>
    </row>
    <row r="26" spans="1:7" ht="19.5" customHeight="1">
      <c r="A26" s="89" t="s">
        <v>17</v>
      </c>
      <c r="B26" s="90"/>
      <c r="C26" s="91"/>
      <c r="D26" s="77" t="s">
        <v>18</v>
      </c>
      <c r="E26" s="78"/>
      <c r="F26" s="39">
        <f>2000*18</f>
        <v>36000</v>
      </c>
      <c r="G26" s="14"/>
    </row>
    <row r="27" spans="1:7" ht="19.5" customHeight="1">
      <c r="A27" s="58" t="s">
        <v>19</v>
      </c>
      <c r="B27" s="59"/>
      <c r="C27" s="104"/>
      <c r="D27" s="77" t="s">
        <v>20</v>
      </c>
      <c r="E27" s="78"/>
      <c r="F27" s="39">
        <f>F25-F26</f>
        <v>4404000</v>
      </c>
      <c r="G27" s="14"/>
    </row>
    <row r="28" spans="1:7" ht="19.5" customHeight="1">
      <c r="A28" s="58" t="s">
        <v>21</v>
      </c>
      <c r="B28" s="59"/>
      <c r="C28" s="104"/>
      <c r="D28" s="99" t="s">
        <v>22</v>
      </c>
      <c r="E28" s="100"/>
      <c r="F28" s="39">
        <v>561510</v>
      </c>
      <c r="G28" s="15"/>
    </row>
    <row r="29" spans="1:7" ht="19.5" customHeight="1">
      <c r="A29" s="101" t="s">
        <v>23</v>
      </c>
      <c r="B29" s="102"/>
      <c r="C29" s="103"/>
      <c r="D29" s="95" t="s">
        <v>24</v>
      </c>
      <c r="E29" s="96"/>
      <c r="F29" s="105">
        <f>F27+F28</f>
        <v>4965510</v>
      </c>
      <c r="G29" s="14"/>
    </row>
    <row r="30" spans="1:7" ht="19.5" customHeight="1">
      <c r="A30" s="43" t="s">
        <v>1</v>
      </c>
      <c r="B30" s="44"/>
      <c r="C30" s="45"/>
      <c r="D30" s="95"/>
      <c r="E30" s="96"/>
      <c r="F30" s="106"/>
      <c r="G30" s="14"/>
    </row>
    <row r="31" spans="1:7" ht="18" customHeight="1">
      <c r="A31" s="43"/>
      <c r="B31" s="44"/>
      <c r="C31" s="45"/>
      <c r="D31" s="97"/>
      <c r="E31" s="98"/>
      <c r="F31" s="107"/>
      <c r="G31" s="16"/>
    </row>
    <row r="32" spans="1:7" ht="22.9" customHeight="1">
      <c r="A32" s="43"/>
      <c r="B32" s="44"/>
      <c r="C32" s="45"/>
      <c r="D32" s="33"/>
      <c r="E32" s="33"/>
      <c r="F32" s="34"/>
      <c r="G32" s="17"/>
    </row>
    <row r="33" spans="1:7" ht="22.9" customHeight="1">
      <c r="A33" s="46"/>
      <c r="B33" s="47"/>
      <c r="C33" s="48"/>
      <c r="D33" s="35"/>
      <c r="E33" s="35"/>
      <c r="F33" s="36"/>
      <c r="G33" s="17"/>
    </row>
    <row r="34" spans="1:7" ht="9.6" customHeight="1" thickBot="1">
      <c r="A34" s="28"/>
      <c r="B34" s="29"/>
      <c r="C34" s="29"/>
      <c r="D34" s="31"/>
      <c r="E34" s="31"/>
      <c r="F34" s="32"/>
      <c r="G34" s="17"/>
    </row>
    <row r="35" spans="1:7" ht="15.75" customHeight="1">
      <c r="A35" s="30"/>
      <c r="G35" s="18"/>
    </row>
    <row r="36" spans="1:7" ht="15.75" customHeight="1">
      <c r="A36" s="30"/>
      <c r="D36" s="2"/>
      <c r="E36" s="2"/>
      <c r="F36" s="2"/>
      <c r="G36" s="19"/>
    </row>
    <row r="37" spans="1:7" ht="21" customHeight="1">
      <c r="A37" s="20"/>
      <c r="G37" s="20"/>
    </row>
    <row r="38" spans="1:7" ht="15.75" customHeight="1">
      <c r="A38" s="2"/>
      <c r="B38" s="2"/>
      <c r="C38" s="2"/>
      <c r="G38" s="2"/>
    </row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0">
    <mergeCell ref="A11:C11"/>
    <mergeCell ref="D11:F11"/>
    <mergeCell ref="A1:F1"/>
    <mergeCell ref="A5:F5"/>
    <mergeCell ref="A6:C7"/>
    <mergeCell ref="D6:F7"/>
    <mergeCell ref="A8:F8"/>
    <mergeCell ref="A9:C9"/>
    <mergeCell ref="D9:F9"/>
    <mergeCell ref="A10:C10"/>
    <mergeCell ref="D10:F10"/>
    <mergeCell ref="A2:F2"/>
    <mergeCell ref="A3:F3"/>
    <mergeCell ref="A13:B13"/>
    <mergeCell ref="D13:E13"/>
    <mergeCell ref="A14:B14"/>
    <mergeCell ref="D14:E14"/>
    <mergeCell ref="A15:B15"/>
    <mergeCell ref="D15:E15"/>
    <mergeCell ref="A16:B16"/>
    <mergeCell ref="D16:E16"/>
    <mergeCell ref="A17:B17"/>
    <mergeCell ref="D17:E17"/>
    <mergeCell ref="A18:B18"/>
    <mergeCell ref="D18:E18"/>
    <mergeCell ref="D23:E23"/>
    <mergeCell ref="A24:B24"/>
    <mergeCell ref="D24:E24"/>
    <mergeCell ref="A19:B19"/>
    <mergeCell ref="D19:E19"/>
    <mergeCell ref="A20:B20"/>
    <mergeCell ref="D20:E20"/>
    <mergeCell ref="A21:B21"/>
    <mergeCell ref="D21:E21"/>
    <mergeCell ref="A4:F4"/>
    <mergeCell ref="A28:C28"/>
    <mergeCell ref="D28:E28"/>
    <mergeCell ref="A29:C29"/>
    <mergeCell ref="D29:E31"/>
    <mergeCell ref="F29:F31"/>
    <mergeCell ref="A30:C33"/>
    <mergeCell ref="A25:C25"/>
    <mergeCell ref="D25:E25"/>
    <mergeCell ref="A26:C26"/>
    <mergeCell ref="D26:E26"/>
    <mergeCell ref="A27:C27"/>
    <mergeCell ref="D27:E27"/>
    <mergeCell ref="A22:B22"/>
    <mergeCell ref="D22:E22"/>
    <mergeCell ref="A23:B23"/>
  </mergeCells>
  <printOptions horizontalCentered="1" verticalCentered="1"/>
  <pageMargins left="0" right="0" top="0" bottom="0" header="0" footer="0"/>
  <pageSetup paperSize="9"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1E1A-C72C-4FE1-83C8-5297DC0D8D82}">
  <sheetPr>
    <tabColor rgb="FF8496B0"/>
    <outlinePr summaryBelow="0" summaryRight="0"/>
    <pageSetUpPr fitToPage="1"/>
  </sheetPr>
  <dimension ref="A1:G999"/>
  <sheetViews>
    <sheetView showGridLines="0" tabSelected="1" topLeftCell="A11" workbookViewId="0">
      <selection activeCell="F20" sqref="F20"/>
    </sheetView>
  </sheetViews>
  <sheetFormatPr defaultColWidth="14.42578125" defaultRowHeight="15" customHeight="1"/>
  <cols>
    <col min="1" max="1" width="25.42578125" customWidth="1"/>
    <col min="2" max="2" width="15.5703125" customWidth="1"/>
    <col min="3" max="3" width="33.42578125" customWidth="1"/>
    <col min="4" max="4" width="12.140625" customWidth="1"/>
    <col min="5" max="5" width="15.28515625" customWidth="1"/>
    <col min="6" max="6" width="47.5703125" customWidth="1"/>
    <col min="7" max="7" width="7.42578125" customWidth="1"/>
    <col min="8" max="24" width="17.28515625" customWidth="1"/>
  </cols>
  <sheetData>
    <row r="1" spans="1:7" ht="36.6" customHeight="1">
      <c r="A1" s="61" t="s">
        <v>0</v>
      </c>
      <c r="B1" s="62"/>
      <c r="C1" s="62"/>
      <c r="D1" s="62"/>
      <c r="E1" s="62"/>
      <c r="F1" s="63"/>
      <c r="G1" s="1"/>
    </row>
    <row r="2" spans="1:7" ht="20.25" customHeight="1">
      <c r="A2" s="68" t="s">
        <v>1</v>
      </c>
      <c r="B2" s="69"/>
      <c r="C2" s="69"/>
      <c r="D2" s="69"/>
      <c r="E2" s="69"/>
      <c r="F2" s="70"/>
      <c r="G2" s="1"/>
    </row>
    <row r="3" spans="1:7" ht="18.75" customHeight="1">
      <c r="A3" s="71" t="s">
        <v>2</v>
      </c>
      <c r="B3" s="72"/>
      <c r="C3" s="72"/>
      <c r="D3" s="72"/>
      <c r="E3" s="72"/>
      <c r="F3" s="73"/>
      <c r="G3" s="3"/>
    </row>
    <row r="4" spans="1:7" ht="18.75" customHeight="1">
      <c r="A4" s="74" t="s">
        <v>3</v>
      </c>
      <c r="B4" s="75"/>
      <c r="C4" s="75"/>
      <c r="D4" s="75"/>
      <c r="E4" s="75"/>
      <c r="F4" s="76"/>
      <c r="G4" s="3"/>
    </row>
    <row r="5" spans="1:7" ht="4.1500000000000004" customHeight="1">
      <c r="A5" s="112"/>
      <c r="B5" s="113"/>
      <c r="C5" s="113"/>
      <c r="D5" s="113"/>
      <c r="E5" s="113"/>
      <c r="F5" s="114"/>
      <c r="G5" s="5"/>
    </row>
    <row r="6" spans="1:7" ht="17.45" customHeight="1">
      <c r="A6" s="64" t="s">
        <v>51</v>
      </c>
      <c r="B6" s="65"/>
      <c r="C6" s="65"/>
      <c r="D6" s="65" t="s">
        <v>52</v>
      </c>
      <c r="E6" s="65"/>
      <c r="F6" s="93"/>
      <c r="G6" s="6"/>
    </row>
    <row r="7" spans="1:7" ht="16.899999999999999" customHeight="1">
      <c r="A7" s="66"/>
      <c r="B7" s="67"/>
      <c r="C7" s="67"/>
      <c r="D7" s="67"/>
      <c r="E7" s="67"/>
      <c r="F7" s="94"/>
      <c r="G7" s="5"/>
    </row>
    <row r="8" spans="1:7" ht="4.1500000000000004" customHeight="1">
      <c r="A8" s="55"/>
      <c r="B8" s="56"/>
      <c r="C8" s="56"/>
      <c r="D8" s="56"/>
      <c r="E8" s="56"/>
      <c r="F8" s="57"/>
      <c r="G8" s="5"/>
    </row>
    <row r="9" spans="1:7" ht="22.15" customHeight="1">
      <c r="A9" s="50" t="s">
        <v>6</v>
      </c>
      <c r="B9" s="41"/>
      <c r="C9" s="41"/>
      <c r="D9" s="41" t="s">
        <v>7</v>
      </c>
      <c r="E9" s="41"/>
      <c r="F9" s="42"/>
      <c r="G9" s="7"/>
    </row>
    <row r="10" spans="1:7" ht="18" customHeight="1">
      <c r="A10" s="58" t="s">
        <v>53</v>
      </c>
      <c r="B10" s="59"/>
      <c r="C10" s="59"/>
      <c r="D10" s="59" t="s">
        <v>53</v>
      </c>
      <c r="E10" s="59"/>
      <c r="F10" s="60"/>
      <c r="G10" s="4"/>
    </row>
    <row r="11" spans="1:7" ht="18" customHeight="1">
      <c r="A11" s="58" t="s">
        <v>54</v>
      </c>
      <c r="B11" s="59"/>
      <c r="C11" s="59"/>
      <c r="D11" s="59" t="s">
        <v>54</v>
      </c>
      <c r="E11" s="59"/>
      <c r="F11" s="60"/>
      <c r="G11" s="9"/>
    </row>
    <row r="12" spans="1:7" ht="4.1500000000000004" customHeight="1">
      <c r="A12" s="21"/>
      <c r="B12" s="8"/>
      <c r="D12" s="25"/>
      <c r="E12" s="8"/>
      <c r="F12" s="22"/>
      <c r="G12" s="8"/>
    </row>
    <row r="13" spans="1:7" ht="18" customHeight="1">
      <c r="A13" s="49" t="s">
        <v>10</v>
      </c>
      <c r="B13" s="115"/>
      <c r="C13" s="26" t="s">
        <v>11</v>
      </c>
      <c r="D13" s="51" t="s">
        <v>12</v>
      </c>
      <c r="E13" s="115"/>
      <c r="F13" s="27" t="s">
        <v>13</v>
      </c>
      <c r="G13" s="5"/>
    </row>
    <row r="14" spans="1:7" ht="18" customHeight="1">
      <c r="A14" s="92" t="s">
        <v>55</v>
      </c>
      <c r="B14" s="116"/>
      <c r="C14" s="10">
        <v>1500</v>
      </c>
      <c r="D14" s="111">
        <v>2120</v>
      </c>
      <c r="E14" s="120"/>
      <c r="F14" s="40">
        <f>D14*C14</f>
        <v>3180000</v>
      </c>
      <c r="G14" s="11"/>
    </row>
    <row r="15" spans="1:7" ht="18" customHeight="1">
      <c r="A15" s="54"/>
      <c r="B15" s="118"/>
      <c r="C15" s="12"/>
      <c r="D15" s="53"/>
      <c r="E15" s="118"/>
      <c r="F15" s="23"/>
      <c r="G15" s="11"/>
    </row>
    <row r="16" spans="1:7" ht="18" customHeight="1">
      <c r="A16" s="83"/>
      <c r="B16" s="118"/>
      <c r="C16" s="13"/>
      <c r="D16" s="84"/>
      <c r="E16" s="118"/>
      <c r="F16" s="23"/>
      <c r="G16" s="11"/>
    </row>
    <row r="17" spans="1:7" ht="18" customHeight="1">
      <c r="A17" s="54"/>
      <c r="B17" s="118"/>
      <c r="C17" s="12"/>
      <c r="D17" s="53"/>
      <c r="E17" s="118"/>
      <c r="F17" s="23"/>
      <c r="G17" s="11"/>
    </row>
    <row r="18" spans="1:7" ht="18" customHeight="1">
      <c r="A18" s="83"/>
      <c r="B18" s="118"/>
      <c r="C18" s="13"/>
      <c r="D18" s="84"/>
      <c r="E18" s="118"/>
      <c r="F18" s="23"/>
      <c r="G18" s="11"/>
    </row>
    <row r="19" spans="1:7" ht="18" customHeight="1">
      <c r="A19" s="54"/>
      <c r="B19" s="118"/>
      <c r="C19" s="12"/>
      <c r="D19" s="53"/>
      <c r="E19" s="118"/>
      <c r="F19" s="23"/>
      <c r="G19" s="11"/>
    </row>
    <row r="20" spans="1:7" ht="18" customHeight="1">
      <c r="A20" s="83"/>
      <c r="B20" s="118"/>
      <c r="C20" s="13"/>
      <c r="D20" s="84"/>
      <c r="E20" s="118"/>
      <c r="F20" s="23"/>
      <c r="G20" s="11"/>
    </row>
    <row r="21" spans="1:7" ht="18" customHeight="1">
      <c r="A21" s="54"/>
      <c r="B21" s="118"/>
      <c r="C21" s="12"/>
      <c r="D21" s="53"/>
      <c r="E21" s="118"/>
      <c r="F21" s="23"/>
      <c r="G21" s="11"/>
    </row>
    <row r="22" spans="1:7" ht="18" customHeight="1">
      <c r="A22" s="83"/>
      <c r="B22" s="118"/>
      <c r="C22" s="13"/>
      <c r="D22" s="84"/>
      <c r="E22" s="118"/>
      <c r="F22" s="23"/>
      <c r="G22" s="11"/>
    </row>
    <row r="23" spans="1:7" ht="18" customHeight="1">
      <c r="A23" s="54"/>
      <c r="B23" s="118"/>
      <c r="C23" s="12"/>
      <c r="D23" s="53"/>
      <c r="E23" s="118"/>
      <c r="F23" s="23"/>
      <c r="G23" s="11"/>
    </row>
    <row r="24" spans="1:7" ht="18" customHeight="1">
      <c r="A24" s="83"/>
      <c r="B24" s="118"/>
      <c r="C24" s="13"/>
      <c r="D24" s="85"/>
      <c r="E24" s="119"/>
      <c r="F24" s="24"/>
      <c r="G24" s="11"/>
    </row>
    <row r="25" spans="1:7" ht="19.5" customHeight="1">
      <c r="A25" s="81" t="s">
        <v>15</v>
      </c>
      <c r="B25" s="82"/>
      <c r="C25" s="82"/>
      <c r="D25" s="79" t="s">
        <v>16</v>
      </c>
      <c r="E25" s="80"/>
      <c r="F25" s="39">
        <f>F14</f>
        <v>3180000</v>
      </c>
      <c r="G25" s="14"/>
    </row>
    <row r="26" spans="1:7" ht="19.5" customHeight="1">
      <c r="A26" s="89" t="s">
        <v>17</v>
      </c>
      <c r="B26" s="90"/>
      <c r="C26" s="91"/>
      <c r="D26" s="77" t="s">
        <v>18</v>
      </c>
      <c r="E26" s="78"/>
      <c r="F26" s="39">
        <f>1500*19</f>
        <v>28500</v>
      </c>
      <c r="G26" s="14"/>
    </row>
    <row r="27" spans="1:7" ht="19.5" customHeight="1">
      <c r="A27" s="58" t="s">
        <v>19</v>
      </c>
      <c r="B27" s="59"/>
      <c r="C27" s="104"/>
      <c r="D27" s="77" t="s">
        <v>20</v>
      </c>
      <c r="E27" s="78"/>
      <c r="F27" s="39">
        <f>F25-F26</f>
        <v>3151500</v>
      </c>
      <c r="G27" s="14"/>
    </row>
    <row r="28" spans="1:7" ht="19.5" customHeight="1">
      <c r="A28" s="58" t="s">
        <v>21</v>
      </c>
      <c r="B28" s="59"/>
      <c r="C28" s="104"/>
      <c r="D28" s="99" t="s">
        <v>22</v>
      </c>
      <c r="E28" s="100"/>
      <c r="F28" s="39">
        <v>401816</v>
      </c>
      <c r="G28" s="15"/>
    </row>
    <row r="29" spans="1:7" ht="19.5" customHeight="1">
      <c r="A29" s="101" t="s">
        <v>23</v>
      </c>
      <c r="B29" s="102"/>
      <c r="C29" s="103"/>
      <c r="D29" s="95" t="s">
        <v>24</v>
      </c>
      <c r="E29" s="96"/>
      <c r="F29" s="105">
        <f>F27+F28</f>
        <v>3553316</v>
      </c>
      <c r="G29" s="14"/>
    </row>
    <row r="30" spans="1:7" ht="19.5" customHeight="1">
      <c r="A30" s="43" t="s">
        <v>1</v>
      </c>
      <c r="B30" s="44"/>
      <c r="C30" s="45"/>
      <c r="D30" s="95"/>
      <c r="E30" s="96"/>
      <c r="F30" s="106"/>
      <c r="G30" s="14"/>
    </row>
    <row r="31" spans="1:7" ht="18" customHeight="1">
      <c r="A31" s="43"/>
      <c r="B31" s="44"/>
      <c r="C31" s="45"/>
      <c r="D31" s="97"/>
      <c r="E31" s="98"/>
      <c r="F31" s="107"/>
      <c r="G31" s="16"/>
    </row>
    <row r="32" spans="1:7" ht="22.9" customHeight="1">
      <c r="A32" s="43"/>
      <c r="B32" s="44"/>
      <c r="C32" s="45"/>
      <c r="D32" s="33"/>
      <c r="E32" s="33"/>
      <c r="F32" s="34"/>
      <c r="G32" s="17"/>
    </row>
    <row r="33" spans="1:7" ht="22.9" customHeight="1">
      <c r="A33" s="46"/>
      <c r="B33" s="47"/>
      <c r="C33" s="48"/>
      <c r="D33" s="35"/>
      <c r="E33" s="35"/>
      <c r="F33" s="36"/>
      <c r="G33" s="17"/>
    </row>
    <row r="34" spans="1:7" ht="9.6" customHeight="1" thickBot="1">
      <c r="A34" s="28"/>
      <c r="B34" s="29"/>
      <c r="C34" s="29"/>
      <c r="D34" s="31"/>
      <c r="E34" s="31"/>
      <c r="F34" s="32"/>
      <c r="G34" s="17"/>
    </row>
    <row r="35" spans="1:7" ht="15.75" customHeight="1">
      <c r="A35" s="30"/>
      <c r="G35" s="18"/>
    </row>
    <row r="36" spans="1:7" ht="15.75" customHeight="1">
      <c r="A36" s="30"/>
      <c r="D36" s="2"/>
      <c r="E36" s="2"/>
      <c r="F36" s="2"/>
      <c r="G36" s="19"/>
    </row>
    <row r="37" spans="1:7" ht="21" customHeight="1">
      <c r="A37" s="20"/>
      <c r="G37" s="20"/>
    </row>
    <row r="38" spans="1:7" ht="15.75" customHeight="1">
      <c r="A38" s="2"/>
      <c r="B38" s="2"/>
      <c r="C38" s="2"/>
      <c r="G38" s="2"/>
    </row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0">
    <mergeCell ref="A11:C11"/>
    <mergeCell ref="D11:F11"/>
    <mergeCell ref="A1:F1"/>
    <mergeCell ref="A5:F5"/>
    <mergeCell ref="A6:C7"/>
    <mergeCell ref="D6:F7"/>
    <mergeCell ref="A8:F8"/>
    <mergeCell ref="A9:C9"/>
    <mergeCell ref="D9:F9"/>
    <mergeCell ref="A10:C10"/>
    <mergeCell ref="D10:F10"/>
    <mergeCell ref="A2:F2"/>
    <mergeCell ref="A3:F3"/>
    <mergeCell ref="A13:B13"/>
    <mergeCell ref="D13:E13"/>
    <mergeCell ref="A14:B14"/>
    <mergeCell ref="D14:E14"/>
    <mergeCell ref="A15:B15"/>
    <mergeCell ref="D15:E15"/>
    <mergeCell ref="A16:B16"/>
    <mergeCell ref="D16:E16"/>
    <mergeCell ref="A17:B17"/>
    <mergeCell ref="D17:E17"/>
    <mergeCell ref="A18:B18"/>
    <mergeCell ref="D18:E18"/>
    <mergeCell ref="D23:E23"/>
    <mergeCell ref="A24:B24"/>
    <mergeCell ref="D24:E24"/>
    <mergeCell ref="A19:B19"/>
    <mergeCell ref="D19:E19"/>
    <mergeCell ref="A20:B20"/>
    <mergeCell ref="D20:E20"/>
    <mergeCell ref="A21:B21"/>
    <mergeCell ref="D21:E21"/>
    <mergeCell ref="A4:F4"/>
    <mergeCell ref="A28:C28"/>
    <mergeCell ref="D28:E28"/>
    <mergeCell ref="A29:C29"/>
    <mergeCell ref="D29:E31"/>
    <mergeCell ref="F29:F31"/>
    <mergeCell ref="A30:C33"/>
    <mergeCell ref="A25:C25"/>
    <mergeCell ref="D25:E25"/>
    <mergeCell ref="A26:C26"/>
    <mergeCell ref="D26:E26"/>
    <mergeCell ref="A27:C27"/>
    <mergeCell ref="D27:E27"/>
    <mergeCell ref="A22:B22"/>
    <mergeCell ref="D22:E22"/>
    <mergeCell ref="A23:B23"/>
  </mergeCells>
  <printOptions horizontalCentered="1" verticalCentered="1"/>
  <pageMargins left="0" right="0" top="0" bottom="0" header="0" footer="0"/>
  <pageSetup paperSize="9" scale="9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EA7D77-FA4C-4362-A88C-B7FEF8CC1354}"/>
</file>

<file path=customXml/itemProps2.xml><?xml version="1.0" encoding="utf-8"?>
<ds:datastoreItem xmlns:ds="http://schemas.openxmlformats.org/officeDocument/2006/customXml" ds:itemID="{1171A90D-81C8-45CC-A204-67AC17A7692F}"/>
</file>

<file path=customXml/itemProps3.xml><?xml version="1.0" encoding="utf-8"?>
<ds:datastoreItem xmlns:ds="http://schemas.openxmlformats.org/officeDocument/2006/customXml" ds:itemID="{DA615012-71D9-4FD5-A295-26447587A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KOUSHIKI</dc:creator>
  <cp:keywords/>
  <dc:description/>
  <cp:lastModifiedBy>Anil Kumar Bikkineli</cp:lastModifiedBy>
  <cp:revision/>
  <dcterms:created xsi:type="dcterms:W3CDTF">2024-02-21T11:45:12Z</dcterms:created>
  <dcterms:modified xsi:type="dcterms:W3CDTF">2024-10-01T09:00:48Z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